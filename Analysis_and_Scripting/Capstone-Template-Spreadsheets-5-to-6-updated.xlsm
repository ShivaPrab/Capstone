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workbookPr showInkAnnotation="0" autoCompressPictures="0"/>
  <mc:AlternateContent xmlns:mc="http://schemas.openxmlformats.org/markup-compatibility/2006">
    <mc:Choice Requires="x15">
      <x15ac:absPath xmlns:x15ac="http://schemas.microsoft.com/office/spreadsheetml/2010/11/ac" url="C:\Users\shiva\Desktop\Coding\Excel 2 SQL\Capstone\"/>
    </mc:Choice>
  </mc:AlternateContent>
  <xr:revisionPtr revIDLastSave="0" documentId="13_ncr:1_{010B768B-885E-4522-A266-F2BBC58BA008}" xr6:coauthVersionLast="46" xr6:coauthVersionMax="46" xr10:uidLastSave="{00000000-0000-0000-0000-000000000000}"/>
  <bookViews>
    <workbookView xWindow="-120" yWindow="-120" windowWidth="29040" windowHeight="15840" tabRatio="500" xr2:uid="{00000000-000D-0000-FFFF-FFFF00000000}"/>
  </bookViews>
  <sheets>
    <sheet name=" 5-Forecast Cash Flow + Profits" sheetId="2" r:id="rId1"/>
    <sheet name="6 - Sorting by Profitability" sheetId="3" r:id="rId2"/>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F5" i="2" l="1"/>
  <c r="AF6" i="2"/>
  <c r="AF7" i="2"/>
  <c r="AF8" i="2"/>
  <c r="AF9" i="2"/>
  <c r="AF10" i="2"/>
  <c r="AF11" i="2"/>
  <c r="AF12" i="2"/>
  <c r="AF13" i="2"/>
  <c r="AF14" i="2"/>
  <c r="AF15" i="2"/>
  <c r="AF16" i="2"/>
  <c r="AF17" i="2"/>
  <c r="AF18" i="2"/>
  <c r="AF19" i="2"/>
  <c r="AF20" i="2"/>
  <c r="AF21" i="2"/>
  <c r="AF22" i="2"/>
  <c r="AF23" i="2"/>
  <c r="AF24" i="2"/>
  <c r="AF25" i="2"/>
  <c r="AF26" i="2"/>
  <c r="AF27" i="2"/>
  <c r="AF28" i="2"/>
  <c r="AF29" i="2"/>
  <c r="AF30" i="2"/>
  <c r="AF31" i="2"/>
  <c r="AF32" i="2"/>
  <c r="AF33" i="2"/>
  <c r="AF34" i="2"/>
  <c r="AF35" i="2"/>
  <c r="AF36" i="2"/>
  <c r="AF37" i="2"/>
  <c r="AF38" i="2"/>
  <c r="AF39" i="2"/>
  <c r="AF40" i="2"/>
  <c r="AF41" i="2"/>
  <c r="AF42" i="2"/>
  <c r="AF43"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35" i="2"/>
  <c r="AF136" i="2"/>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29" i="2"/>
  <c r="AE130" i="2"/>
  <c r="AE131" i="2"/>
  <c r="AE132" i="2"/>
  <c r="AE133" i="2"/>
  <c r="AE134" i="2"/>
  <c r="AE135" i="2"/>
  <c r="AE136" i="2"/>
  <c r="AE137" i="2"/>
  <c r="AE138" i="2"/>
  <c r="AE139" i="2"/>
  <c r="AE140" i="2"/>
  <c r="AE141" i="2"/>
  <c r="AE142" i="2"/>
  <c r="AE143"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07" i="2"/>
  <c r="AE208" i="2"/>
  <c r="AE209" i="2"/>
  <c r="AE210" i="2"/>
  <c r="AE211"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4" i="2"/>
  <c r="Z4"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4"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4" i="2"/>
  <c r="Q247" i="2"/>
  <c r="Q2" i="2"/>
  <c r="R2" i="2"/>
  <c r="R247" i="2"/>
  <c r="S247" i="2"/>
  <c r="O247" i="2"/>
  <c r="M247" i="2"/>
  <c r="L247" i="2"/>
  <c r="N247" i="2"/>
  <c r="G247" i="2"/>
  <c r="Q246" i="2"/>
  <c r="R246" i="2"/>
  <c r="S246" i="2"/>
  <c r="O246" i="2"/>
  <c r="M246" i="2"/>
  <c r="L246" i="2"/>
  <c r="N246" i="2"/>
  <c r="G246" i="2"/>
  <c r="Q245" i="2"/>
  <c r="R245" i="2"/>
  <c r="S245" i="2"/>
  <c r="O245" i="2"/>
  <c r="M245" i="2"/>
  <c r="L245" i="2"/>
  <c r="N245" i="2"/>
  <c r="G245" i="2"/>
  <c r="Q244" i="2"/>
  <c r="R244" i="2"/>
  <c r="S244" i="2"/>
  <c r="O244" i="2"/>
  <c r="M244" i="2"/>
  <c r="L244" i="2"/>
  <c r="N244" i="2"/>
  <c r="G244" i="2"/>
  <c r="Q243" i="2"/>
  <c r="R243" i="2"/>
  <c r="S243" i="2"/>
  <c r="O243" i="2"/>
  <c r="M243" i="2"/>
  <c r="L243" i="2"/>
  <c r="N243" i="2"/>
  <c r="G243" i="2"/>
  <c r="Q242" i="2"/>
  <c r="R242" i="2"/>
  <c r="S242" i="2"/>
  <c r="O242" i="2"/>
  <c r="M242" i="2"/>
  <c r="L242" i="2"/>
  <c r="N242" i="2"/>
  <c r="G242" i="2"/>
  <c r="Q241" i="2"/>
  <c r="R241" i="2"/>
  <c r="S241" i="2"/>
  <c r="O241" i="2"/>
  <c r="M241" i="2"/>
  <c r="L241" i="2"/>
  <c r="N241" i="2"/>
  <c r="G241" i="2"/>
  <c r="Q240" i="2"/>
  <c r="R240" i="2"/>
  <c r="S240" i="2"/>
  <c r="O240" i="2"/>
  <c r="M240" i="2"/>
  <c r="L240" i="2"/>
  <c r="N240" i="2"/>
  <c r="G240" i="2"/>
  <c r="Q239" i="2"/>
  <c r="R239" i="2"/>
  <c r="S239" i="2"/>
  <c r="O239" i="2"/>
  <c r="M239" i="2"/>
  <c r="L239" i="2"/>
  <c r="N239" i="2"/>
  <c r="G239" i="2"/>
  <c r="Q238" i="2"/>
  <c r="R238" i="2"/>
  <c r="S238" i="2"/>
  <c r="O238" i="2"/>
  <c r="M238" i="2"/>
  <c r="L238" i="2"/>
  <c r="N238" i="2"/>
  <c r="G238" i="2"/>
  <c r="Q237" i="2"/>
  <c r="R237" i="2"/>
  <c r="S237" i="2"/>
  <c r="O237" i="2"/>
  <c r="M237" i="2"/>
  <c r="L237" i="2"/>
  <c r="N237" i="2"/>
  <c r="G237" i="2"/>
  <c r="Q236" i="2"/>
  <c r="R236" i="2"/>
  <c r="S236" i="2"/>
  <c r="O236" i="2"/>
  <c r="M236" i="2"/>
  <c r="L236" i="2"/>
  <c r="N236" i="2"/>
  <c r="G236" i="2"/>
  <c r="Q235" i="2"/>
  <c r="R235" i="2"/>
  <c r="S235" i="2"/>
  <c r="O235" i="2"/>
  <c r="M235" i="2"/>
  <c r="L235" i="2"/>
  <c r="N235" i="2"/>
  <c r="G235" i="2"/>
  <c r="Q234" i="2"/>
  <c r="R234" i="2"/>
  <c r="S234" i="2"/>
  <c r="O234" i="2"/>
  <c r="M234" i="2"/>
  <c r="L234" i="2"/>
  <c r="N234" i="2"/>
  <c r="G234" i="2"/>
  <c r="Q233" i="2"/>
  <c r="R233" i="2"/>
  <c r="S233" i="2"/>
  <c r="O233" i="2"/>
  <c r="M233" i="2"/>
  <c r="L233" i="2"/>
  <c r="N233" i="2"/>
  <c r="G233" i="2"/>
  <c r="Q232" i="2"/>
  <c r="R232" i="2"/>
  <c r="S232" i="2"/>
  <c r="O232" i="2"/>
  <c r="M232" i="2"/>
  <c r="L232" i="2"/>
  <c r="N232" i="2"/>
  <c r="G232" i="2"/>
  <c r="Q231" i="2"/>
  <c r="R231" i="2"/>
  <c r="S231" i="2"/>
  <c r="O231" i="2"/>
  <c r="M231" i="2"/>
  <c r="L231" i="2"/>
  <c r="N231" i="2"/>
  <c r="G231" i="2"/>
  <c r="Q230" i="2"/>
  <c r="R230" i="2"/>
  <c r="S230" i="2"/>
  <c r="O230" i="2"/>
  <c r="M230" i="2"/>
  <c r="L230" i="2"/>
  <c r="N230" i="2"/>
  <c r="G230" i="2"/>
  <c r="Q229" i="2"/>
  <c r="R229" i="2"/>
  <c r="S229" i="2"/>
  <c r="O229" i="2"/>
  <c r="M229" i="2"/>
  <c r="L229" i="2"/>
  <c r="N229" i="2"/>
  <c r="G229" i="2"/>
  <c r="Q228" i="2"/>
  <c r="R228" i="2"/>
  <c r="S228" i="2"/>
  <c r="O228" i="2"/>
  <c r="M228" i="2"/>
  <c r="L228" i="2"/>
  <c r="N228" i="2"/>
  <c r="G228" i="2"/>
  <c r="Q227" i="2"/>
  <c r="R227" i="2"/>
  <c r="S227" i="2"/>
  <c r="O227" i="2"/>
  <c r="M227" i="2"/>
  <c r="L227" i="2"/>
  <c r="N227" i="2"/>
  <c r="G227" i="2"/>
  <c r="Q226" i="2"/>
  <c r="R226" i="2"/>
  <c r="S226" i="2"/>
  <c r="O226" i="2"/>
  <c r="M226" i="2"/>
  <c r="L226" i="2"/>
  <c r="N226" i="2"/>
  <c r="G226" i="2"/>
  <c r="Q225" i="2"/>
  <c r="R225" i="2"/>
  <c r="S225" i="2"/>
  <c r="O225" i="2"/>
  <c r="M225" i="2"/>
  <c r="L225" i="2"/>
  <c r="N225" i="2"/>
  <c r="G225" i="2"/>
  <c r="Q224" i="2"/>
  <c r="R224" i="2"/>
  <c r="S224" i="2"/>
  <c r="O224" i="2"/>
  <c r="M224" i="2"/>
  <c r="L224" i="2"/>
  <c r="N224" i="2"/>
  <c r="G224" i="2"/>
  <c r="Q223" i="2"/>
  <c r="R223" i="2"/>
  <c r="S223" i="2"/>
  <c r="O223" i="2"/>
  <c r="M223" i="2"/>
  <c r="L223" i="2"/>
  <c r="N223" i="2"/>
  <c r="G223" i="2"/>
  <c r="Q222" i="2"/>
  <c r="R222" i="2"/>
  <c r="S222" i="2"/>
  <c r="O222" i="2"/>
  <c r="M222" i="2"/>
  <c r="L222" i="2"/>
  <c r="N222" i="2"/>
  <c r="G222" i="2"/>
  <c r="Q221" i="2"/>
  <c r="R221" i="2"/>
  <c r="S221" i="2"/>
  <c r="O221" i="2"/>
  <c r="M221" i="2"/>
  <c r="L221" i="2"/>
  <c r="N221" i="2"/>
  <c r="G221" i="2"/>
  <c r="Q220" i="2"/>
  <c r="R220" i="2"/>
  <c r="S220" i="2"/>
  <c r="O220" i="2"/>
  <c r="M220" i="2"/>
  <c r="L220" i="2"/>
  <c r="N220" i="2"/>
  <c r="G220" i="2"/>
  <c r="Q219" i="2"/>
  <c r="R219" i="2"/>
  <c r="S219" i="2"/>
  <c r="O219" i="2"/>
  <c r="M219" i="2"/>
  <c r="L219" i="2"/>
  <c r="N219" i="2"/>
  <c r="G219" i="2"/>
  <c r="Q218" i="2"/>
  <c r="R218" i="2"/>
  <c r="S218" i="2"/>
  <c r="O218" i="2"/>
  <c r="M218" i="2"/>
  <c r="L218" i="2"/>
  <c r="N218" i="2"/>
  <c r="G218" i="2"/>
  <c r="Q217" i="2"/>
  <c r="R217" i="2"/>
  <c r="S217" i="2"/>
  <c r="O217" i="2"/>
  <c r="M217" i="2"/>
  <c r="L217" i="2"/>
  <c r="N217" i="2"/>
  <c r="G217" i="2"/>
  <c r="Q216" i="2"/>
  <c r="R216" i="2"/>
  <c r="S216" i="2"/>
  <c r="O216" i="2"/>
  <c r="M216" i="2"/>
  <c r="L216" i="2"/>
  <c r="N216" i="2"/>
  <c r="G216" i="2"/>
  <c r="Q215" i="2"/>
  <c r="R215" i="2"/>
  <c r="S215" i="2"/>
  <c r="O215" i="2"/>
  <c r="M215" i="2"/>
  <c r="L215" i="2"/>
  <c r="N215" i="2"/>
  <c r="G215" i="2"/>
  <c r="Q214" i="2"/>
  <c r="R214" i="2"/>
  <c r="S214" i="2"/>
  <c r="O214" i="2"/>
  <c r="M214" i="2"/>
  <c r="L214" i="2"/>
  <c r="N214" i="2"/>
  <c r="G214" i="2"/>
  <c r="Q213" i="2"/>
  <c r="R213" i="2"/>
  <c r="S213" i="2"/>
  <c r="O213" i="2"/>
  <c r="M213" i="2"/>
  <c r="L213" i="2"/>
  <c r="N213" i="2"/>
  <c r="G213" i="2"/>
  <c r="Q212" i="2"/>
  <c r="R212" i="2"/>
  <c r="S212" i="2"/>
  <c r="O212" i="2"/>
  <c r="M212" i="2"/>
  <c r="L212" i="2"/>
  <c r="N212" i="2"/>
  <c r="G212" i="2"/>
  <c r="Q211" i="2"/>
  <c r="R211" i="2"/>
  <c r="S211" i="2"/>
  <c r="O211" i="2"/>
  <c r="M211" i="2"/>
  <c r="L211" i="2"/>
  <c r="N211" i="2"/>
  <c r="G211" i="2"/>
  <c r="Q210" i="2"/>
  <c r="R210" i="2"/>
  <c r="S210" i="2"/>
  <c r="O210" i="2"/>
  <c r="M210" i="2"/>
  <c r="L210" i="2"/>
  <c r="N210" i="2"/>
  <c r="G210" i="2"/>
  <c r="Q209" i="2"/>
  <c r="R209" i="2"/>
  <c r="S209" i="2"/>
  <c r="O209" i="2"/>
  <c r="M209" i="2"/>
  <c r="L209" i="2"/>
  <c r="N209" i="2"/>
  <c r="G209" i="2"/>
  <c r="Q208" i="2"/>
  <c r="R208" i="2"/>
  <c r="S208" i="2"/>
  <c r="O208" i="2"/>
  <c r="M208" i="2"/>
  <c r="L208" i="2"/>
  <c r="N208" i="2"/>
  <c r="G208" i="2"/>
  <c r="Q207" i="2"/>
  <c r="R207" i="2"/>
  <c r="S207" i="2"/>
  <c r="O207" i="2"/>
  <c r="M207" i="2"/>
  <c r="L207" i="2"/>
  <c r="N207" i="2"/>
  <c r="G207" i="2"/>
  <c r="Q206" i="2"/>
  <c r="R206" i="2"/>
  <c r="S206" i="2"/>
  <c r="O206" i="2"/>
  <c r="M206" i="2"/>
  <c r="L206" i="2"/>
  <c r="N206" i="2"/>
  <c r="G206" i="2"/>
  <c r="Q205" i="2"/>
  <c r="R205" i="2"/>
  <c r="S205" i="2"/>
  <c r="O205" i="2"/>
  <c r="M205" i="2"/>
  <c r="L205" i="2"/>
  <c r="N205" i="2"/>
  <c r="G205" i="2"/>
  <c r="Q204" i="2"/>
  <c r="R204" i="2"/>
  <c r="S204" i="2"/>
  <c r="O204" i="2"/>
  <c r="M204" i="2"/>
  <c r="L204" i="2"/>
  <c r="N204" i="2"/>
  <c r="G204" i="2"/>
  <c r="Q203" i="2"/>
  <c r="R203" i="2"/>
  <c r="S203" i="2"/>
  <c r="O203" i="2"/>
  <c r="M203" i="2"/>
  <c r="L203" i="2"/>
  <c r="N203" i="2"/>
  <c r="G203" i="2"/>
  <c r="Q202" i="2"/>
  <c r="R202" i="2"/>
  <c r="S202" i="2"/>
  <c r="O202" i="2"/>
  <c r="M202" i="2"/>
  <c r="L202" i="2"/>
  <c r="N202" i="2"/>
  <c r="G202" i="2"/>
  <c r="Q201" i="2"/>
  <c r="R201" i="2"/>
  <c r="S201" i="2"/>
  <c r="O201" i="2"/>
  <c r="M201" i="2"/>
  <c r="L201" i="2"/>
  <c r="N201" i="2"/>
  <c r="G201" i="2"/>
  <c r="Q200" i="2"/>
  <c r="R200" i="2"/>
  <c r="S200" i="2"/>
  <c r="O200" i="2"/>
  <c r="M200" i="2"/>
  <c r="L200" i="2"/>
  <c r="N200" i="2"/>
  <c r="G200" i="2"/>
  <c r="Q199" i="2"/>
  <c r="R199" i="2"/>
  <c r="S199" i="2"/>
  <c r="O199" i="2"/>
  <c r="M199" i="2"/>
  <c r="L199" i="2"/>
  <c r="N199" i="2"/>
  <c r="G199" i="2"/>
  <c r="Q198" i="2"/>
  <c r="R198" i="2"/>
  <c r="S198" i="2"/>
  <c r="O198" i="2"/>
  <c r="M198" i="2"/>
  <c r="L198" i="2"/>
  <c r="N198" i="2"/>
  <c r="G198" i="2"/>
  <c r="Q197" i="2"/>
  <c r="R197" i="2"/>
  <c r="S197" i="2"/>
  <c r="O197" i="2"/>
  <c r="M197" i="2"/>
  <c r="L197" i="2"/>
  <c r="N197" i="2"/>
  <c r="G197" i="2"/>
  <c r="Q196" i="2"/>
  <c r="R196" i="2"/>
  <c r="S196" i="2"/>
  <c r="O196" i="2"/>
  <c r="M196" i="2"/>
  <c r="L196" i="2"/>
  <c r="N196" i="2"/>
  <c r="G196" i="2"/>
  <c r="Q195" i="2"/>
  <c r="R195" i="2"/>
  <c r="S195" i="2"/>
  <c r="O195" i="2"/>
  <c r="M195" i="2"/>
  <c r="L195" i="2"/>
  <c r="N195" i="2"/>
  <c r="G195" i="2"/>
  <c r="Q194" i="2"/>
  <c r="R194" i="2"/>
  <c r="S194" i="2"/>
  <c r="O194" i="2"/>
  <c r="M194" i="2"/>
  <c r="L194" i="2"/>
  <c r="N194" i="2"/>
  <c r="G194" i="2"/>
  <c r="Q193" i="2"/>
  <c r="R193" i="2"/>
  <c r="S193" i="2"/>
  <c r="O193" i="2"/>
  <c r="M193" i="2"/>
  <c r="L193" i="2"/>
  <c r="N193" i="2"/>
  <c r="G193" i="2"/>
  <c r="Q192" i="2"/>
  <c r="R192" i="2"/>
  <c r="S192" i="2"/>
  <c r="O192" i="2"/>
  <c r="M192" i="2"/>
  <c r="L192" i="2"/>
  <c r="N192" i="2"/>
  <c r="G192" i="2"/>
  <c r="Q191" i="2"/>
  <c r="R191" i="2"/>
  <c r="S191" i="2"/>
  <c r="O191" i="2"/>
  <c r="M191" i="2"/>
  <c r="L191" i="2"/>
  <c r="N191" i="2"/>
  <c r="G191" i="2"/>
  <c r="Q190" i="2"/>
  <c r="R190" i="2"/>
  <c r="S190" i="2"/>
  <c r="O190" i="2"/>
  <c r="M190" i="2"/>
  <c r="L190" i="2"/>
  <c r="N190" i="2"/>
  <c r="G190" i="2"/>
  <c r="Q189" i="2"/>
  <c r="R189" i="2"/>
  <c r="S189" i="2"/>
  <c r="O189" i="2"/>
  <c r="M189" i="2"/>
  <c r="L189" i="2"/>
  <c r="N189" i="2"/>
  <c r="G189" i="2"/>
  <c r="Q188" i="2"/>
  <c r="R188" i="2"/>
  <c r="S188" i="2"/>
  <c r="O188" i="2"/>
  <c r="M188" i="2"/>
  <c r="L188" i="2"/>
  <c r="N188" i="2"/>
  <c r="G188" i="2"/>
  <c r="Q187" i="2"/>
  <c r="R187" i="2"/>
  <c r="S187" i="2"/>
  <c r="O187" i="2"/>
  <c r="M187" i="2"/>
  <c r="L187" i="2"/>
  <c r="N187" i="2"/>
  <c r="G187" i="2"/>
  <c r="Q186" i="2"/>
  <c r="R186" i="2"/>
  <c r="S186" i="2"/>
  <c r="O186" i="2"/>
  <c r="M186" i="2"/>
  <c r="L186" i="2"/>
  <c r="N186" i="2"/>
  <c r="G186" i="2"/>
  <c r="Q185" i="2"/>
  <c r="R185" i="2"/>
  <c r="S185" i="2"/>
  <c r="O185" i="2"/>
  <c r="M185" i="2"/>
  <c r="L185" i="2"/>
  <c r="N185" i="2"/>
  <c r="G185" i="2"/>
  <c r="Q184" i="2"/>
  <c r="R184" i="2"/>
  <c r="S184" i="2"/>
  <c r="O184" i="2"/>
  <c r="M184" i="2"/>
  <c r="L184" i="2"/>
  <c r="N184" i="2"/>
  <c r="G184" i="2"/>
  <c r="Q183" i="2"/>
  <c r="R183" i="2"/>
  <c r="S183" i="2"/>
  <c r="O183" i="2"/>
  <c r="M183" i="2"/>
  <c r="L183" i="2"/>
  <c r="N183" i="2"/>
  <c r="G183" i="2"/>
  <c r="Q182" i="2"/>
  <c r="R182" i="2"/>
  <c r="S182" i="2"/>
  <c r="O182" i="2"/>
  <c r="M182" i="2"/>
  <c r="L182" i="2"/>
  <c r="N182" i="2"/>
  <c r="G182" i="2"/>
  <c r="Q181" i="2"/>
  <c r="R181" i="2"/>
  <c r="S181" i="2"/>
  <c r="O181" i="2"/>
  <c r="M181" i="2"/>
  <c r="L181" i="2"/>
  <c r="N181" i="2"/>
  <c r="G181" i="2"/>
  <c r="Q180" i="2"/>
  <c r="R180" i="2"/>
  <c r="S180" i="2"/>
  <c r="O180" i="2"/>
  <c r="M180" i="2"/>
  <c r="L180" i="2"/>
  <c r="N180" i="2"/>
  <c r="G180" i="2"/>
  <c r="Q179" i="2"/>
  <c r="R179" i="2"/>
  <c r="S179" i="2"/>
  <c r="O179" i="2"/>
  <c r="M179" i="2"/>
  <c r="L179" i="2"/>
  <c r="N179" i="2"/>
  <c r="G179" i="2"/>
  <c r="Q178" i="2"/>
  <c r="R178" i="2"/>
  <c r="S178" i="2"/>
  <c r="O178" i="2"/>
  <c r="M178" i="2"/>
  <c r="L178" i="2"/>
  <c r="N178" i="2"/>
  <c r="G178" i="2"/>
  <c r="Q177" i="2"/>
  <c r="R177" i="2"/>
  <c r="S177" i="2"/>
  <c r="O177" i="2"/>
  <c r="M177" i="2"/>
  <c r="L177" i="2"/>
  <c r="N177" i="2"/>
  <c r="G177" i="2"/>
  <c r="Q176" i="2"/>
  <c r="R176" i="2"/>
  <c r="S176" i="2"/>
  <c r="O176" i="2"/>
  <c r="M176" i="2"/>
  <c r="L176" i="2"/>
  <c r="N176" i="2"/>
  <c r="G176" i="2"/>
  <c r="Q175" i="2"/>
  <c r="R175" i="2"/>
  <c r="S175" i="2"/>
  <c r="O175" i="2"/>
  <c r="M175" i="2"/>
  <c r="L175" i="2"/>
  <c r="N175" i="2"/>
  <c r="G175" i="2"/>
  <c r="Q174" i="2"/>
  <c r="R174" i="2"/>
  <c r="S174" i="2"/>
  <c r="O174" i="2"/>
  <c r="M174" i="2"/>
  <c r="L174" i="2"/>
  <c r="N174" i="2"/>
  <c r="G174" i="2"/>
  <c r="Q173" i="2"/>
  <c r="R173" i="2"/>
  <c r="S173" i="2"/>
  <c r="O173" i="2"/>
  <c r="M173" i="2"/>
  <c r="L173" i="2"/>
  <c r="N173" i="2"/>
  <c r="G173" i="2"/>
  <c r="Q172" i="2"/>
  <c r="R172" i="2"/>
  <c r="S172" i="2"/>
  <c r="O172" i="2"/>
  <c r="M172" i="2"/>
  <c r="L172" i="2"/>
  <c r="N172" i="2"/>
  <c r="G172" i="2"/>
  <c r="Q171" i="2"/>
  <c r="R171" i="2"/>
  <c r="S171" i="2"/>
  <c r="O171" i="2"/>
  <c r="M171" i="2"/>
  <c r="L171" i="2"/>
  <c r="N171" i="2"/>
  <c r="G171" i="2"/>
  <c r="Q170" i="2"/>
  <c r="R170" i="2"/>
  <c r="S170" i="2"/>
  <c r="O170" i="2"/>
  <c r="M170" i="2"/>
  <c r="L170" i="2"/>
  <c r="N170" i="2"/>
  <c r="G170" i="2"/>
  <c r="Q169" i="2"/>
  <c r="R169" i="2"/>
  <c r="S169" i="2"/>
  <c r="O169" i="2"/>
  <c r="M169" i="2"/>
  <c r="L169" i="2"/>
  <c r="N169" i="2"/>
  <c r="G169" i="2"/>
  <c r="Q168" i="2"/>
  <c r="R168" i="2"/>
  <c r="S168" i="2"/>
  <c r="O168" i="2"/>
  <c r="M168" i="2"/>
  <c r="L168" i="2"/>
  <c r="N168" i="2"/>
  <c r="G168" i="2"/>
  <c r="Q167" i="2"/>
  <c r="R167" i="2"/>
  <c r="S167" i="2"/>
  <c r="O167" i="2"/>
  <c r="M167" i="2"/>
  <c r="L167" i="2"/>
  <c r="N167" i="2"/>
  <c r="G167" i="2"/>
  <c r="Q166" i="2"/>
  <c r="R166" i="2"/>
  <c r="S166" i="2"/>
  <c r="O166" i="2"/>
  <c r="M166" i="2"/>
  <c r="L166" i="2"/>
  <c r="N166" i="2"/>
  <c r="G166" i="2"/>
  <c r="Q165" i="2"/>
  <c r="R165" i="2"/>
  <c r="S165" i="2"/>
  <c r="O165" i="2"/>
  <c r="M165" i="2"/>
  <c r="L165" i="2"/>
  <c r="N165" i="2"/>
  <c r="G165" i="2"/>
  <c r="Q164" i="2"/>
  <c r="R164" i="2"/>
  <c r="S164" i="2"/>
  <c r="O164" i="2"/>
  <c r="M164" i="2"/>
  <c r="L164" i="2"/>
  <c r="N164" i="2"/>
  <c r="G164" i="2"/>
  <c r="Q163" i="2"/>
  <c r="R163" i="2"/>
  <c r="S163" i="2"/>
  <c r="O163" i="2"/>
  <c r="M163" i="2"/>
  <c r="L163" i="2"/>
  <c r="N163" i="2"/>
  <c r="G163" i="2"/>
  <c r="Q162" i="2"/>
  <c r="R162" i="2"/>
  <c r="S162" i="2"/>
  <c r="O162" i="2"/>
  <c r="M162" i="2"/>
  <c r="L162" i="2"/>
  <c r="N162" i="2"/>
  <c r="G162" i="2"/>
  <c r="Q161" i="2"/>
  <c r="R161" i="2"/>
  <c r="S161" i="2"/>
  <c r="O161" i="2"/>
  <c r="M161" i="2"/>
  <c r="L161" i="2"/>
  <c r="N161" i="2"/>
  <c r="G161" i="2"/>
  <c r="Q160" i="2"/>
  <c r="R160" i="2"/>
  <c r="S160" i="2"/>
  <c r="O160" i="2"/>
  <c r="M160" i="2"/>
  <c r="L160" i="2"/>
  <c r="N160" i="2"/>
  <c r="G160" i="2"/>
  <c r="Q159" i="2"/>
  <c r="R159" i="2"/>
  <c r="S159" i="2"/>
  <c r="O159" i="2"/>
  <c r="M159" i="2"/>
  <c r="L159" i="2"/>
  <c r="N159" i="2"/>
  <c r="G159" i="2"/>
  <c r="Q158" i="2"/>
  <c r="R158" i="2"/>
  <c r="S158" i="2"/>
  <c r="O158" i="2"/>
  <c r="M158" i="2"/>
  <c r="L158" i="2"/>
  <c r="N158" i="2"/>
  <c r="G158" i="2"/>
  <c r="Q157" i="2"/>
  <c r="R157" i="2"/>
  <c r="S157" i="2"/>
  <c r="O157" i="2"/>
  <c r="M157" i="2"/>
  <c r="L157" i="2"/>
  <c r="N157" i="2"/>
  <c r="G157" i="2"/>
  <c r="Q156" i="2"/>
  <c r="R156" i="2"/>
  <c r="S156" i="2"/>
  <c r="O156" i="2"/>
  <c r="M156" i="2"/>
  <c r="L156" i="2"/>
  <c r="N156" i="2"/>
  <c r="G156" i="2"/>
  <c r="Q155" i="2"/>
  <c r="R155" i="2"/>
  <c r="S155" i="2"/>
  <c r="O155" i="2"/>
  <c r="M155" i="2"/>
  <c r="L155" i="2"/>
  <c r="N155" i="2"/>
  <c r="G155" i="2"/>
  <c r="Q154" i="2"/>
  <c r="R154" i="2"/>
  <c r="S154" i="2"/>
  <c r="O154" i="2"/>
  <c r="M154" i="2"/>
  <c r="L154" i="2"/>
  <c r="N154" i="2"/>
  <c r="G154" i="2"/>
  <c r="Q153" i="2"/>
  <c r="R153" i="2"/>
  <c r="S153" i="2"/>
  <c r="O153" i="2"/>
  <c r="M153" i="2"/>
  <c r="L153" i="2"/>
  <c r="N153" i="2"/>
  <c r="G153" i="2"/>
  <c r="Q152" i="2"/>
  <c r="R152" i="2"/>
  <c r="S152" i="2"/>
  <c r="O152" i="2"/>
  <c r="M152" i="2"/>
  <c r="L152" i="2"/>
  <c r="N152" i="2"/>
  <c r="G152" i="2"/>
  <c r="Q151" i="2"/>
  <c r="R151" i="2"/>
  <c r="S151" i="2"/>
  <c r="O151" i="2"/>
  <c r="M151" i="2"/>
  <c r="L151" i="2"/>
  <c r="N151" i="2"/>
  <c r="G151" i="2"/>
  <c r="Q150" i="2"/>
  <c r="R150" i="2"/>
  <c r="S150" i="2"/>
  <c r="O150" i="2"/>
  <c r="M150" i="2"/>
  <c r="L150" i="2"/>
  <c r="N150" i="2"/>
  <c r="G150" i="2"/>
  <c r="Q149" i="2"/>
  <c r="R149" i="2"/>
  <c r="S149" i="2"/>
  <c r="O149" i="2"/>
  <c r="M149" i="2"/>
  <c r="L149" i="2"/>
  <c r="N149" i="2"/>
  <c r="G149" i="2"/>
  <c r="Q148" i="2"/>
  <c r="R148" i="2"/>
  <c r="S148" i="2"/>
  <c r="O148" i="2"/>
  <c r="M148" i="2"/>
  <c r="L148" i="2"/>
  <c r="N148" i="2"/>
  <c r="G148" i="2"/>
  <c r="Q147" i="2"/>
  <c r="R147" i="2"/>
  <c r="S147" i="2"/>
  <c r="O147" i="2"/>
  <c r="M147" i="2"/>
  <c r="L147" i="2"/>
  <c r="N147" i="2"/>
  <c r="G147" i="2"/>
  <c r="Q146" i="2"/>
  <c r="R146" i="2"/>
  <c r="S146" i="2"/>
  <c r="O146" i="2"/>
  <c r="M146" i="2"/>
  <c r="L146" i="2"/>
  <c r="N146" i="2"/>
  <c r="G146" i="2"/>
  <c r="Q145" i="2"/>
  <c r="R145" i="2"/>
  <c r="S145" i="2"/>
  <c r="O145" i="2"/>
  <c r="M145" i="2"/>
  <c r="L145" i="2"/>
  <c r="N145" i="2"/>
  <c r="G145" i="2"/>
  <c r="Q144" i="2"/>
  <c r="R144" i="2"/>
  <c r="S144" i="2"/>
  <c r="O144" i="2"/>
  <c r="M144" i="2"/>
  <c r="L144" i="2"/>
  <c r="N144" i="2"/>
  <c r="G144" i="2"/>
  <c r="Q143" i="2"/>
  <c r="R143" i="2"/>
  <c r="S143" i="2"/>
  <c r="O143" i="2"/>
  <c r="M143" i="2"/>
  <c r="L143" i="2"/>
  <c r="N143" i="2"/>
  <c r="G143" i="2"/>
  <c r="Q142" i="2"/>
  <c r="R142" i="2"/>
  <c r="S142" i="2"/>
  <c r="O142" i="2"/>
  <c r="M142" i="2"/>
  <c r="L142" i="2"/>
  <c r="N142" i="2"/>
  <c r="G142" i="2"/>
  <c r="Q141" i="2"/>
  <c r="R141" i="2"/>
  <c r="S141" i="2"/>
  <c r="O141" i="2"/>
  <c r="M141" i="2"/>
  <c r="L141" i="2"/>
  <c r="N141" i="2"/>
  <c r="G141" i="2"/>
  <c r="Q140" i="2"/>
  <c r="R140" i="2"/>
  <c r="S140" i="2"/>
  <c r="O140" i="2"/>
  <c r="M140" i="2"/>
  <c r="L140" i="2"/>
  <c r="N140" i="2"/>
  <c r="G140" i="2"/>
  <c r="Q139" i="2"/>
  <c r="R139" i="2"/>
  <c r="S139" i="2"/>
  <c r="O139" i="2"/>
  <c r="M139" i="2"/>
  <c r="L139" i="2"/>
  <c r="N139" i="2"/>
  <c r="G139" i="2"/>
  <c r="Q138" i="2"/>
  <c r="R138" i="2"/>
  <c r="S138" i="2"/>
  <c r="O138" i="2"/>
  <c r="M138" i="2"/>
  <c r="L138" i="2"/>
  <c r="N138" i="2"/>
  <c r="G138" i="2"/>
  <c r="Q137" i="2"/>
  <c r="R137" i="2"/>
  <c r="S137" i="2"/>
  <c r="O137" i="2"/>
  <c r="M137" i="2"/>
  <c r="L137" i="2"/>
  <c r="N137" i="2"/>
  <c r="G137" i="2"/>
  <c r="Q136" i="2"/>
  <c r="R136" i="2"/>
  <c r="S136" i="2"/>
  <c r="O136" i="2"/>
  <c r="M136" i="2"/>
  <c r="L136" i="2"/>
  <c r="N136" i="2"/>
  <c r="G136" i="2"/>
  <c r="Q135" i="2"/>
  <c r="R135" i="2"/>
  <c r="S135" i="2"/>
  <c r="O135" i="2"/>
  <c r="M135" i="2"/>
  <c r="L135" i="2"/>
  <c r="N135" i="2"/>
  <c r="G135" i="2"/>
  <c r="Q134" i="2"/>
  <c r="R134" i="2"/>
  <c r="S134" i="2"/>
  <c r="O134" i="2"/>
  <c r="M134" i="2"/>
  <c r="L134" i="2"/>
  <c r="N134" i="2"/>
  <c r="G134" i="2"/>
  <c r="Q133" i="2"/>
  <c r="R133" i="2"/>
  <c r="S133" i="2"/>
  <c r="O133" i="2"/>
  <c r="M133" i="2"/>
  <c r="L133" i="2"/>
  <c r="N133" i="2"/>
  <c r="G133" i="2"/>
  <c r="Q132" i="2"/>
  <c r="R132" i="2"/>
  <c r="S132" i="2"/>
  <c r="O132" i="2"/>
  <c r="M132" i="2"/>
  <c r="L132" i="2"/>
  <c r="N132" i="2"/>
  <c r="G132" i="2"/>
  <c r="Q131" i="2"/>
  <c r="R131" i="2"/>
  <c r="S131" i="2"/>
  <c r="O131" i="2"/>
  <c r="M131" i="2"/>
  <c r="L131" i="2"/>
  <c r="N131" i="2"/>
  <c r="G131" i="2"/>
  <c r="Q130" i="2"/>
  <c r="R130" i="2"/>
  <c r="S130" i="2"/>
  <c r="O130" i="2"/>
  <c r="M130" i="2"/>
  <c r="L130" i="2"/>
  <c r="N130" i="2"/>
  <c r="G130" i="2"/>
  <c r="Q129" i="2"/>
  <c r="R129" i="2"/>
  <c r="S129" i="2"/>
  <c r="O129" i="2"/>
  <c r="M129" i="2"/>
  <c r="L129" i="2"/>
  <c r="N129" i="2"/>
  <c r="G129" i="2"/>
  <c r="Q128" i="2"/>
  <c r="R128" i="2"/>
  <c r="S128" i="2"/>
  <c r="O128" i="2"/>
  <c r="M128" i="2"/>
  <c r="L128" i="2"/>
  <c r="N128" i="2"/>
  <c r="G128" i="2"/>
  <c r="Q127" i="2"/>
  <c r="R127" i="2"/>
  <c r="S127" i="2"/>
  <c r="O127" i="2"/>
  <c r="M127" i="2"/>
  <c r="L127" i="2"/>
  <c r="N127" i="2"/>
  <c r="G127" i="2"/>
  <c r="Q126" i="2"/>
  <c r="R126" i="2"/>
  <c r="S126" i="2"/>
  <c r="O126" i="2"/>
  <c r="M126" i="2"/>
  <c r="L126" i="2"/>
  <c r="N126" i="2"/>
  <c r="G126" i="2"/>
  <c r="Q125" i="2"/>
  <c r="R125" i="2"/>
  <c r="S125" i="2"/>
  <c r="O125" i="2"/>
  <c r="M125" i="2"/>
  <c r="L125" i="2"/>
  <c r="N125" i="2"/>
  <c r="G125" i="2"/>
  <c r="Q124" i="2"/>
  <c r="R124" i="2"/>
  <c r="S124" i="2"/>
  <c r="O124" i="2"/>
  <c r="M124" i="2"/>
  <c r="L124" i="2"/>
  <c r="N124" i="2"/>
  <c r="G124" i="2"/>
  <c r="Q123" i="2"/>
  <c r="R123" i="2"/>
  <c r="S123" i="2"/>
  <c r="O123" i="2"/>
  <c r="M123" i="2"/>
  <c r="L123" i="2"/>
  <c r="N123" i="2"/>
  <c r="G123" i="2"/>
  <c r="Q122" i="2"/>
  <c r="R122" i="2"/>
  <c r="S122" i="2"/>
  <c r="O122" i="2"/>
  <c r="M122" i="2"/>
  <c r="L122" i="2"/>
  <c r="N122" i="2"/>
  <c r="G122" i="2"/>
  <c r="Q121" i="2"/>
  <c r="R121" i="2"/>
  <c r="S121" i="2"/>
  <c r="O121" i="2"/>
  <c r="M121" i="2"/>
  <c r="L121" i="2"/>
  <c r="N121" i="2"/>
  <c r="G121" i="2"/>
  <c r="Q120" i="2"/>
  <c r="R120" i="2"/>
  <c r="S120" i="2"/>
  <c r="O120" i="2"/>
  <c r="M120" i="2"/>
  <c r="L120" i="2"/>
  <c r="N120" i="2"/>
  <c r="G120" i="2"/>
  <c r="Q119" i="2"/>
  <c r="R119" i="2"/>
  <c r="S119" i="2"/>
  <c r="O119" i="2"/>
  <c r="M119" i="2"/>
  <c r="L119" i="2"/>
  <c r="N119" i="2"/>
  <c r="G119" i="2"/>
  <c r="Q118" i="2"/>
  <c r="R118" i="2"/>
  <c r="S118" i="2"/>
  <c r="O118" i="2"/>
  <c r="M118" i="2"/>
  <c r="L118" i="2"/>
  <c r="N118" i="2"/>
  <c r="G118" i="2"/>
  <c r="Q117" i="2"/>
  <c r="R117" i="2"/>
  <c r="S117" i="2"/>
  <c r="O117" i="2"/>
  <c r="M117" i="2"/>
  <c r="L117" i="2"/>
  <c r="N117" i="2"/>
  <c r="G117" i="2"/>
  <c r="Q116" i="2"/>
  <c r="R116" i="2"/>
  <c r="S116" i="2"/>
  <c r="O116" i="2"/>
  <c r="M116" i="2"/>
  <c r="L116" i="2"/>
  <c r="N116" i="2"/>
  <c r="G116" i="2"/>
  <c r="Q115" i="2"/>
  <c r="R115" i="2"/>
  <c r="S115" i="2"/>
  <c r="O115" i="2"/>
  <c r="M115" i="2"/>
  <c r="L115" i="2"/>
  <c r="N115" i="2"/>
  <c r="G115" i="2"/>
  <c r="Q114" i="2"/>
  <c r="R114" i="2"/>
  <c r="S114" i="2"/>
  <c r="O114" i="2"/>
  <c r="M114" i="2"/>
  <c r="L114" i="2"/>
  <c r="N114" i="2"/>
  <c r="G114" i="2"/>
  <c r="Q113" i="2"/>
  <c r="R113" i="2"/>
  <c r="S113" i="2"/>
  <c r="O113" i="2"/>
  <c r="M113" i="2"/>
  <c r="L113" i="2"/>
  <c r="N113" i="2"/>
  <c r="G113" i="2"/>
  <c r="Q112" i="2"/>
  <c r="R112" i="2"/>
  <c r="S112" i="2"/>
  <c r="O112" i="2"/>
  <c r="M112" i="2"/>
  <c r="L112" i="2"/>
  <c r="N112" i="2"/>
  <c r="G112" i="2"/>
  <c r="Q111" i="2"/>
  <c r="R111" i="2"/>
  <c r="S111" i="2"/>
  <c r="O111" i="2"/>
  <c r="M111" i="2"/>
  <c r="L111" i="2"/>
  <c r="N111" i="2"/>
  <c r="G111" i="2"/>
  <c r="Q110" i="2"/>
  <c r="R110" i="2"/>
  <c r="S110" i="2"/>
  <c r="O110" i="2"/>
  <c r="M110" i="2"/>
  <c r="L110" i="2"/>
  <c r="N110" i="2"/>
  <c r="G110" i="2"/>
  <c r="Q109" i="2"/>
  <c r="R109" i="2"/>
  <c r="S109" i="2"/>
  <c r="O109" i="2"/>
  <c r="M109" i="2"/>
  <c r="L109" i="2"/>
  <c r="N109" i="2"/>
  <c r="G109" i="2"/>
  <c r="Q108" i="2"/>
  <c r="R108" i="2"/>
  <c r="S108" i="2"/>
  <c r="O108" i="2"/>
  <c r="M108" i="2"/>
  <c r="L108" i="2"/>
  <c r="N108" i="2"/>
  <c r="G108" i="2"/>
  <c r="Q107" i="2"/>
  <c r="R107" i="2"/>
  <c r="S107" i="2"/>
  <c r="O107" i="2"/>
  <c r="M107" i="2"/>
  <c r="L107" i="2"/>
  <c r="N107" i="2"/>
  <c r="G107" i="2"/>
  <c r="Q106" i="2"/>
  <c r="R106" i="2"/>
  <c r="S106" i="2"/>
  <c r="O106" i="2"/>
  <c r="M106" i="2"/>
  <c r="L106" i="2"/>
  <c r="N106" i="2"/>
  <c r="G106" i="2"/>
  <c r="Q105" i="2"/>
  <c r="R105" i="2"/>
  <c r="S105" i="2"/>
  <c r="O105" i="2"/>
  <c r="M105" i="2"/>
  <c r="L105" i="2"/>
  <c r="N105" i="2"/>
  <c r="G105" i="2"/>
  <c r="Q104" i="2"/>
  <c r="R104" i="2"/>
  <c r="S104" i="2"/>
  <c r="O104" i="2"/>
  <c r="M104" i="2"/>
  <c r="L104" i="2"/>
  <c r="N104" i="2"/>
  <c r="G104" i="2"/>
  <c r="Q103" i="2"/>
  <c r="R103" i="2"/>
  <c r="S103" i="2"/>
  <c r="O103" i="2"/>
  <c r="M103" i="2"/>
  <c r="L103" i="2"/>
  <c r="N103" i="2"/>
  <c r="G103" i="2"/>
  <c r="Q102" i="2"/>
  <c r="R102" i="2"/>
  <c r="S102" i="2"/>
  <c r="O102" i="2"/>
  <c r="M102" i="2"/>
  <c r="L102" i="2"/>
  <c r="N102" i="2"/>
  <c r="G102" i="2"/>
  <c r="Q101" i="2"/>
  <c r="R101" i="2"/>
  <c r="S101" i="2"/>
  <c r="O101" i="2"/>
  <c r="M101" i="2"/>
  <c r="L101" i="2"/>
  <c r="N101" i="2"/>
  <c r="G101" i="2"/>
  <c r="Q100" i="2"/>
  <c r="R100" i="2"/>
  <c r="S100" i="2"/>
  <c r="O100" i="2"/>
  <c r="M100" i="2"/>
  <c r="L100" i="2"/>
  <c r="N100" i="2"/>
  <c r="G100" i="2"/>
  <c r="Q99" i="2"/>
  <c r="R99" i="2"/>
  <c r="S99" i="2"/>
  <c r="O99" i="2"/>
  <c r="M99" i="2"/>
  <c r="L99" i="2"/>
  <c r="N99" i="2"/>
  <c r="G99" i="2"/>
  <c r="Q98" i="2"/>
  <c r="R98" i="2"/>
  <c r="S98" i="2"/>
  <c r="O98" i="2"/>
  <c r="M98" i="2"/>
  <c r="L98" i="2"/>
  <c r="N98" i="2"/>
  <c r="G98" i="2"/>
  <c r="Q97" i="2"/>
  <c r="R97" i="2"/>
  <c r="S97" i="2"/>
  <c r="O97" i="2"/>
  <c r="M97" i="2"/>
  <c r="L97" i="2"/>
  <c r="N97" i="2"/>
  <c r="G97" i="2"/>
  <c r="Q96" i="2"/>
  <c r="R96" i="2"/>
  <c r="S96" i="2"/>
  <c r="O96" i="2"/>
  <c r="M96" i="2"/>
  <c r="L96" i="2"/>
  <c r="N96" i="2"/>
  <c r="G96" i="2"/>
  <c r="Q95" i="2"/>
  <c r="R95" i="2"/>
  <c r="S95" i="2"/>
  <c r="O95" i="2"/>
  <c r="M95" i="2"/>
  <c r="L95" i="2"/>
  <c r="N95" i="2"/>
  <c r="G95" i="2"/>
  <c r="Q94" i="2"/>
  <c r="R94" i="2"/>
  <c r="S94" i="2"/>
  <c r="O94" i="2"/>
  <c r="M94" i="2"/>
  <c r="L94" i="2"/>
  <c r="N94" i="2"/>
  <c r="G94" i="2"/>
  <c r="Q93" i="2"/>
  <c r="R93" i="2"/>
  <c r="S93" i="2"/>
  <c r="O93" i="2"/>
  <c r="M93" i="2"/>
  <c r="L93" i="2"/>
  <c r="N93" i="2"/>
  <c r="G93" i="2"/>
  <c r="Q92" i="2"/>
  <c r="R92" i="2"/>
  <c r="S92" i="2"/>
  <c r="O92" i="2"/>
  <c r="M92" i="2"/>
  <c r="L92" i="2"/>
  <c r="N92" i="2"/>
  <c r="G92" i="2"/>
  <c r="Q91" i="2"/>
  <c r="R91" i="2"/>
  <c r="S91" i="2"/>
  <c r="O91" i="2"/>
  <c r="M91" i="2"/>
  <c r="L91" i="2"/>
  <c r="N91" i="2"/>
  <c r="G91" i="2"/>
  <c r="Q90" i="2"/>
  <c r="R90" i="2"/>
  <c r="S90" i="2"/>
  <c r="O90" i="2"/>
  <c r="M90" i="2"/>
  <c r="L90" i="2"/>
  <c r="N90" i="2"/>
  <c r="G90" i="2"/>
  <c r="Q89" i="2"/>
  <c r="R89" i="2"/>
  <c r="S89" i="2"/>
  <c r="O89" i="2"/>
  <c r="M89" i="2"/>
  <c r="L89" i="2"/>
  <c r="N89" i="2"/>
  <c r="G89" i="2"/>
  <c r="Q88" i="2"/>
  <c r="R88" i="2"/>
  <c r="S88" i="2"/>
  <c r="O88" i="2"/>
  <c r="M88" i="2"/>
  <c r="L88" i="2"/>
  <c r="N88" i="2"/>
  <c r="G88" i="2"/>
  <c r="Q87" i="2"/>
  <c r="R87" i="2"/>
  <c r="S87" i="2"/>
  <c r="O87" i="2"/>
  <c r="M87" i="2"/>
  <c r="L87" i="2"/>
  <c r="N87" i="2"/>
  <c r="G87" i="2"/>
  <c r="Q86" i="2"/>
  <c r="R86" i="2"/>
  <c r="S86" i="2"/>
  <c r="O86" i="2"/>
  <c r="M86" i="2"/>
  <c r="L86" i="2"/>
  <c r="N86" i="2"/>
  <c r="G86" i="2"/>
  <c r="Q85" i="2"/>
  <c r="R85" i="2"/>
  <c r="S85" i="2"/>
  <c r="O85" i="2"/>
  <c r="M85" i="2"/>
  <c r="L85" i="2"/>
  <c r="N85" i="2"/>
  <c r="G85" i="2"/>
  <c r="Q84" i="2"/>
  <c r="R84" i="2"/>
  <c r="S84" i="2"/>
  <c r="O84" i="2"/>
  <c r="M84" i="2"/>
  <c r="L84" i="2"/>
  <c r="N84" i="2"/>
  <c r="G84" i="2"/>
  <c r="Q83" i="2"/>
  <c r="R83" i="2"/>
  <c r="S83" i="2"/>
  <c r="O83" i="2"/>
  <c r="M83" i="2"/>
  <c r="L83" i="2"/>
  <c r="N83" i="2"/>
  <c r="G83" i="2"/>
  <c r="Q82" i="2"/>
  <c r="R82" i="2"/>
  <c r="S82" i="2"/>
  <c r="O82" i="2"/>
  <c r="M82" i="2"/>
  <c r="L82" i="2"/>
  <c r="N82" i="2"/>
  <c r="G82" i="2"/>
  <c r="Q81" i="2"/>
  <c r="R81" i="2"/>
  <c r="S81" i="2"/>
  <c r="O81" i="2"/>
  <c r="M81" i="2"/>
  <c r="L81" i="2"/>
  <c r="N81" i="2"/>
  <c r="G81" i="2"/>
  <c r="Q80" i="2"/>
  <c r="R80" i="2"/>
  <c r="S80" i="2"/>
  <c r="O80" i="2"/>
  <c r="M80" i="2"/>
  <c r="L80" i="2"/>
  <c r="N80" i="2"/>
  <c r="G80" i="2"/>
  <c r="Q79" i="2"/>
  <c r="R79" i="2"/>
  <c r="S79" i="2"/>
  <c r="O79" i="2"/>
  <c r="M79" i="2"/>
  <c r="L79" i="2"/>
  <c r="N79" i="2"/>
  <c r="G79" i="2"/>
  <c r="Q78" i="2"/>
  <c r="R78" i="2"/>
  <c r="S78" i="2"/>
  <c r="O78" i="2"/>
  <c r="M78" i="2"/>
  <c r="L78" i="2"/>
  <c r="N78" i="2"/>
  <c r="G78" i="2"/>
  <c r="Q77" i="2"/>
  <c r="R77" i="2"/>
  <c r="S77" i="2"/>
  <c r="O77" i="2"/>
  <c r="M77" i="2"/>
  <c r="L77" i="2"/>
  <c r="N77" i="2"/>
  <c r="G77" i="2"/>
  <c r="Q76" i="2"/>
  <c r="R76" i="2"/>
  <c r="S76" i="2"/>
  <c r="O76" i="2"/>
  <c r="M76" i="2"/>
  <c r="L76" i="2"/>
  <c r="N76" i="2"/>
  <c r="G76" i="2"/>
  <c r="Q75" i="2"/>
  <c r="R75" i="2"/>
  <c r="S75" i="2"/>
  <c r="O75" i="2"/>
  <c r="M75" i="2"/>
  <c r="L75" i="2"/>
  <c r="N75" i="2"/>
  <c r="G75" i="2"/>
  <c r="Q74" i="2"/>
  <c r="R74" i="2"/>
  <c r="S74" i="2"/>
  <c r="O74" i="2"/>
  <c r="M74" i="2"/>
  <c r="L74" i="2"/>
  <c r="N74" i="2"/>
  <c r="G74" i="2"/>
  <c r="Q73" i="2"/>
  <c r="R73" i="2"/>
  <c r="S73" i="2"/>
  <c r="O73" i="2"/>
  <c r="M73" i="2"/>
  <c r="L73" i="2"/>
  <c r="N73" i="2"/>
  <c r="G73" i="2"/>
  <c r="Q72" i="2"/>
  <c r="R72" i="2"/>
  <c r="S72" i="2"/>
  <c r="O72" i="2"/>
  <c r="M72" i="2"/>
  <c r="L72" i="2"/>
  <c r="N72" i="2"/>
  <c r="G72" i="2"/>
  <c r="Q71" i="2"/>
  <c r="R71" i="2"/>
  <c r="S71" i="2"/>
  <c r="O71" i="2"/>
  <c r="M71" i="2"/>
  <c r="L71" i="2"/>
  <c r="N71" i="2"/>
  <c r="G71" i="2"/>
  <c r="Q70" i="2"/>
  <c r="R70" i="2"/>
  <c r="S70" i="2"/>
  <c r="O70" i="2"/>
  <c r="M70" i="2"/>
  <c r="L70" i="2"/>
  <c r="N70" i="2"/>
  <c r="G70" i="2"/>
  <c r="Q69" i="2"/>
  <c r="R69" i="2"/>
  <c r="S69" i="2"/>
  <c r="O69" i="2"/>
  <c r="M69" i="2"/>
  <c r="L69" i="2"/>
  <c r="N69" i="2"/>
  <c r="G69" i="2"/>
  <c r="Q68" i="2"/>
  <c r="R68" i="2"/>
  <c r="S68" i="2"/>
  <c r="O68" i="2"/>
  <c r="M68" i="2"/>
  <c r="L68" i="2"/>
  <c r="N68" i="2"/>
  <c r="G68" i="2"/>
  <c r="Q67" i="2"/>
  <c r="R67" i="2"/>
  <c r="S67" i="2"/>
  <c r="O67" i="2"/>
  <c r="M67" i="2"/>
  <c r="L67" i="2"/>
  <c r="N67" i="2"/>
  <c r="G67" i="2"/>
  <c r="Q66" i="2"/>
  <c r="R66" i="2"/>
  <c r="S66" i="2"/>
  <c r="O66" i="2"/>
  <c r="M66" i="2"/>
  <c r="L66" i="2"/>
  <c r="N66" i="2"/>
  <c r="G66" i="2"/>
  <c r="Q65" i="2"/>
  <c r="R65" i="2"/>
  <c r="S65" i="2"/>
  <c r="O65" i="2"/>
  <c r="M65" i="2"/>
  <c r="L65" i="2"/>
  <c r="N65" i="2"/>
  <c r="G65" i="2"/>
  <c r="Q64" i="2"/>
  <c r="R64" i="2"/>
  <c r="S64" i="2"/>
  <c r="O64" i="2"/>
  <c r="M64" i="2"/>
  <c r="L64" i="2"/>
  <c r="N64" i="2"/>
  <c r="G64" i="2"/>
  <c r="Q63" i="2"/>
  <c r="R63" i="2"/>
  <c r="S63" i="2"/>
  <c r="O63" i="2"/>
  <c r="M63" i="2"/>
  <c r="L63" i="2"/>
  <c r="N63" i="2"/>
  <c r="G63" i="2"/>
  <c r="Q62" i="2"/>
  <c r="R62" i="2"/>
  <c r="S62" i="2"/>
  <c r="O62" i="2"/>
  <c r="M62" i="2"/>
  <c r="L62" i="2"/>
  <c r="N62" i="2"/>
  <c r="G62" i="2"/>
  <c r="Q61" i="2"/>
  <c r="R61" i="2"/>
  <c r="S61" i="2"/>
  <c r="O61" i="2"/>
  <c r="M61" i="2"/>
  <c r="L61" i="2"/>
  <c r="N61" i="2"/>
  <c r="G61" i="2"/>
  <c r="Q60" i="2"/>
  <c r="R60" i="2"/>
  <c r="S60" i="2"/>
  <c r="O60" i="2"/>
  <c r="M60" i="2"/>
  <c r="L60" i="2"/>
  <c r="N60" i="2"/>
  <c r="G60" i="2"/>
  <c r="Q59" i="2"/>
  <c r="R59" i="2"/>
  <c r="S59" i="2"/>
  <c r="O59" i="2"/>
  <c r="M59" i="2"/>
  <c r="L59" i="2"/>
  <c r="N59" i="2"/>
  <c r="G59" i="2"/>
  <c r="Q58" i="2"/>
  <c r="R58" i="2"/>
  <c r="S58" i="2"/>
  <c r="O58" i="2"/>
  <c r="M58" i="2"/>
  <c r="L58" i="2"/>
  <c r="N58" i="2"/>
  <c r="G58" i="2"/>
  <c r="Q57" i="2"/>
  <c r="R57" i="2"/>
  <c r="S57" i="2"/>
  <c r="O57" i="2"/>
  <c r="M57" i="2"/>
  <c r="L57" i="2"/>
  <c r="N57" i="2"/>
  <c r="G57" i="2"/>
  <c r="Q56" i="2"/>
  <c r="R56" i="2"/>
  <c r="S56" i="2"/>
  <c r="O56" i="2"/>
  <c r="M56" i="2"/>
  <c r="L56" i="2"/>
  <c r="N56" i="2"/>
  <c r="G56" i="2"/>
  <c r="Q55" i="2"/>
  <c r="R55" i="2"/>
  <c r="S55" i="2"/>
  <c r="O55" i="2"/>
  <c r="M55" i="2"/>
  <c r="L55" i="2"/>
  <c r="N55" i="2"/>
  <c r="G55" i="2"/>
  <c r="Q54" i="2"/>
  <c r="R54" i="2"/>
  <c r="S54" i="2"/>
  <c r="O54" i="2"/>
  <c r="M54" i="2"/>
  <c r="L54" i="2"/>
  <c r="N54" i="2"/>
  <c r="G54" i="2"/>
  <c r="Q53" i="2"/>
  <c r="R53" i="2"/>
  <c r="S53" i="2"/>
  <c r="O53" i="2"/>
  <c r="M53" i="2"/>
  <c r="L53" i="2"/>
  <c r="N53" i="2"/>
  <c r="G53" i="2"/>
  <c r="Q52" i="2"/>
  <c r="R52" i="2"/>
  <c r="S52" i="2"/>
  <c r="O52" i="2"/>
  <c r="M52" i="2"/>
  <c r="L52" i="2"/>
  <c r="N52" i="2"/>
  <c r="G52" i="2"/>
  <c r="Q51" i="2"/>
  <c r="R51" i="2"/>
  <c r="S51" i="2"/>
  <c r="O51" i="2"/>
  <c r="M51" i="2"/>
  <c r="L51" i="2"/>
  <c r="N51" i="2"/>
  <c r="G51" i="2"/>
  <c r="Q50" i="2"/>
  <c r="R50" i="2"/>
  <c r="S50" i="2"/>
  <c r="O50" i="2"/>
  <c r="M50" i="2"/>
  <c r="L50" i="2"/>
  <c r="N50" i="2"/>
  <c r="G50" i="2"/>
  <c r="Q49" i="2"/>
  <c r="R49" i="2"/>
  <c r="S49" i="2"/>
  <c r="O49" i="2"/>
  <c r="M49" i="2"/>
  <c r="L49" i="2"/>
  <c r="N49" i="2"/>
  <c r="G49" i="2"/>
  <c r="Q48" i="2"/>
  <c r="R48" i="2"/>
  <c r="S48" i="2"/>
  <c r="O48" i="2"/>
  <c r="M48" i="2"/>
  <c r="L48" i="2"/>
  <c r="N48" i="2"/>
  <c r="G48" i="2"/>
  <c r="Q47" i="2"/>
  <c r="R47" i="2"/>
  <c r="S47" i="2"/>
  <c r="O47" i="2"/>
  <c r="M47" i="2"/>
  <c r="L47" i="2"/>
  <c r="N47" i="2"/>
  <c r="G47" i="2"/>
  <c r="Q46" i="2"/>
  <c r="R46" i="2"/>
  <c r="S46" i="2"/>
  <c r="O46" i="2"/>
  <c r="M46" i="2"/>
  <c r="L46" i="2"/>
  <c r="N46" i="2"/>
  <c r="G46" i="2"/>
  <c r="Q45" i="2"/>
  <c r="R45" i="2"/>
  <c r="S45" i="2"/>
  <c r="O45" i="2"/>
  <c r="M45" i="2"/>
  <c r="L45" i="2"/>
  <c r="N45" i="2"/>
  <c r="G45" i="2"/>
  <c r="Q44" i="2"/>
  <c r="R44" i="2"/>
  <c r="S44" i="2"/>
  <c r="O44" i="2"/>
  <c r="M44" i="2"/>
  <c r="L44" i="2"/>
  <c r="N44" i="2"/>
  <c r="G44" i="2"/>
  <c r="Q43" i="2"/>
  <c r="R43" i="2"/>
  <c r="S43" i="2"/>
  <c r="O43" i="2"/>
  <c r="M43" i="2"/>
  <c r="L43" i="2"/>
  <c r="N43" i="2"/>
  <c r="G43" i="2"/>
  <c r="Q42" i="2"/>
  <c r="R42" i="2"/>
  <c r="S42" i="2"/>
  <c r="O42" i="2"/>
  <c r="M42" i="2"/>
  <c r="L42" i="2"/>
  <c r="N42" i="2"/>
  <c r="G42" i="2"/>
  <c r="Q41" i="2"/>
  <c r="R41" i="2"/>
  <c r="S41" i="2"/>
  <c r="O41" i="2"/>
  <c r="M41" i="2"/>
  <c r="L41" i="2"/>
  <c r="N41" i="2"/>
  <c r="G41" i="2"/>
  <c r="Q40" i="2"/>
  <c r="R40" i="2"/>
  <c r="S40" i="2"/>
  <c r="O40" i="2"/>
  <c r="M40" i="2"/>
  <c r="L40" i="2"/>
  <c r="N40" i="2"/>
  <c r="G40" i="2"/>
  <c r="Q39" i="2"/>
  <c r="R39" i="2"/>
  <c r="S39" i="2"/>
  <c r="O39" i="2"/>
  <c r="M39" i="2"/>
  <c r="L39" i="2"/>
  <c r="N39" i="2"/>
  <c r="G39" i="2"/>
  <c r="Q38" i="2"/>
  <c r="R38" i="2"/>
  <c r="S38" i="2"/>
  <c r="O38" i="2"/>
  <c r="M38" i="2"/>
  <c r="L38" i="2"/>
  <c r="N38" i="2"/>
  <c r="G38" i="2"/>
  <c r="Q37" i="2"/>
  <c r="R37" i="2"/>
  <c r="S37" i="2"/>
  <c r="O37" i="2"/>
  <c r="M37" i="2"/>
  <c r="L37" i="2"/>
  <c r="N37" i="2"/>
  <c r="G37" i="2"/>
  <c r="Q36" i="2"/>
  <c r="R36" i="2"/>
  <c r="S36" i="2"/>
  <c r="O36" i="2"/>
  <c r="M36" i="2"/>
  <c r="L36" i="2"/>
  <c r="N36" i="2"/>
  <c r="G36" i="2"/>
  <c r="Q35" i="2"/>
  <c r="R35" i="2"/>
  <c r="S35" i="2"/>
  <c r="O35" i="2"/>
  <c r="M35" i="2"/>
  <c r="L35" i="2"/>
  <c r="N35" i="2"/>
  <c r="G35" i="2"/>
  <c r="Q34" i="2"/>
  <c r="R34" i="2"/>
  <c r="S34" i="2"/>
  <c r="O34" i="2"/>
  <c r="M34" i="2"/>
  <c r="L34" i="2"/>
  <c r="N34" i="2"/>
  <c r="G34" i="2"/>
  <c r="Q33" i="2"/>
  <c r="R33" i="2"/>
  <c r="S33" i="2"/>
  <c r="O33" i="2"/>
  <c r="M33" i="2"/>
  <c r="L33" i="2"/>
  <c r="N33" i="2"/>
  <c r="G33" i="2"/>
  <c r="Q32" i="2"/>
  <c r="R32" i="2"/>
  <c r="S32" i="2"/>
  <c r="O32" i="2"/>
  <c r="M32" i="2"/>
  <c r="L32" i="2"/>
  <c r="N32" i="2"/>
  <c r="G32" i="2"/>
  <c r="Q31" i="2"/>
  <c r="R31" i="2"/>
  <c r="S31" i="2"/>
  <c r="O31" i="2"/>
  <c r="M31" i="2"/>
  <c r="L31" i="2"/>
  <c r="N31" i="2"/>
  <c r="G31" i="2"/>
  <c r="Q30" i="2"/>
  <c r="R30" i="2"/>
  <c r="S30" i="2"/>
  <c r="O30" i="2"/>
  <c r="M30" i="2"/>
  <c r="L30" i="2"/>
  <c r="N30" i="2"/>
  <c r="G30" i="2"/>
  <c r="Q29" i="2"/>
  <c r="R29" i="2"/>
  <c r="S29" i="2"/>
  <c r="O29" i="2"/>
  <c r="M29" i="2"/>
  <c r="L29" i="2"/>
  <c r="N29" i="2"/>
  <c r="G29" i="2"/>
  <c r="Q28" i="2"/>
  <c r="R28" i="2"/>
  <c r="S28" i="2"/>
  <c r="O28" i="2"/>
  <c r="M28" i="2"/>
  <c r="L28" i="2"/>
  <c r="N28" i="2"/>
  <c r="G28" i="2"/>
  <c r="Q27" i="2"/>
  <c r="R27" i="2"/>
  <c r="S27" i="2"/>
  <c r="O27" i="2"/>
  <c r="M27" i="2"/>
  <c r="L27" i="2"/>
  <c r="N27" i="2"/>
  <c r="G27" i="2"/>
  <c r="Q26" i="2"/>
  <c r="R26" i="2"/>
  <c r="S26" i="2"/>
  <c r="O26" i="2"/>
  <c r="M26" i="2"/>
  <c r="L26" i="2"/>
  <c r="N26" i="2"/>
  <c r="G26" i="2"/>
  <c r="Q25" i="2"/>
  <c r="R25" i="2"/>
  <c r="S25" i="2"/>
  <c r="O25" i="2"/>
  <c r="M25" i="2"/>
  <c r="L25" i="2"/>
  <c r="N25" i="2"/>
  <c r="G25" i="2"/>
  <c r="Q24" i="2"/>
  <c r="R24" i="2"/>
  <c r="S24" i="2"/>
  <c r="O24" i="2"/>
  <c r="M24" i="2"/>
  <c r="L24" i="2"/>
  <c r="N24" i="2"/>
  <c r="G24" i="2"/>
  <c r="Q23" i="2"/>
  <c r="R23" i="2"/>
  <c r="S23" i="2"/>
  <c r="O23" i="2"/>
  <c r="M23" i="2"/>
  <c r="L23" i="2"/>
  <c r="N23" i="2"/>
  <c r="G23" i="2"/>
  <c r="Q22" i="2"/>
  <c r="R22" i="2"/>
  <c r="S22" i="2"/>
  <c r="O22" i="2"/>
  <c r="M22" i="2"/>
  <c r="L22" i="2"/>
  <c r="N22" i="2"/>
  <c r="G22" i="2"/>
  <c r="Q21" i="2"/>
  <c r="R21" i="2"/>
  <c r="S21" i="2"/>
  <c r="O21" i="2"/>
  <c r="M21" i="2"/>
  <c r="L21" i="2"/>
  <c r="N21" i="2"/>
  <c r="G21" i="2"/>
  <c r="Q20" i="2"/>
  <c r="R20" i="2"/>
  <c r="S20" i="2"/>
  <c r="O20" i="2"/>
  <c r="M20" i="2"/>
  <c r="L20" i="2"/>
  <c r="N20" i="2"/>
  <c r="G20" i="2"/>
  <c r="Q19" i="2"/>
  <c r="R19" i="2"/>
  <c r="S19" i="2"/>
  <c r="O19" i="2"/>
  <c r="M19" i="2"/>
  <c r="L19" i="2"/>
  <c r="N19" i="2"/>
  <c r="G19" i="2"/>
  <c r="Q18" i="2"/>
  <c r="R18" i="2"/>
  <c r="S18" i="2"/>
  <c r="O18" i="2"/>
  <c r="M18" i="2"/>
  <c r="L18" i="2"/>
  <c r="N18" i="2"/>
  <c r="G18" i="2"/>
  <c r="Q17" i="2"/>
  <c r="R17" i="2"/>
  <c r="S17" i="2"/>
  <c r="O17" i="2"/>
  <c r="M17" i="2"/>
  <c r="L17" i="2"/>
  <c r="N17" i="2"/>
  <c r="G17" i="2"/>
  <c r="Q16" i="2"/>
  <c r="R16" i="2"/>
  <c r="S16" i="2"/>
  <c r="O16" i="2"/>
  <c r="M16" i="2"/>
  <c r="L16" i="2"/>
  <c r="N16" i="2"/>
  <c r="G16" i="2"/>
  <c r="Q15" i="2"/>
  <c r="R15" i="2"/>
  <c r="S15" i="2"/>
  <c r="O15" i="2"/>
  <c r="M15" i="2"/>
  <c r="L15" i="2"/>
  <c r="N15" i="2"/>
  <c r="G15" i="2"/>
  <c r="Q14" i="2"/>
  <c r="R14" i="2"/>
  <c r="S14" i="2"/>
  <c r="O14" i="2"/>
  <c r="M14" i="2"/>
  <c r="L14" i="2"/>
  <c r="N14" i="2"/>
  <c r="G14" i="2"/>
  <c r="Q13" i="2"/>
  <c r="R13" i="2"/>
  <c r="S13" i="2"/>
  <c r="O13" i="2"/>
  <c r="M13" i="2"/>
  <c r="L13" i="2"/>
  <c r="N13" i="2"/>
  <c r="G13" i="2"/>
  <c r="Q12" i="2"/>
  <c r="R12" i="2"/>
  <c r="S12" i="2"/>
  <c r="O12" i="2"/>
  <c r="M12" i="2"/>
  <c r="L12" i="2"/>
  <c r="N12" i="2"/>
  <c r="G12" i="2"/>
  <c r="Q11" i="2"/>
  <c r="R11" i="2"/>
  <c r="S11" i="2"/>
  <c r="O11" i="2"/>
  <c r="M11" i="2"/>
  <c r="L11" i="2"/>
  <c r="N11" i="2"/>
  <c r="G11" i="2"/>
  <c r="Q10" i="2"/>
  <c r="R10" i="2"/>
  <c r="S10" i="2"/>
  <c r="O10" i="2"/>
  <c r="M10" i="2"/>
  <c r="L10" i="2"/>
  <c r="N10" i="2"/>
  <c r="G10" i="2"/>
  <c r="Q9" i="2"/>
  <c r="R9" i="2"/>
  <c r="S9" i="2"/>
  <c r="O9" i="2"/>
  <c r="M9" i="2"/>
  <c r="L9" i="2"/>
  <c r="N9" i="2"/>
  <c r="G9" i="2"/>
  <c r="Q8" i="2"/>
  <c r="R8" i="2"/>
  <c r="S8" i="2"/>
  <c r="O8" i="2"/>
  <c r="M8" i="2"/>
  <c r="L8" i="2"/>
  <c r="N8" i="2"/>
  <c r="G8" i="2"/>
  <c r="Q7" i="2"/>
  <c r="R7" i="2"/>
  <c r="S7" i="2"/>
  <c r="O7" i="2"/>
  <c r="M7" i="2"/>
  <c r="L7" i="2"/>
  <c r="N7" i="2"/>
  <c r="G7" i="2"/>
  <c r="Q6" i="2"/>
  <c r="R6" i="2"/>
  <c r="S6" i="2"/>
  <c r="O6" i="2"/>
  <c r="M6" i="2"/>
  <c r="L6" i="2"/>
  <c r="N6" i="2"/>
  <c r="G6" i="2"/>
  <c r="Q5" i="2"/>
  <c r="R5" i="2"/>
  <c r="S5" i="2"/>
  <c r="O5" i="2"/>
  <c r="M5" i="2"/>
  <c r="L5" i="2"/>
  <c r="N5" i="2"/>
  <c r="G5" i="2"/>
  <c r="Q4" i="2"/>
  <c r="R4" i="2"/>
  <c r="S4" i="2"/>
  <c r="O4" i="2"/>
  <c r="M4" i="2"/>
  <c r="L4" i="2"/>
  <c r="N4" i="2"/>
  <c r="G4" i="2"/>
  <c r="K2" i="2"/>
</calcChain>
</file>

<file path=xl/sharedStrings.xml><?xml version="1.0" encoding="utf-8"?>
<sst xmlns="http://schemas.openxmlformats.org/spreadsheetml/2006/main" count="817" uniqueCount="391">
  <si>
    <t xml:space="preserve">key </t>
  </si>
  <si>
    <t>Inputs from Database</t>
  </si>
  <si>
    <t>Calculated Final Values</t>
  </si>
  <si>
    <t>Calculated Intermediate Values</t>
  </si>
  <si>
    <t>Range Given:</t>
  </si>
  <si>
    <t>Chart/Scatter Plot --- normalized values on x axis</t>
  </si>
  <si>
    <t>y axis values</t>
  </si>
  <si>
    <t xml:space="preserve">                       Normalized Data Best-fit Line Parameters:</t>
  </si>
  <si>
    <t xml:space="preserve">Slope Beta </t>
  </si>
  <si>
    <t>Y-Intercept Alpha</t>
  </si>
  <si>
    <t xml:space="preserve">                                                                                    Transaction Fees:</t>
  </si>
  <si>
    <t xml:space="preserve">Long Term (LT) </t>
  </si>
  <si>
    <t>=(Monthly Rent*12)*(LT Occupancy Rate))</t>
  </si>
  <si>
    <t>Short Term (ST)</t>
  </si>
  <si>
    <t>[(Range*(Example Rent  $ minus $ 10th)) / ($ 90th minus $ 10th)] + .1</t>
  </si>
  <si>
    <t xml:space="preserve">Repeat earlier column for convenience </t>
  </si>
  <si>
    <t xml:space="preserve">=365*(variable cell dollars per night)*(Model forecast occupancy rate) </t>
  </si>
  <si>
    <t xml:space="preserve">= (Revenues Before Transaction fees)*(1 minus transaction  fees) </t>
  </si>
  <si>
    <t xml:space="preserve">Watershed property ID </t>
  </si>
  <si>
    <t xml:space="preserve">location ID </t>
  </si>
  <si>
    <t xml:space="preserve">property type (Apartment or House) </t>
  </si>
  <si>
    <t xml:space="preserve">Number of Bedrooms (1 or 2) </t>
  </si>
  <si>
    <t>LT - Monthly Rent</t>
  </si>
  <si>
    <t>LT occupancy rate</t>
  </si>
  <si>
    <t>LT Annual Revenues</t>
  </si>
  <si>
    <t xml:space="preserve">ST Example $ Rent </t>
  </si>
  <si>
    <t>ST Example Occupancy Rate</t>
  </si>
  <si>
    <t>ST -  $ 10th percentile rent</t>
  </si>
  <si>
    <t>ST - $ 90th percentile rent</t>
  </si>
  <si>
    <t xml:space="preserve">$ 90th minus $ 10th </t>
  </si>
  <si>
    <t xml:space="preserve">Example $ Rent minus $ 10th </t>
  </si>
  <si>
    <t>ST Example Nightly Rent Normalized to Percentile</t>
  </si>
  <si>
    <t xml:space="preserve"> SOLVER  "Variable Cell" - Rent in Dollars per Night (ST) </t>
  </si>
  <si>
    <t xml:space="preserve">Dollars Normalized to Percentile </t>
  </si>
  <si>
    <t xml:space="preserve">Model forecast occupancy = (Beta*( Dollars Normalized to Percentile)) + Alpha </t>
  </si>
  <si>
    <t>SOLVER "Objective"-  Forecast ST Annual Revenues Before Transaction Fees</t>
  </si>
  <si>
    <t>Forecast ST Annual Revenues After Transaction Fees</t>
  </si>
  <si>
    <t>Repeat Column for Convenience</t>
  </si>
  <si>
    <t>= (ST Annual Revenues After Transaction fees) minus (LT Annual Revenues)</t>
  </si>
  <si>
    <t>= (forecast occupancy rate)*(365/Ave length of stay)*(Variable cost per guest visit)</t>
  </si>
  <si>
    <t>=-(Capital Expenditure) - Utilities - (Variable Costs)</t>
  </si>
  <si>
    <t>=-Utilities - (variable costs) - Repairs and Replacements</t>
  </si>
  <si>
    <t xml:space="preserve">=-(( Capital Expenditure)/(Depreciation period - Years)) - Utilities - (Variable Costs) </t>
  </si>
  <si>
    <t xml:space="preserve">=-(( Capital Expenditure)/(Depreciation period - Years)) - Utilities - (Variable Costs) - (repairs and replacements) </t>
  </si>
  <si>
    <t xml:space="preserve">=(change in gross rental revenue) + (New Cash Out, Conversion Year) </t>
  </si>
  <si>
    <t xml:space="preserve">=(change in gross rental revenue) + (New Cash Out,-each year therafter) </t>
  </si>
  <si>
    <t xml:space="preserve">=(change in gross rental revenue) + (New Change in Profits, Conversion Year) </t>
  </si>
  <si>
    <t xml:space="preserve">= (change in gross rental revenue) + (new change in Profits, each year thereafter) </t>
  </si>
  <si>
    <t>Change in Gross Rental Revenue</t>
  </si>
  <si>
    <t>Variable Costs - Conversion Year and After</t>
  </si>
  <si>
    <t xml:space="preserve">New Cash Out,  Conversion year </t>
  </si>
  <si>
    <t>New Cash Out - each year thereafter</t>
  </si>
  <si>
    <t>New Change in Profits, Conversion Year</t>
  </si>
  <si>
    <t>New Change in Profits, Each Year Thereafter</t>
  </si>
  <si>
    <t xml:space="preserve">Net Forecast Change in Cash Flow, Conversion Year </t>
  </si>
  <si>
    <t xml:space="preserve">Net Change in Cash Flow, Each Year Thereafter (for next 4 years) </t>
  </si>
  <si>
    <t>Net Change in Profits, Conversion year</t>
  </si>
  <si>
    <t xml:space="preserve">Net Change in Profits, each year thereafter (for next 4 years) </t>
  </si>
  <si>
    <t>FINANCIAL ASSUMPTIONS</t>
  </si>
  <si>
    <t>Capital Expenditure (conversion year only)</t>
  </si>
  <si>
    <t>Depreciation Period (years)</t>
  </si>
  <si>
    <t>Fixed Costs</t>
  </si>
  <si>
    <t xml:space="preserve">        Utilities (every year)</t>
  </si>
  <si>
    <t xml:space="preserve">       Repairs and replacements</t>
  </si>
  <si>
    <t xml:space="preserve">                conversion year only </t>
  </si>
  <si>
    <t xml:space="preserve">                each year thereafter</t>
  </si>
  <si>
    <t>Variable Costs (per guest visit)</t>
  </si>
  <si>
    <t>Average Length of Guest Stay (days)</t>
  </si>
  <si>
    <t>Transaction fees</t>
  </si>
  <si>
    <t>Net Change in Profitability Threshold (Year after conversion year)</t>
  </si>
  <si>
    <t xml:space="preserve">Note: After Completing this entire Spreadsheet and the next  </t>
  </si>
  <si>
    <t xml:space="preserve">Copy this spredsheet to a new workbook. Then Change the transaction </t>
  </si>
  <si>
    <t xml:space="preserve">fees from 30% to 40%.Then sort by profitability again. </t>
  </si>
  <si>
    <t xml:space="preserve"> How many properties now reach the $6,000 profitability threshold </t>
  </si>
  <si>
    <t>in the year after the conversion year?</t>
  </si>
  <si>
    <t>Copy The Watershed Property IDs Column to this column</t>
  </si>
  <si>
    <t xml:space="preserve">Copy "Net Change in Profits, each year thereafter (for next 4 years) " Column to this column </t>
  </si>
  <si>
    <t xml:space="preserve">Copy "Net Change in Cash Flow, Conversion Year" to this Column </t>
  </si>
  <si>
    <t>Copy "Net Change in Cash Flow, each Year Thereafter" to this Column</t>
  </si>
  <si>
    <t xml:space="preserve">Use Data/Sort/Descending on the Profitability Column - and "Expand the Selection" to rank properties from most to least profitable </t>
  </si>
  <si>
    <t>Identify the Group of all Watershed IDs for properties with at least $6,000 in net change in profits</t>
  </si>
  <si>
    <t>Check how many individual properties in the group are cash flow positive by the end of the Conversion year</t>
  </si>
  <si>
    <t>Sum the Conversion  YR and Subsequent Year Net Change in Cash Flows Columns to check how many individual properties in the Group are cash flow positive by the end of the Subsequent year</t>
  </si>
  <si>
    <t>W1</t>
  </si>
  <si>
    <t>L9531</t>
  </si>
  <si>
    <t>apartment</t>
  </si>
  <si>
    <t>W10</t>
  </si>
  <si>
    <t>L9533</t>
  </si>
  <si>
    <t>W100</t>
  </si>
  <si>
    <t>L1944</t>
  </si>
  <si>
    <t>W101</t>
  </si>
  <si>
    <t>L15257</t>
  </si>
  <si>
    <t>W102</t>
  </si>
  <si>
    <t>W103</t>
  </si>
  <si>
    <t>house</t>
  </si>
  <si>
    <t>W104</t>
  </si>
  <si>
    <t>W105</t>
  </si>
  <si>
    <t>L15260</t>
  </si>
  <si>
    <t>W106</t>
  </si>
  <si>
    <t>W107</t>
  </si>
  <si>
    <t>W108</t>
  </si>
  <si>
    <t>W109</t>
  </si>
  <si>
    <t>L15264</t>
  </si>
  <si>
    <t>W11</t>
  </si>
  <si>
    <t>W110</t>
  </si>
  <si>
    <t>W111</t>
  </si>
  <si>
    <t>W112</t>
  </si>
  <si>
    <t>W113</t>
  </si>
  <si>
    <t>L15278</t>
  </si>
  <si>
    <t>W114</t>
  </si>
  <si>
    <t>W115</t>
  </si>
  <si>
    <t>W116</t>
  </si>
  <si>
    <t>W117</t>
  </si>
  <si>
    <t>L15280</t>
  </si>
  <si>
    <t>W118</t>
  </si>
  <si>
    <t>W119</t>
  </si>
  <si>
    <t>W12</t>
  </si>
  <si>
    <t>W120</t>
  </si>
  <si>
    <t>W121</t>
  </si>
  <si>
    <t>L463</t>
  </si>
  <si>
    <t>W122</t>
  </si>
  <si>
    <t>W123</t>
  </si>
  <si>
    <t>W124</t>
  </si>
  <si>
    <t>W125</t>
  </si>
  <si>
    <t>L464</t>
  </si>
  <si>
    <t>W126</t>
  </si>
  <si>
    <t>W127</t>
  </si>
  <si>
    <t>W128</t>
  </si>
  <si>
    <t>W129</t>
  </si>
  <si>
    <t>L2314</t>
  </si>
  <si>
    <t>W13</t>
  </si>
  <si>
    <t>L9534</t>
  </si>
  <si>
    <t>W130</t>
  </si>
  <si>
    <t>W131</t>
  </si>
  <si>
    <t>W132</t>
  </si>
  <si>
    <t>W133</t>
  </si>
  <si>
    <t>L2318</t>
  </si>
  <si>
    <t>W134</t>
  </si>
  <si>
    <t>W135</t>
  </si>
  <si>
    <t>W136</t>
  </si>
  <si>
    <t>W137</t>
  </si>
  <si>
    <t>L2323</t>
  </si>
  <si>
    <t>W138</t>
  </si>
  <si>
    <t>W139</t>
  </si>
  <si>
    <t>W14</t>
  </si>
  <si>
    <t>W140</t>
  </si>
  <si>
    <t>W141</t>
  </si>
  <si>
    <t>L2325</t>
  </si>
  <si>
    <t>W142</t>
  </si>
  <si>
    <t>W143</t>
  </si>
  <si>
    <t>W144</t>
  </si>
  <si>
    <t>W145</t>
  </si>
  <si>
    <t>L2338</t>
  </si>
  <si>
    <t>W146</t>
  </si>
  <si>
    <t>W147</t>
  </si>
  <si>
    <t>W148</t>
  </si>
  <si>
    <t>W149</t>
  </si>
  <si>
    <t>L3244</t>
  </si>
  <si>
    <t>W15</t>
  </si>
  <si>
    <t>W150</t>
  </si>
  <si>
    <t>W151</t>
  </si>
  <si>
    <t>W152</t>
  </si>
  <si>
    <t>W153</t>
  </si>
  <si>
    <t>L3256</t>
  </si>
  <si>
    <t>W154</t>
  </si>
  <si>
    <t>W155</t>
  </si>
  <si>
    <t>W156</t>
  </si>
  <si>
    <t>W157</t>
  </si>
  <si>
    <t>L3261</t>
  </si>
  <si>
    <t>W158</t>
  </si>
  <si>
    <t>W159</t>
  </si>
  <si>
    <t>W16</t>
  </si>
  <si>
    <t>W160</t>
  </si>
  <si>
    <t>W161</t>
  </si>
  <si>
    <t>L3262</t>
  </si>
  <si>
    <t>W162</t>
  </si>
  <si>
    <t>W163</t>
  </si>
  <si>
    <t>W164</t>
  </si>
  <si>
    <t>W165</t>
  </si>
  <si>
    <t>L3264</t>
  </si>
  <si>
    <t>W166</t>
  </si>
  <si>
    <t>W167</t>
  </si>
  <si>
    <t>W168</t>
  </si>
  <si>
    <t>W169</t>
  </si>
  <si>
    <t>L10126</t>
  </si>
  <si>
    <t>W17</t>
  </si>
  <si>
    <t>L4761</t>
  </si>
  <si>
    <t>W170</t>
  </si>
  <si>
    <t>W171</t>
  </si>
  <si>
    <t>W172</t>
  </si>
  <si>
    <t>W173</t>
  </si>
  <si>
    <t>L10130</t>
  </si>
  <si>
    <t>W174</t>
  </si>
  <si>
    <t>W175</t>
  </si>
  <si>
    <t>W176</t>
  </si>
  <si>
    <t>W177</t>
  </si>
  <si>
    <t>L10133</t>
  </si>
  <si>
    <t>W178</t>
  </si>
  <si>
    <t>W179</t>
  </si>
  <si>
    <t>W18</t>
  </si>
  <si>
    <t>W180</t>
  </si>
  <si>
    <t>W181</t>
  </si>
  <si>
    <t>L10136</t>
  </si>
  <si>
    <t>W182</t>
  </si>
  <si>
    <t>W183</t>
  </si>
  <si>
    <t>W184</t>
  </si>
  <si>
    <t>W185</t>
  </si>
  <si>
    <t>L1882</t>
  </si>
  <si>
    <t>W186</t>
  </si>
  <si>
    <t>W187</t>
  </si>
  <si>
    <t>W188</t>
  </si>
  <si>
    <t>W189</t>
  </si>
  <si>
    <t>L1883</t>
  </si>
  <si>
    <t>W19</t>
  </si>
  <si>
    <t>W190</t>
  </si>
  <si>
    <t>W191</t>
  </si>
  <si>
    <t>W192</t>
  </si>
  <si>
    <t>W193</t>
  </si>
  <si>
    <t>L1887</t>
  </si>
  <si>
    <t>W194</t>
  </si>
  <si>
    <t>W195</t>
  </si>
  <si>
    <t>W196</t>
  </si>
  <si>
    <t>W197</t>
  </si>
  <si>
    <t>L1902</t>
  </si>
  <si>
    <t>W198</t>
  </si>
  <si>
    <t>W199</t>
  </si>
  <si>
    <t>W2</t>
  </si>
  <si>
    <t>W20</t>
  </si>
  <si>
    <t>W200</t>
  </si>
  <si>
    <t>W201</t>
  </si>
  <si>
    <t>L1916</t>
  </si>
  <si>
    <t>W202</t>
  </si>
  <si>
    <t>W203</t>
  </si>
  <si>
    <t>W204</t>
  </si>
  <si>
    <t>W205</t>
  </si>
  <si>
    <t>L12252</t>
  </si>
  <si>
    <t>W206</t>
  </si>
  <si>
    <t>W207</t>
  </si>
  <si>
    <t>W208</t>
  </si>
  <si>
    <t>W209</t>
  </si>
  <si>
    <t>L12260</t>
  </si>
  <si>
    <t>W21</t>
  </si>
  <si>
    <t>L4765</t>
  </si>
  <si>
    <t>W210</t>
  </si>
  <si>
    <t>W211</t>
  </si>
  <si>
    <t>W212</t>
  </si>
  <si>
    <t>W213</t>
  </si>
  <si>
    <t>L12264</t>
  </si>
  <si>
    <t>W214</t>
  </si>
  <si>
    <t>W215</t>
  </si>
  <si>
    <t>W216</t>
  </si>
  <si>
    <t>W217</t>
  </si>
  <si>
    <t>L16888</t>
  </si>
  <si>
    <t>W218</t>
  </si>
  <si>
    <t>W219</t>
  </si>
  <si>
    <t>W22</t>
  </si>
  <si>
    <t>W220</t>
  </si>
  <si>
    <t>W221</t>
  </si>
  <si>
    <t>L16887</t>
  </si>
  <si>
    <t>W222</t>
  </si>
  <si>
    <t>W223</t>
  </si>
  <si>
    <t>W224</t>
  </si>
  <si>
    <t>W225</t>
  </si>
  <si>
    <t>L16898</t>
  </si>
  <si>
    <t>W226</t>
  </si>
  <si>
    <t>W227</t>
  </si>
  <si>
    <t>W228</t>
  </si>
  <si>
    <t>W229</t>
  </si>
  <si>
    <t>L16890</t>
  </si>
  <si>
    <t>W23</t>
  </si>
  <si>
    <t>W230</t>
  </si>
  <si>
    <t>W231</t>
  </si>
  <si>
    <t>W232</t>
  </si>
  <si>
    <t>W233</t>
  </si>
  <si>
    <t>L14416</t>
  </si>
  <si>
    <t>W234</t>
  </si>
  <si>
    <t>W235</t>
  </si>
  <si>
    <t>W236</t>
  </si>
  <si>
    <t>W237</t>
  </si>
  <si>
    <t>L14418</t>
  </si>
  <si>
    <t>W238</t>
  </si>
  <si>
    <t>W239</t>
  </si>
  <si>
    <t>W24</t>
  </si>
  <si>
    <t>W240</t>
  </si>
  <si>
    <t>W241</t>
  </si>
  <si>
    <t>L14419</t>
  </si>
  <si>
    <t>W242</t>
  </si>
  <si>
    <t>W243</t>
  </si>
  <si>
    <t>W244</t>
  </si>
  <si>
    <t>W25</t>
  </si>
  <si>
    <t>L4770</t>
  </si>
  <si>
    <t>W26</t>
  </si>
  <si>
    <t>W27</t>
  </si>
  <si>
    <t>W28</t>
  </si>
  <si>
    <t>W29</t>
  </si>
  <si>
    <t>L4794</t>
  </si>
  <si>
    <t>W3</t>
  </si>
  <si>
    <t>W30</t>
  </si>
  <si>
    <t>W31</t>
  </si>
  <si>
    <t>W32</t>
  </si>
  <si>
    <t>W33</t>
  </si>
  <si>
    <t>L4804</t>
  </si>
  <si>
    <t>W34</t>
  </si>
  <si>
    <t>W35</t>
  </si>
  <si>
    <t>W36</t>
  </si>
  <si>
    <t>W37</t>
  </si>
  <si>
    <t>L11419</t>
  </si>
  <si>
    <t>W38</t>
  </si>
  <si>
    <t>W39</t>
  </si>
  <si>
    <t>L11421</t>
  </si>
  <si>
    <t>W4</t>
  </si>
  <si>
    <t>W40</t>
  </si>
  <si>
    <t>W41</t>
  </si>
  <si>
    <t>W42</t>
  </si>
  <si>
    <t>W43</t>
  </si>
  <si>
    <t>L11427</t>
  </si>
  <si>
    <t>W44</t>
  </si>
  <si>
    <t>W45</t>
  </si>
  <si>
    <t>L11431</t>
  </si>
  <si>
    <t>W46</t>
  </si>
  <si>
    <t>W47</t>
  </si>
  <si>
    <t>W48</t>
  </si>
  <si>
    <t>W49</t>
  </si>
  <si>
    <t>L11434</t>
  </si>
  <si>
    <t>W5</t>
  </si>
  <si>
    <t>L9532</t>
  </si>
  <si>
    <t>W50</t>
  </si>
  <si>
    <t>W51</t>
  </si>
  <si>
    <t>W52</t>
  </si>
  <si>
    <t>W53</t>
  </si>
  <si>
    <t>L11480</t>
  </si>
  <si>
    <t>W54</t>
  </si>
  <si>
    <t>W55</t>
  </si>
  <si>
    <t>W56</t>
  </si>
  <si>
    <t>W57</t>
  </si>
  <si>
    <t>L11495</t>
  </si>
  <si>
    <t>W58</t>
  </si>
  <si>
    <t>W59</t>
  </si>
  <si>
    <t>W6</t>
  </si>
  <si>
    <t>W60</t>
  </si>
  <si>
    <t>W61</t>
  </si>
  <si>
    <t>L1734</t>
  </si>
  <si>
    <t>W62</t>
  </si>
  <si>
    <t>W63</t>
  </si>
  <si>
    <t>W64</t>
  </si>
  <si>
    <t>W65</t>
  </si>
  <si>
    <t>L1735</t>
  </si>
  <si>
    <t>W66</t>
  </si>
  <si>
    <t>W67</t>
  </si>
  <si>
    <t>W68</t>
  </si>
  <si>
    <t>W69</t>
  </si>
  <si>
    <t>L1736</t>
  </si>
  <si>
    <t>W7</t>
  </si>
  <si>
    <t>W70</t>
  </si>
  <si>
    <t>W71</t>
  </si>
  <si>
    <t>W72</t>
  </si>
  <si>
    <t>W73</t>
  </si>
  <si>
    <t>L1737</t>
  </si>
  <si>
    <t>W74</t>
  </si>
  <si>
    <t>W75</t>
  </si>
  <si>
    <t>W76</t>
  </si>
  <si>
    <t>W77</t>
  </si>
  <si>
    <t>L1738</t>
  </si>
  <si>
    <t>W78</t>
  </si>
  <si>
    <t>W79</t>
  </si>
  <si>
    <t>W8</t>
  </si>
  <si>
    <t>W80</t>
  </si>
  <si>
    <t>W81</t>
  </si>
  <si>
    <t>L1940</t>
  </si>
  <si>
    <t>W82</t>
  </si>
  <si>
    <t>W83</t>
  </si>
  <si>
    <t>W84</t>
  </si>
  <si>
    <t>W85</t>
  </si>
  <si>
    <t>L1941</t>
  </si>
  <si>
    <t>W86</t>
  </si>
  <si>
    <t>W87</t>
  </si>
  <si>
    <t>W88</t>
  </si>
  <si>
    <t>W89</t>
  </si>
  <si>
    <t>L1942</t>
  </si>
  <si>
    <t>W9</t>
  </si>
  <si>
    <t>W90</t>
  </si>
  <si>
    <t>W91</t>
  </si>
  <si>
    <t>W92</t>
  </si>
  <si>
    <t>W93</t>
  </si>
  <si>
    <t>L1943</t>
  </si>
  <si>
    <t>W94</t>
  </si>
  <si>
    <t>W95</t>
  </si>
  <si>
    <t>W96</t>
  </si>
  <si>
    <t>W97</t>
  </si>
  <si>
    <t>W98</t>
  </si>
  <si>
    <t>W99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</si>
</sst>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quot;$&quot;#,##0.00"/>
  </numFmts>
  <fonts count="11">
    <font>
      <sz val="12"/>
      <color theme="1"/>
      <name val="Calibri"/>
      <family val="2"/>
      <scheme val="minor"/>
    </font>
    <font>
      <sz val="12"/>
      <color rgb="FF006100"/>
      <name val="Calibri"/>
      <family val="2"/>
      <scheme val="minor"/>
    </font>
    <font>
      <sz val="12"/>
      <color rgb="FF9C6500"/>
      <name val="Calibri"/>
      <family val="2"/>
      <scheme val="minor"/>
    </font>
    <font>
      <sz val="12"/>
      <color rgb="FF3F3F76"/>
      <name val="Calibri"/>
      <family val="2"/>
      <scheme val="minor"/>
    </font>
    <font>
      <b/>
      <sz val="12"/>
      <color theme="1"/>
      <name val="Calibri"/>
      <family val="2"/>
      <scheme val="minor"/>
    </font>
    <font>
      <sz val="12"/>
      <color rgb="FF0000FF"/>
      <name val="Calibri"/>
      <family val="2"/>
      <scheme val="minor"/>
    </font>
    <font>
      <b/>
      <sz val="12"/>
      <color rgb="FF9C6500"/>
      <name val="Calibri"/>
      <family val="2"/>
      <scheme val="minor"/>
    </font>
    <font>
      <b/>
      <sz val="12"/>
      <color rgb="FF006100"/>
      <name val="Calibri"/>
      <family val="2"/>
      <scheme val="minor"/>
    </font>
    <font>
      <u/>
      <sz val="12"/>
      <color theme="10"/>
      <name val="Calibri"/>
      <family val="2"/>
      <scheme val="minor"/>
    </font>
    <font>
      <u/>
      <sz val="12"/>
      <color theme="11"/>
      <name val="Calibri"/>
      <family val="2"/>
      <scheme val="minor"/>
    </font>
    <font>
      <sz val="12"/>
      <color rgb="FF000000"/>
      <name val="Helvetica Neue"/>
      <family val="2"/>
    </font>
  </fonts>
  <fills count="6">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theme="0" tint="-0.14999847407452621"/>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auto="1"/>
      </left>
      <right style="thin">
        <color auto="1"/>
      </right>
      <top style="thin">
        <color auto="1"/>
      </top>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s>
  <cellStyleXfs count="8">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70">
    <xf numFmtId="0" fontId="0" fillId="0" borderId="0" xfId="0"/>
    <xf numFmtId="0" fontId="5" fillId="0" borderId="2" xfId="0" applyFont="1" applyBorder="1"/>
    <xf numFmtId="0" fontId="1" fillId="2" borderId="2" xfId="1" applyBorder="1"/>
    <xf numFmtId="0" fontId="2" fillId="3" borderId="2" xfId="2" applyBorder="1"/>
    <xf numFmtId="0" fontId="0" fillId="0" borderId="3" xfId="0" applyBorder="1"/>
    <xf numFmtId="0" fontId="4" fillId="0" borderId="4" xfId="0" applyFont="1" applyBorder="1"/>
    <xf numFmtId="0" fontId="4" fillId="0" borderId="0" xfId="0" quotePrefix="1" applyFont="1" applyFill="1" applyBorder="1"/>
    <xf numFmtId="0" fontId="4" fillId="0" borderId="0" xfId="0" applyFont="1" applyFill="1" applyBorder="1"/>
    <xf numFmtId="9" fontId="4" fillId="0" borderId="4" xfId="0" applyNumberFormat="1" applyFont="1" applyBorder="1"/>
    <xf numFmtId="0" fontId="0" fillId="0" borderId="4" xfId="0" applyBorder="1"/>
    <xf numFmtId="0" fontId="0" fillId="0" borderId="3" xfId="0" quotePrefix="1" applyBorder="1"/>
    <xf numFmtId="0" fontId="4" fillId="0" borderId="6" xfId="0" applyFont="1" applyBorder="1"/>
    <xf numFmtId="0" fontId="2" fillId="3" borderId="5" xfId="2" quotePrefix="1" applyBorder="1"/>
    <xf numFmtId="0" fontId="1" fillId="2" borderId="7" xfId="1" quotePrefix="1" applyBorder="1"/>
    <xf numFmtId="0" fontId="0" fillId="0" borderId="5" xfId="0" applyBorder="1"/>
    <xf numFmtId="0" fontId="0" fillId="0" borderId="0" xfId="0" applyBorder="1"/>
    <xf numFmtId="0" fontId="5" fillId="0" borderId="6" xfId="0" applyFont="1" applyBorder="1"/>
    <xf numFmtId="0" fontId="1" fillId="2" borderId="2" xfId="1" applyFont="1" applyBorder="1"/>
    <xf numFmtId="0" fontId="5" fillId="0" borderId="9" xfId="0" applyFont="1" applyBorder="1"/>
    <xf numFmtId="0" fontId="2" fillId="3" borderId="10" xfId="2" applyBorder="1"/>
    <xf numFmtId="0" fontId="2" fillId="3" borderId="6" xfId="2" applyBorder="1"/>
    <xf numFmtId="0" fontId="2" fillId="3" borderId="11" xfId="2" applyBorder="1"/>
    <xf numFmtId="0" fontId="1" fillId="2" borderId="12" xfId="1" applyBorder="1"/>
    <xf numFmtId="0" fontId="0" fillId="0" borderId="11" xfId="0" applyBorder="1"/>
    <xf numFmtId="0" fontId="6" fillId="3" borderId="11" xfId="2" applyFont="1" applyBorder="1"/>
    <xf numFmtId="0" fontId="7" fillId="2" borderId="11" xfId="1" applyFont="1" applyBorder="1"/>
    <xf numFmtId="0" fontId="0" fillId="0" borderId="6" xfId="0" applyBorder="1"/>
    <xf numFmtId="0" fontId="1" fillId="2" borderId="8" xfId="1" applyBorder="1"/>
    <xf numFmtId="0" fontId="5" fillId="0" borderId="5" xfId="0" applyFont="1" applyBorder="1"/>
    <xf numFmtId="0" fontId="4" fillId="0" borderId="2" xfId="0" quotePrefix="1" applyFont="1" applyFill="1" applyBorder="1"/>
    <xf numFmtId="0" fontId="1" fillId="2" borderId="14" xfId="1" applyBorder="1"/>
    <xf numFmtId="0" fontId="5" fillId="0" borderId="3" xfId="0" applyFont="1" applyBorder="1"/>
    <xf numFmtId="0" fontId="5" fillId="0" borderId="8" xfId="0" applyFont="1" applyBorder="1"/>
    <xf numFmtId="0" fontId="1" fillId="2" borderId="5" xfId="1" quotePrefix="1" applyFont="1" applyBorder="1"/>
    <xf numFmtId="0" fontId="1" fillId="2" borderId="13" xfId="1" applyBorder="1"/>
    <xf numFmtId="0" fontId="5" fillId="0" borderId="11" xfId="0" applyFont="1" applyBorder="1"/>
    <xf numFmtId="0" fontId="5" fillId="0" borderId="13" xfId="0" applyFont="1" applyBorder="1"/>
    <xf numFmtId="0" fontId="4" fillId="0" borderId="2" xfId="0" applyFont="1" applyBorder="1"/>
    <xf numFmtId="0" fontId="2" fillId="3" borderId="3" xfId="2" applyBorder="1"/>
    <xf numFmtId="6" fontId="0" fillId="0" borderId="3" xfId="0" applyNumberFormat="1" applyBorder="1"/>
    <xf numFmtId="38" fontId="0" fillId="0" borderId="11" xfId="0" applyNumberFormat="1" applyBorder="1"/>
    <xf numFmtId="6" fontId="0" fillId="0" borderId="11" xfId="0" applyNumberFormat="1" applyBorder="1"/>
    <xf numFmtId="9" fontId="0" fillId="0" borderId="11" xfId="0" applyNumberFormat="1" applyBorder="1"/>
    <xf numFmtId="0" fontId="3" fillId="4" borderId="5" xfId="3" applyBorder="1"/>
    <xf numFmtId="0" fontId="3" fillId="4" borderId="3" xfId="3" applyBorder="1"/>
    <xf numFmtId="0" fontId="3" fillId="4" borderId="11" xfId="3" applyBorder="1"/>
    <xf numFmtId="0" fontId="6" fillId="3" borderId="2" xfId="2" applyFont="1" applyBorder="1"/>
    <xf numFmtId="0" fontId="6" fillId="3" borderId="9" xfId="2" applyFont="1" applyBorder="1"/>
    <xf numFmtId="0" fontId="6" fillId="3" borderId="6" xfId="2" applyFont="1" applyBorder="1"/>
    <xf numFmtId="0" fontId="6" fillId="3" borderId="0" xfId="2" applyFont="1" applyBorder="1"/>
    <xf numFmtId="0" fontId="10" fillId="0" borderId="0" xfId="0" applyFont="1"/>
    <xf numFmtId="2" fontId="10" fillId="0" borderId="0" xfId="0" applyNumberFormat="1" applyFont="1"/>
    <xf numFmtId="2" fontId="0" fillId="0" borderId="0" xfId="0" applyNumberFormat="1"/>
    <xf numFmtId="2" fontId="0" fillId="0" borderId="4" xfId="0" applyNumberFormat="1" applyBorder="1"/>
    <xf numFmtId="164" fontId="0" fillId="0" borderId="0" xfId="0" applyNumberFormat="1"/>
    <xf numFmtId="10" fontId="0" fillId="0" borderId="0" xfId="0" applyNumberFormat="1"/>
    <xf numFmtId="164" fontId="0" fillId="0" borderId="4" xfId="0" applyNumberFormat="1" applyBorder="1"/>
    <xf numFmtId="0" fontId="10" fillId="5" borderId="0" xfId="0" applyFont="1" applyFill="1"/>
    <xf numFmtId="2" fontId="10" fillId="5" borderId="0" xfId="0" applyNumberFormat="1" applyFont="1" applyFill="1"/>
    <xf numFmtId="0" fontId="0" fillId="5" borderId="3" xfId="0" applyFill="1" applyBorder="1"/>
    <xf numFmtId="0" fontId="0" fillId="5" borderId="0" xfId="0" applyFill="1"/>
    <xf numFmtId="2" fontId="0" fillId="5" borderId="0" xfId="0" applyNumberFormat="1" applyFill="1"/>
    <xf numFmtId="2" fontId="0" fillId="5" borderId="4" xfId="0" applyNumberFormat="1" applyFill="1" applyBorder="1"/>
    <xf numFmtId="164" fontId="0" fillId="5" borderId="0" xfId="0" applyNumberFormat="1" applyFill="1"/>
    <xf numFmtId="10" fontId="0" fillId="5" borderId="0" xfId="0" applyNumberFormat="1" applyFill="1"/>
    <xf numFmtId="164" fontId="0" fillId="5" borderId="4" xfId="0" applyNumberFormat="1" applyFill="1" applyBorder="1"/>
    <xf numFmtId="164" fontId="0" fillId="0" borderId="3" xfId="0" applyNumberFormat="1" applyBorder="1"/>
    <xf numFmtId="8" fontId="0" fillId="0" borderId="0" xfId="0" applyNumberFormat="1"/>
    <xf numFmtId="8" fontId="0" fillId="0" borderId="0" xfId="0" applyNumberFormat="1" applyBorder="1"/>
    <xf numFmtId="164" fontId="0" fillId="0" borderId="0" xfId="0" applyNumberFormat="1" applyBorder="1"/>
  </cellXfs>
  <cellStyles count="8">
    <cellStyle name="Followed Hyperlink" xfId="5" builtinId="9" hidden="1"/>
    <cellStyle name="Followed Hyperlink" xfId="7" builtinId="9" hidden="1"/>
    <cellStyle name="Good" xfId="1" builtinId="26"/>
    <cellStyle name="Hyperlink" xfId="4" builtinId="8" hidden="1"/>
    <cellStyle name="Hyperlink" xfId="6" builtinId="8" hidden="1"/>
    <cellStyle name="Input" xfId="3" builtinId="20"/>
    <cellStyle name="Neutral" xfId="2" builtinId="28"/>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H248"/>
  <sheetViews>
    <sheetView tabSelected="1" workbookViewId="0">
      <selection activeCell="AF1" sqref="AF1"/>
    </sheetView>
  </sheetViews>
  <sheetFormatPr defaultColWidth="11" defaultRowHeight="15.75"/>
  <cols>
    <col min="1" max="1" width="22.125" customWidth="1"/>
    <col min="3" max="3" width="38.5" customWidth="1"/>
    <col min="4" max="4" width="26.125" customWidth="1"/>
    <col min="5" max="5" width="33.875" customWidth="1"/>
    <col min="6" max="6" width="18.125" customWidth="1"/>
    <col min="7" max="7" width="39.125" style="4" customWidth="1"/>
    <col min="8" max="8" width="21.5" customWidth="1"/>
    <col min="9" max="9" width="25.625" customWidth="1"/>
    <col min="10" max="10" width="28" customWidth="1"/>
    <col min="11" max="11" width="27.875" style="9" customWidth="1"/>
    <col min="12" max="12" width="18.5" customWidth="1"/>
    <col min="13" max="13" width="27.625" customWidth="1"/>
    <col min="14" max="14" width="62.375" customWidth="1"/>
    <col min="15" max="15" width="35.375" style="9" customWidth="1"/>
    <col min="16" max="16" width="47.5" customWidth="1"/>
    <col min="17" max="17" width="35" customWidth="1"/>
    <col min="18" max="18" width="77.375" customWidth="1"/>
    <col min="19" max="19" width="64.375" customWidth="1"/>
    <col min="20" max="20" width="56.125" style="9" customWidth="1"/>
    <col min="21" max="21" width="42.375" customWidth="1"/>
    <col min="22" max="22" width="70.875" customWidth="1"/>
    <col min="23" max="23" width="67.125" style="4" customWidth="1"/>
    <col min="24" max="24" width="70" customWidth="1"/>
    <col min="25" max="25" width="47.375" customWidth="1"/>
    <col min="26" max="26" width="51.625" customWidth="1"/>
    <col min="27" max="27" width="69" customWidth="1"/>
    <col min="28" max="28" width="99.375" customWidth="1"/>
    <col min="29" max="29" width="63.375" customWidth="1"/>
    <col min="30" max="30" width="67" customWidth="1"/>
    <col min="31" max="31" width="65.5" customWidth="1"/>
    <col min="32" max="32" width="73" customWidth="1"/>
  </cols>
  <sheetData>
    <row r="1" spans="1:86">
      <c r="B1" t="s">
        <v>0</v>
      </c>
      <c r="C1" s="1" t="s">
        <v>1</v>
      </c>
      <c r="D1" s="2" t="s">
        <v>2</v>
      </c>
      <c r="E1" s="3" t="s">
        <v>3</v>
      </c>
      <c r="K1" s="5" t="s">
        <v>4</v>
      </c>
      <c r="N1" s="27" t="s">
        <v>5</v>
      </c>
      <c r="O1" s="28" t="s">
        <v>6</v>
      </c>
      <c r="P1" s="29" t="s">
        <v>7</v>
      </c>
      <c r="Q1" s="7" t="s">
        <v>8</v>
      </c>
      <c r="R1" s="7" t="s">
        <v>9</v>
      </c>
      <c r="S1" s="6" t="s">
        <v>10</v>
      </c>
      <c r="T1" s="8">
        <v>0.3</v>
      </c>
      <c r="W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row>
    <row r="2" spans="1:86">
      <c r="E2" t="s">
        <v>11</v>
      </c>
      <c r="F2">
        <v>0.97299999999999998</v>
      </c>
      <c r="G2" s="10" t="s">
        <v>12</v>
      </c>
      <c r="H2" t="s">
        <v>13</v>
      </c>
      <c r="K2" s="5">
        <f>0.9-0.1</f>
        <v>0.8</v>
      </c>
      <c r="N2" s="30" t="s">
        <v>14</v>
      </c>
      <c r="O2" s="31" t="s">
        <v>15</v>
      </c>
      <c r="Q2" s="11">
        <f>-0.7914</f>
        <v>-0.79139999999999999</v>
      </c>
      <c r="R2" s="11">
        <f>0.8506</f>
        <v>0.85060000000000002</v>
      </c>
      <c r="S2" s="12" t="s">
        <v>16</v>
      </c>
      <c r="T2" s="13" t="s">
        <v>17</v>
      </c>
      <c r="U2" s="32" t="s">
        <v>37</v>
      </c>
      <c r="V2" s="12" t="s">
        <v>38</v>
      </c>
      <c r="W2"/>
      <c r="X2" s="12" t="s">
        <v>39</v>
      </c>
      <c r="Y2" s="12" t="s">
        <v>40</v>
      </c>
      <c r="Z2" s="12" t="s">
        <v>41</v>
      </c>
      <c r="AA2" s="12" t="s">
        <v>42</v>
      </c>
      <c r="AB2" s="12" t="s">
        <v>43</v>
      </c>
      <c r="AC2" s="33" t="s">
        <v>44</v>
      </c>
      <c r="AD2" s="33" t="s">
        <v>45</v>
      </c>
      <c r="AE2" s="33" t="s">
        <v>46</v>
      </c>
      <c r="AF2" s="33" t="s">
        <v>47</v>
      </c>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row>
    <row r="3" spans="1:86" s="26" customFormat="1">
      <c r="A3" s="16" t="s">
        <v>18</v>
      </c>
      <c r="B3" s="16" t="s">
        <v>19</v>
      </c>
      <c r="C3" s="16" t="s">
        <v>20</v>
      </c>
      <c r="D3" s="16" t="s">
        <v>21</v>
      </c>
      <c r="E3" s="16" t="s">
        <v>22</v>
      </c>
      <c r="F3" s="16" t="s">
        <v>23</v>
      </c>
      <c r="G3" s="17" t="s">
        <v>24</v>
      </c>
      <c r="H3" s="16" t="s">
        <v>25</v>
      </c>
      <c r="I3" s="16" t="s">
        <v>26</v>
      </c>
      <c r="J3" s="16" t="s">
        <v>27</v>
      </c>
      <c r="K3" s="18" t="s">
        <v>28</v>
      </c>
      <c r="L3" s="3" t="s">
        <v>29</v>
      </c>
      <c r="M3" s="19" t="s">
        <v>30</v>
      </c>
      <c r="N3" s="34" t="s">
        <v>31</v>
      </c>
      <c r="O3" s="35" t="s">
        <v>26</v>
      </c>
      <c r="P3" s="20" t="s">
        <v>32</v>
      </c>
      <c r="Q3" s="20" t="s">
        <v>33</v>
      </c>
      <c r="R3" s="20" t="s">
        <v>34</v>
      </c>
      <c r="S3" s="21" t="s">
        <v>35</v>
      </c>
      <c r="T3" s="22" t="s">
        <v>36</v>
      </c>
      <c r="U3" s="36" t="s">
        <v>24</v>
      </c>
      <c r="V3" s="24" t="s">
        <v>48</v>
      </c>
      <c r="W3"/>
      <c r="X3" s="24" t="s">
        <v>49</v>
      </c>
      <c r="Y3" s="24" t="s">
        <v>50</v>
      </c>
      <c r="Z3" s="24" t="s">
        <v>51</v>
      </c>
      <c r="AA3" s="24" t="s">
        <v>52</v>
      </c>
      <c r="AB3" s="24" t="s">
        <v>53</v>
      </c>
      <c r="AC3" s="25" t="s">
        <v>54</v>
      </c>
      <c r="AD3" s="25" t="s">
        <v>55</v>
      </c>
      <c r="AE3" s="25" t="s">
        <v>56</v>
      </c>
      <c r="AF3" s="25" t="s">
        <v>57</v>
      </c>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BJ3" s="15"/>
      <c r="BK3" s="15"/>
      <c r="BL3" s="15"/>
      <c r="BM3" s="15"/>
      <c r="BN3" s="15"/>
      <c r="BO3" s="15"/>
      <c r="BP3" s="15"/>
      <c r="BQ3" s="15"/>
      <c r="BR3" s="15"/>
      <c r="BS3" s="15"/>
      <c r="BT3" s="15"/>
      <c r="BU3" s="15"/>
      <c r="BV3" s="15"/>
      <c r="BW3" s="15"/>
      <c r="BX3" s="15"/>
      <c r="BY3" s="15"/>
      <c r="BZ3" s="15"/>
      <c r="CA3" s="15"/>
      <c r="CB3" s="15"/>
      <c r="CC3" s="15"/>
      <c r="CD3" s="15"/>
      <c r="CE3" s="15"/>
      <c r="CF3" s="15"/>
      <c r="CG3" s="15"/>
      <c r="CH3" s="15"/>
    </row>
    <row r="4" spans="1:86">
      <c r="A4" s="50" t="s">
        <v>83</v>
      </c>
      <c r="B4" s="50" t="s">
        <v>84</v>
      </c>
      <c r="C4" s="50" t="s">
        <v>85</v>
      </c>
      <c r="D4" s="50">
        <v>2</v>
      </c>
      <c r="E4" s="50">
        <v>1060</v>
      </c>
      <c r="F4" s="51">
        <v>0.16159999999999999</v>
      </c>
      <c r="G4" s="4">
        <f>(E4*12)*F4</f>
        <v>2055.5520000000001</v>
      </c>
      <c r="H4" s="50">
        <v>148</v>
      </c>
      <c r="I4" s="51">
        <v>0.16159999999999999</v>
      </c>
      <c r="J4" s="50">
        <v>114</v>
      </c>
      <c r="K4" s="50">
        <v>153</v>
      </c>
      <c r="L4">
        <f>K4-J4</f>
        <v>39</v>
      </c>
      <c r="M4">
        <f>H4-J4</f>
        <v>34</v>
      </c>
      <c r="N4" s="52">
        <f>((0.8*M4))/(L4)+0.1</f>
        <v>0.79743589743589749</v>
      </c>
      <c r="O4" s="53">
        <f>I4</f>
        <v>0.16159999999999999</v>
      </c>
      <c r="P4" s="54">
        <v>114</v>
      </c>
      <c r="Q4" s="55">
        <f>0.1+0.8*(P4-J4)/(K4-J4)</f>
        <v>0.1</v>
      </c>
      <c r="R4" s="55">
        <f>($Q$2*Q4)+$R$2</f>
        <v>0.77146000000000003</v>
      </c>
      <c r="S4" s="54">
        <f>365*P4*R4</f>
        <v>32100.4506</v>
      </c>
      <c r="T4" s="56">
        <f>S4*(1-$T$1)</f>
        <v>22470.315419999999</v>
      </c>
      <c r="U4" s="66">
        <f>E4*12*F4</f>
        <v>2055.5520000000001</v>
      </c>
      <c r="V4" s="54">
        <f>T4-U4</f>
        <v>20414.763419999999</v>
      </c>
      <c r="W4" s="37" t="s">
        <v>58</v>
      </c>
      <c r="X4" s="67">
        <f>(R4)*(365/$W$23)*($W$21)</f>
        <v>9386.0966666666664</v>
      </c>
      <c r="Y4" s="67">
        <f>-($W$7)-$W$13-(X4)</f>
        <v>-42986.096666666665</v>
      </c>
      <c r="Z4" s="67">
        <f>-($W$13)-X4-$W$18</f>
        <v>-18986.096666666665</v>
      </c>
      <c r="AA4" s="68">
        <f>-(($W$7)/($W$9))-$W$13-X4</f>
        <v>-18986.096666666665</v>
      </c>
      <c r="AB4" s="68">
        <f>-(($W$7)/($W$9))-($W$13)-X4-$W$18</f>
        <v>-24986.096666666665</v>
      </c>
      <c r="AC4" s="69">
        <f>(V4)+Y4</f>
        <v>-22571.333246666665</v>
      </c>
      <c r="AD4" s="69">
        <f>(V4)+(Z4)</f>
        <v>1428.6667533333348</v>
      </c>
      <c r="AE4" s="69">
        <f>(V4)+(AA4)</f>
        <v>1428.6667533333348</v>
      </c>
      <c r="AF4" s="69">
        <f>(V4)+(AB4)</f>
        <v>-4571.3332466666652</v>
      </c>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BJ4" s="15"/>
      <c r="BK4" s="15"/>
      <c r="BL4" s="15"/>
      <c r="BM4" s="15"/>
      <c r="BN4" s="15"/>
      <c r="BO4" s="15"/>
      <c r="BP4" s="15"/>
      <c r="BQ4" s="15"/>
      <c r="BR4" s="15"/>
      <c r="BS4" s="15"/>
      <c r="BT4" s="15"/>
      <c r="BU4" s="15"/>
      <c r="BV4" s="15"/>
      <c r="BW4" s="15"/>
      <c r="BX4" s="15"/>
      <c r="BY4" s="15"/>
      <c r="BZ4" s="15"/>
      <c r="CA4" s="15"/>
      <c r="CB4" s="15"/>
      <c r="CC4" s="15"/>
      <c r="CD4" s="15"/>
      <c r="CE4" s="15"/>
      <c r="CF4" s="15"/>
      <c r="CG4" s="15"/>
      <c r="CH4" s="15"/>
    </row>
    <row r="5" spans="1:86">
      <c r="A5" s="50" t="s">
        <v>86</v>
      </c>
      <c r="B5" s="50" t="s">
        <v>87</v>
      </c>
      <c r="C5" s="50" t="s">
        <v>85</v>
      </c>
      <c r="D5" s="50">
        <v>2</v>
      </c>
      <c r="E5" s="50">
        <v>1200</v>
      </c>
      <c r="F5" s="51">
        <v>0.34789999999999999</v>
      </c>
      <c r="G5" s="4">
        <f t="shared" ref="G5:G68" si="0">(E5*12)*F5</f>
        <v>5009.76</v>
      </c>
      <c r="H5" s="50">
        <v>133</v>
      </c>
      <c r="I5" s="51">
        <v>0.34789999999999999</v>
      </c>
      <c r="J5" s="50">
        <v>111</v>
      </c>
      <c r="K5" s="50">
        <v>149</v>
      </c>
      <c r="L5">
        <f t="shared" ref="L5:L68" si="1">K5-J5</f>
        <v>38</v>
      </c>
      <c r="M5">
        <f t="shared" ref="M5:M68" si="2">H5-J5</f>
        <v>22</v>
      </c>
      <c r="N5" s="52">
        <f t="shared" ref="N5:N68" si="3">((0.8*M5))/(L5)+0.1</f>
        <v>0.56315789473684219</v>
      </c>
      <c r="O5" s="53">
        <f t="shared" ref="O5:O68" si="4">I5</f>
        <v>0.34789999999999999</v>
      </c>
      <c r="P5" s="54">
        <v>111</v>
      </c>
      <c r="Q5" s="55">
        <f t="shared" ref="Q5:Q68" si="5">0.1+0.8*(P5-J5)/(K5-J5)</f>
        <v>0.1</v>
      </c>
      <c r="R5" s="55">
        <f t="shared" ref="R5:R68" si="6">($Q$2*Q5)+$R$2</f>
        <v>0.77146000000000003</v>
      </c>
      <c r="S5" s="54">
        <f t="shared" ref="S5:S68" si="7">365*P5*R5</f>
        <v>31255.7019</v>
      </c>
      <c r="T5" s="56">
        <f>S5*(1-$T$1)</f>
        <v>21878.991329999997</v>
      </c>
      <c r="U5" s="66">
        <f t="shared" ref="U5:U68" si="8">E5*12*F5</f>
        <v>5009.76</v>
      </c>
      <c r="V5" s="54">
        <f t="shared" ref="V5:V68" si="9">T5-U5</f>
        <v>16869.231329999995</v>
      </c>
      <c r="W5" s="38"/>
      <c r="X5" s="67">
        <f t="shared" ref="X5:X68" si="10">(R5)*(365/$W$23)*($W$21)</f>
        <v>9386.0966666666664</v>
      </c>
      <c r="Y5" s="67">
        <f t="shared" ref="Y5:Y68" si="11">-($W$7)-$W$13-(X5)</f>
        <v>-42986.096666666665</v>
      </c>
      <c r="Z5" s="67">
        <f t="shared" ref="Z5:Z68" si="12">-($W$13)-X5-$W$18</f>
        <v>-18986.096666666665</v>
      </c>
      <c r="AA5" s="68">
        <f t="shared" ref="AA5:AA68" si="13">-(($W$7)/($W$9))-$W$13-X5</f>
        <v>-18986.096666666665</v>
      </c>
      <c r="AB5" s="68">
        <f t="shared" ref="AB5:AB68" si="14">-(($W$7)/($W$9))-($W$13)-X5-$W$18</f>
        <v>-24986.096666666665</v>
      </c>
      <c r="AC5" s="69">
        <f t="shared" ref="AC5:AC68" si="15">(V5)+Y5</f>
        <v>-26116.865336666669</v>
      </c>
      <c r="AD5" s="69">
        <f t="shared" ref="AD5:AD68" si="16">(V5)+(Z5)</f>
        <v>-2116.8653366666695</v>
      </c>
      <c r="AE5" s="69">
        <f t="shared" ref="AE5:AE68" si="17">(V5)+(AA5)</f>
        <v>-2116.8653366666695</v>
      </c>
      <c r="AF5" s="69">
        <f t="shared" ref="AF5:AF68" si="18">(V5)+(AB5)</f>
        <v>-8116.8653366666695</v>
      </c>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BJ5" s="15"/>
      <c r="BK5" s="15"/>
      <c r="BL5" s="15"/>
      <c r="BM5" s="15"/>
      <c r="BN5" s="15"/>
      <c r="BO5" s="15"/>
      <c r="BP5" s="15"/>
      <c r="BQ5" s="15"/>
      <c r="BR5" s="15"/>
      <c r="BS5" s="15"/>
      <c r="BT5" s="15"/>
      <c r="BU5" s="15"/>
      <c r="BV5" s="15"/>
      <c r="BW5" s="15"/>
      <c r="BX5" s="15"/>
      <c r="BY5" s="15"/>
      <c r="BZ5" s="15"/>
      <c r="CA5" s="15"/>
      <c r="CB5" s="15"/>
      <c r="CC5" s="15"/>
      <c r="CD5" s="15"/>
      <c r="CE5" s="15"/>
      <c r="CF5" s="15"/>
      <c r="CG5" s="15"/>
      <c r="CH5" s="15"/>
    </row>
    <row r="6" spans="1:86">
      <c r="A6" s="50" t="s">
        <v>88</v>
      </c>
      <c r="B6" s="50" t="s">
        <v>89</v>
      </c>
      <c r="C6" s="50" t="s">
        <v>85</v>
      </c>
      <c r="D6" s="50">
        <v>1</v>
      </c>
      <c r="E6" s="50">
        <v>3300</v>
      </c>
      <c r="F6" s="51">
        <v>0.39729999999999999</v>
      </c>
      <c r="G6" s="4">
        <f t="shared" si="0"/>
        <v>15733.08</v>
      </c>
      <c r="H6" s="50">
        <v>372</v>
      </c>
      <c r="I6" s="51">
        <v>0.39729999999999999</v>
      </c>
      <c r="J6" s="50">
        <v>108</v>
      </c>
      <c r="K6" s="50">
        <v>610</v>
      </c>
      <c r="L6">
        <f t="shared" si="1"/>
        <v>502</v>
      </c>
      <c r="M6">
        <f t="shared" si="2"/>
        <v>264</v>
      </c>
      <c r="N6" s="52">
        <f t="shared" si="3"/>
        <v>0.52071713147410359</v>
      </c>
      <c r="O6" s="53">
        <f t="shared" si="4"/>
        <v>0.39729999999999999</v>
      </c>
      <c r="P6" s="54">
        <v>359.75489495465791</v>
      </c>
      <c r="Q6" s="55">
        <f t="shared" si="5"/>
        <v>0.50120301984806048</v>
      </c>
      <c r="R6" s="55">
        <f t="shared" si="6"/>
        <v>0.45394793009224493</v>
      </c>
      <c r="S6" s="54">
        <f t="shared" si="7"/>
        <v>59608.146315405291</v>
      </c>
      <c r="T6" s="56">
        <f>S6*(1-$T$1)</f>
        <v>41725.702420783702</v>
      </c>
      <c r="U6" s="66">
        <f t="shared" si="8"/>
        <v>15733.08</v>
      </c>
      <c r="V6" s="54">
        <f t="shared" si="9"/>
        <v>25992.6224207837</v>
      </c>
      <c r="W6" s="14" t="s">
        <v>59</v>
      </c>
      <c r="X6" s="67">
        <f t="shared" si="10"/>
        <v>5523.0331494556467</v>
      </c>
      <c r="Y6" s="67">
        <f t="shared" si="11"/>
        <v>-39123.033149455645</v>
      </c>
      <c r="Z6" s="67">
        <f t="shared" si="12"/>
        <v>-15123.033149455647</v>
      </c>
      <c r="AA6" s="68">
        <f t="shared" si="13"/>
        <v>-15123.033149455647</v>
      </c>
      <c r="AB6" s="68">
        <f t="shared" si="14"/>
        <v>-21123.033149455645</v>
      </c>
      <c r="AC6" s="69">
        <f t="shared" si="15"/>
        <v>-13130.410728671945</v>
      </c>
      <c r="AD6" s="69">
        <f t="shared" si="16"/>
        <v>10869.589271328054</v>
      </c>
      <c r="AE6" s="69">
        <f t="shared" si="17"/>
        <v>10869.589271328054</v>
      </c>
      <c r="AF6" s="69">
        <f t="shared" si="18"/>
        <v>4869.5892713280555</v>
      </c>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row>
    <row r="7" spans="1:86">
      <c r="A7" s="50" t="s">
        <v>90</v>
      </c>
      <c r="B7" s="50" t="s">
        <v>91</v>
      </c>
      <c r="C7" s="50" t="s">
        <v>85</v>
      </c>
      <c r="D7" s="50">
        <v>1</v>
      </c>
      <c r="E7" s="50">
        <v>1400</v>
      </c>
      <c r="F7" s="51">
        <v>0.3644</v>
      </c>
      <c r="G7" s="4">
        <f t="shared" si="0"/>
        <v>6121.92</v>
      </c>
      <c r="H7" s="50">
        <v>302</v>
      </c>
      <c r="I7" s="51">
        <v>0.3644</v>
      </c>
      <c r="J7" s="50">
        <v>178</v>
      </c>
      <c r="K7" s="50">
        <v>533</v>
      </c>
      <c r="L7">
        <f t="shared" si="1"/>
        <v>355</v>
      </c>
      <c r="M7">
        <f t="shared" si="2"/>
        <v>124</v>
      </c>
      <c r="N7" s="52">
        <f t="shared" si="3"/>
        <v>0.37943661971830989</v>
      </c>
      <c r="O7" s="53">
        <f t="shared" si="4"/>
        <v>0.3644</v>
      </c>
      <c r="P7" s="54">
        <v>305.22109070000704</v>
      </c>
      <c r="Q7" s="55">
        <f t="shared" si="5"/>
        <v>0.38669541566198773</v>
      </c>
      <c r="R7" s="55">
        <f t="shared" si="6"/>
        <v>0.54456924804510298</v>
      </c>
      <c r="S7" s="54">
        <f t="shared" si="7"/>
        <v>60668.117245253285</v>
      </c>
      <c r="T7" s="56">
        <f>S7*(1-$T$1)</f>
        <v>42467.6820716773</v>
      </c>
      <c r="U7" s="66">
        <f t="shared" si="8"/>
        <v>6121.92</v>
      </c>
      <c r="V7" s="54">
        <f t="shared" si="9"/>
        <v>36345.762071677302</v>
      </c>
      <c r="W7" s="39">
        <v>30000</v>
      </c>
      <c r="X7" s="67">
        <f t="shared" si="10"/>
        <v>6625.5925178820862</v>
      </c>
      <c r="Y7" s="67">
        <f t="shared" si="11"/>
        <v>-40225.592517882083</v>
      </c>
      <c r="Z7" s="67">
        <f t="shared" si="12"/>
        <v>-16225.592517882087</v>
      </c>
      <c r="AA7" s="68">
        <f t="shared" si="13"/>
        <v>-16225.592517882087</v>
      </c>
      <c r="AB7" s="68">
        <f t="shared" si="14"/>
        <v>-22225.592517882087</v>
      </c>
      <c r="AC7" s="69">
        <f t="shared" si="15"/>
        <v>-3879.8304462047818</v>
      </c>
      <c r="AD7" s="69">
        <f t="shared" si="16"/>
        <v>20120.169553795215</v>
      </c>
      <c r="AE7" s="69">
        <f t="shared" si="17"/>
        <v>20120.169553795215</v>
      </c>
      <c r="AF7" s="69">
        <f t="shared" si="18"/>
        <v>14120.169553795215</v>
      </c>
    </row>
    <row r="8" spans="1:86">
      <c r="A8" s="50" t="s">
        <v>92</v>
      </c>
      <c r="B8" s="50" t="s">
        <v>91</v>
      </c>
      <c r="C8" s="50" t="s">
        <v>85</v>
      </c>
      <c r="D8" s="50">
        <v>2</v>
      </c>
      <c r="E8" s="50">
        <v>2000</v>
      </c>
      <c r="F8" s="51">
        <v>0.41099999999999998</v>
      </c>
      <c r="G8" s="4">
        <f t="shared" si="0"/>
        <v>9864</v>
      </c>
      <c r="H8" s="50">
        <v>429</v>
      </c>
      <c r="I8" s="51">
        <v>0.41099999999999998</v>
      </c>
      <c r="J8" s="50">
        <v>221</v>
      </c>
      <c r="K8" s="50">
        <v>617</v>
      </c>
      <c r="L8">
        <f t="shared" si="1"/>
        <v>396</v>
      </c>
      <c r="M8">
        <f t="shared" si="2"/>
        <v>208</v>
      </c>
      <c r="N8" s="52">
        <f t="shared" si="3"/>
        <v>0.52020202020202022</v>
      </c>
      <c r="O8" s="53">
        <f t="shared" si="4"/>
        <v>0.41099999999999998</v>
      </c>
      <c r="P8" s="54">
        <v>351.69310399212054</v>
      </c>
      <c r="Q8" s="55">
        <f t="shared" si="5"/>
        <v>0.36402647271135469</v>
      </c>
      <c r="R8" s="55">
        <f t="shared" si="6"/>
        <v>0.56250944949623394</v>
      </c>
      <c r="S8" s="54">
        <f t="shared" si="7"/>
        <v>72208.203426153763</v>
      </c>
      <c r="T8" s="56">
        <f>S8*(1-$T$1)</f>
        <v>50545.74239830763</v>
      </c>
      <c r="U8" s="66">
        <f t="shared" si="8"/>
        <v>9864</v>
      </c>
      <c r="V8" s="54">
        <f t="shared" si="9"/>
        <v>40681.74239830763</v>
      </c>
      <c r="W8" s="39" t="s">
        <v>60</v>
      </c>
      <c r="X8" s="67">
        <f t="shared" si="10"/>
        <v>6843.8649688708465</v>
      </c>
      <c r="Y8" s="67">
        <f t="shared" si="11"/>
        <v>-40443.864968870846</v>
      </c>
      <c r="Z8" s="67">
        <f t="shared" si="12"/>
        <v>-16443.864968870846</v>
      </c>
      <c r="AA8" s="68">
        <f t="shared" si="13"/>
        <v>-16443.864968870846</v>
      </c>
      <c r="AB8" s="68">
        <f t="shared" si="14"/>
        <v>-22443.864968870846</v>
      </c>
      <c r="AC8" s="69">
        <f t="shared" si="15"/>
        <v>237.87742943678313</v>
      </c>
      <c r="AD8" s="69">
        <f t="shared" si="16"/>
        <v>24237.877429436783</v>
      </c>
      <c r="AE8" s="69">
        <f t="shared" si="17"/>
        <v>24237.877429436783</v>
      </c>
      <c r="AF8" s="69">
        <f t="shared" si="18"/>
        <v>18237.877429436783</v>
      </c>
    </row>
    <row r="9" spans="1:86">
      <c r="A9" s="50" t="s">
        <v>93</v>
      </c>
      <c r="B9" s="50" t="s">
        <v>91</v>
      </c>
      <c r="C9" s="50" t="s">
        <v>94</v>
      </c>
      <c r="D9" s="50">
        <v>1</v>
      </c>
      <c r="E9" s="50">
        <v>1600</v>
      </c>
      <c r="F9" s="51">
        <v>0.41099999999999998</v>
      </c>
      <c r="G9" s="4">
        <f t="shared" si="0"/>
        <v>7891.2</v>
      </c>
      <c r="H9" s="50">
        <v>380</v>
      </c>
      <c r="I9" s="51">
        <v>0.41099999999999998</v>
      </c>
      <c r="J9" s="50">
        <v>202</v>
      </c>
      <c r="K9" s="50">
        <v>646</v>
      </c>
      <c r="L9">
        <f t="shared" si="1"/>
        <v>444</v>
      </c>
      <c r="M9">
        <f t="shared" si="2"/>
        <v>178</v>
      </c>
      <c r="N9" s="52">
        <f t="shared" si="3"/>
        <v>0.42072072072072075</v>
      </c>
      <c r="O9" s="53">
        <f t="shared" si="4"/>
        <v>0.41099999999999998</v>
      </c>
      <c r="P9" s="54">
        <v>371.42863174874117</v>
      </c>
      <c r="Q9" s="55">
        <f t="shared" si="5"/>
        <v>0.40527681396169579</v>
      </c>
      <c r="R9" s="55">
        <f t="shared" si="6"/>
        <v>0.52986392943071392</v>
      </c>
      <c r="S9" s="54">
        <f t="shared" si="7"/>
        <v>71834.421527333485</v>
      </c>
      <c r="T9" s="56">
        <f t="shared" ref="T9:T72" si="19">S9*(1-$T$1)</f>
        <v>50284.095069133436</v>
      </c>
      <c r="U9" s="66">
        <f t="shared" si="8"/>
        <v>7891.2</v>
      </c>
      <c r="V9" s="54">
        <f t="shared" si="9"/>
        <v>42392.895069133439</v>
      </c>
      <c r="W9" s="40">
        <v>5</v>
      </c>
      <c r="X9" s="67">
        <f t="shared" si="10"/>
        <v>6446.6778080736858</v>
      </c>
      <c r="Y9" s="67">
        <f t="shared" si="11"/>
        <v>-40046.677808073684</v>
      </c>
      <c r="Z9" s="67">
        <f t="shared" si="12"/>
        <v>-16046.677808073686</v>
      </c>
      <c r="AA9" s="68">
        <f t="shared" si="13"/>
        <v>-16046.677808073686</v>
      </c>
      <c r="AB9" s="68">
        <f t="shared" si="14"/>
        <v>-22046.677808073684</v>
      </c>
      <c r="AC9" s="69">
        <f t="shared" si="15"/>
        <v>2346.2172610597554</v>
      </c>
      <c r="AD9" s="69">
        <f t="shared" si="16"/>
        <v>26346.217261059755</v>
      </c>
      <c r="AE9" s="69">
        <f t="shared" si="17"/>
        <v>26346.217261059755</v>
      </c>
      <c r="AF9" s="69">
        <f t="shared" si="18"/>
        <v>20346.217261059755</v>
      </c>
    </row>
    <row r="10" spans="1:86">
      <c r="A10" s="50" t="s">
        <v>95</v>
      </c>
      <c r="B10" s="50" t="s">
        <v>91</v>
      </c>
      <c r="C10" s="50" t="s">
        <v>94</v>
      </c>
      <c r="D10" s="50">
        <v>2</v>
      </c>
      <c r="E10" s="50">
        <v>2800</v>
      </c>
      <c r="F10" s="51">
        <v>0.52600000000000002</v>
      </c>
      <c r="G10" s="4">
        <f t="shared" si="0"/>
        <v>17673.600000000002</v>
      </c>
      <c r="H10" s="50">
        <v>374</v>
      </c>
      <c r="I10" s="51">
        <v>0.52600000000000002</v>
      </c>
      <c r="J10" s="50">
        <v>197</v>
      </c>
      <c r="K10" s="50">
        <v>639</v>
      </c>
      <c r="L10">
        <f t="shared" si="1"/>
        <v>442</v>
      </c>
      <c r="M10">
        <f t="shared" si="2"/>
        <v>177</v>
      </c>
      <c r="N10" s="52">
        <f t="shared" si="3"/>
        <v>0.42036199095022619</v>
      </c>
      <c r="O10" s="53">
        <f t="shared" si="4"/>
        <v>0.52600000000000002</v>
      </c>
      <c r="P10" s="54">
        <v>367.71048498971351</v>
      </c>
      <c r="Q10" s="55">
        <f t="shared" si="5"/>
        <v>0.40897825337504712</v>
      </c>
      <c r="R10" s="55">
        <f t="shared" si="6"/>
        <v>0.5269346102789878</v>
      </c>
      <c r="S10" s="54">
        <f t="shared" si="7"/>
        <v>70722.174102796591</v>
      </c>
      <c r="T10" s="56">
        <f t="shared" si="19"/>
        <v>49505.521871957608</v>
      </c>
      <c r="U10" s="66">
        <f t="shared" si="8"/>
        <v>17673.600000000002</v>
      </c>
      <c r="V10" s="54">
        <f t="shared" si="9"/>
        <v>31831.921871957606</v>
      </c>
      <c r="W10" s="38"/>
      <c r="X10" s="67">
        <f t="shared" si="10"/>
        <v>6411.0377583943518</v>
      </c>
      <c r="Y10" s="67">
        <f t="shared" si="11"/>
        <v>-40011.037758394348</v>
      </c>
      <c r="Z10" s="67">
        <f t="shared" si="12"/>
        <v>-16011.037758394352</v>
      </c>
      <c r="AA10" s="68">
        <f t="shared" si="13"/>
        <v>-16011.037758394352</v>
      </c>
      <c r="AB10" s="68">
        <f t="shared" si="14"/>
        <v>-22011.037758394352</v>
      </c>
      <c r="AC10" s="69">
        <f t="shared" si="15"/>
        <v>-8179.1158864367426</v>
      </c>
      <c r="AD10" s="69">
        <f t="shared" si="16"/>
        <v>15820.884113563254</v>
      </c>
      <c r="AE10" s="69">
        <f t="shared" si="17"/>
        <v>15820.884113563254</v>
      </c>
      <c r="AF10" s="69">
        <f t="shared" si="18"/>
        <v>9820.8841135632538</v>
      </c>
    </row>
    <row r="11" spans="1:86">
      <c r="A11" s="50" t="s">
        <v>96</v>
      </c>
      <c r="B11" s="50" t="s">
        <v>97</v>
      </c>
      <c r="C11" s="50" t="s">
        <v>85</v>
      </c>
      <c r="D11" s="50">
        <v>1</v>
      </c>
      <c r="E11" s="50">
        <v>1100</v>
      </c>
      <c r="F11" s="51">
        <v>0.43290000000000001</v>
      </c>
      <c r="G11" s="4">
        <f t="shared" si="0"/>
        <v>5714.28</v>
      </c>
      <c r="H11" s="50">
        <v>386</v>
      </c>
      <c r="I11" s="51">
        <v>0.43290000000000001</v>
      </c>
      <c r="J11" s="50">
        <v>114</v>
      </c>
      <c r="K11" s="50">
        <v>477</v>
      </c>
      <c r="L11">
        <f t="shared" si="1"/>
        <v>363</v>
      </c>
      <c r="M11">
        <f t="shared" si="2"/>
        <v>272</v>
      </c>
      <c r="N11" s="52">
        <f t="shared" si="3"/>
        <v>0.69944903581267226</v>
      </c>
      <c r="O11" s="53">
        <f t="shared" si="4"/>
        <v>0.43290000000000001</v>
      </c>
      <c r="P11" s="54">
        <v>278.09367865944387</v>
      </c>
      <c r="Q11" s="55">
        <f t="shared" si="5"/>
        <v>0.46163896123293413</v>
      </c>
      <c r="R11" s="55">
        <f t="shared" si="6"/>
        <v>0.48525892608025595</v>
      </c>
      <c r="S11" s="54">
        <f t="shared" si="7"/>
        <v>49255.815547436177</v>
      </c>
      <c r="T11" s="56">
        <f t="shared" si="19"/>
        <v>34479.070883205321</v>
      </c>
      <c r="U11" s="66">
        <f t="shared" si="8"/>
        <v>5714.28</v>
      </c>
      <c r="V11" s="54">
        <f t="shared" si="9"/>
        <v>28764.790883205322</v>
      </c>
      <c r="W11" s="14" t="s">
        <v>61</v>
      </c>
      <c r="X11" s="67">
        <f t="shared" si="10"/>
        <v>5903.9836006431142</v>
      </c>
      <c r="Y11" s="67">
        <f t="shared" si="11"/>
        <v>-39503.983600643114</v>
      </c>
      <c r="Z11" s="67">
        <f t="shared" si="12"/>
        <v>-15503.983600643114</v>
      </c>
      <c r="AA11" s="68">
        <f t="shared" si="13"/>
        <v>-15503.983600643114</v>
      </c>
      <c r="AB11" s="68">
        <f t="shared" si="14"/>
        <v>-21503.983600643114</v>
      </c>
      <c r="AC11" s="69">
        <f t="shared" si="15"/>
        <v>-10739.192717437792</v>
      </c>
      <c r="AD11" s="69">
        <f t="shared" si="16"/>
        <v>13260.807282562208</v>
      </c>
      <c r="AE11" s="69">
        <f t="shared" si="17"/>
        <v>13260.807282562208</v>
      </c>
      <c r="AF11" s="69">
        <f t="shared" si="18"/>
        <v>7260.8072825622075</v>
      </c>
    </row>
    <row r="12" spans="1:86">
      <c r="A12" s="50" t="s">
        <v>98</v>
      </c>
      <c r="B12" s="50" t="s">
        <v>97</v>
      </c>
      <c r="C12" s="50" t="s">
        <v>85</v>
      </c>
      <c r="D12" s="50">
        <v>2</v>
      </c>
      <c r="E12" s="50">
        <v>1900</v>
      </c>
      <c r="F12" s="51">
        <v>0.69589999999999996</v>
      </c>
      <c r="G12" s="4">
        <f t="shared" si="0"/>
        <v>15866.519999999999</v>
      </c>
      <c r="H12" s="50">
        <v>212</v>
      </c>
      <c r="I12" s="51">
        <v>0.69589999999999996</v>
      </c>
      <c r="J12" s="50">
        <v>80</v>
      </c>
      <c r="K12" s="50">
        <v>583</v>
      </c>
      <c r="L12">
        <f t="shared" si="1"/>
        <v>503</v>
      </c>
      <c r="M12">
        <f t="shared" si="2"/>
        <v>132</v>
      </c>
      <c r="N12" s="52">
        <f t="shared" si="3"/>
        <v>0.30994035785288276</v>
      </c>
      <c r="O12" s="53">
        <f t="shared" si="4"/>
        <v>0.69589999999999996</v>
      </c>
      <c r="P12" s="54">
        <v>346.36396894958744</v>
      </c>
      <c r="Q12" s="55">
        <f t="shared" si="5"/>
        <v>0.52364050727568578</v>
      </c>
      <c r="R12" s="55">
        <f t="shared" si="6"/>
        <v>0.43619090254202231</v>
      </c>
      <c r="S12" s="54">
        <f t="shared" si="7"/>
        <v>55144.4964618175</v>
      </c>
      <c r="T12" s="56">
        <f t="shared" si="19"/>
        <v>38601.147523272244</v>
      </c>
      <c r="U12" s="66">
        <f t="shared" si="8"/>
        <v>15866.519999999999</v>
      </c>
      <c r="V12" s="54">
        <f t="shared" si="9"/>
        <v>22734.627523272247</v>
      </c>
      <c r="W12" s="10" t="s">
        <v>62</v>
      </c>
      <c r="X12" s="67">
        <f t="shared" si="10"/>
        <v>5306.9893142612709</v>
      </c>
      <c r="Y12" s="67">
        <f t="shared" si="11"/>
        <v>-38906.989314261271</v>
      </c>
      <c r="Z12" s="67">
        <f t="shared" si="12"/>
        <v>-14906.989314261271</v>
      </c>
      <c r="AA12" s="68">
        <f t="shared" si="13"/>
        <v>-14906.989314261271</v>
      </c>
      <c r="AB12" s="68">
        <f t="shared" si="14"/>
        <v>-20906.989314261271</v>
      </c>
      <c r="AC12" s="69">
        <f t="shared" si="15"/>
        <v>-16172.361790989024</v>
      </c>
      <c r="AD12" s="69">
        <f t="shared" si="16"/>
        <v>7827.6382090109764</v>
      </c>
      <c r="AE12" s="69">
        <f t="shared" si="17"/>
        <v>7827.6382090109764</v>
      </c>
      <c r="AF12" s="69">
        <f t="shared" si="18"/>
        <v>1827.6382090109764</v>
      </c>
    </row>
    <row r="13" spans="1:86">
      <c r="A13" s="50" t="s">
        <v>99</v>
      </c>
      <c r="B13" s="50" t="s">
        <v>97</v>
      </c>
      <c r="C13" s="50" t="s">
        <v>94</v>
      </c>
      <c r="D13" s="50">
        <v>1</v>
      </c>
      <c r="E13" s="50">
        <v>1800</v>
      </c>
      <c r="F13" s="51">
        <v>0.1096</v>
      </c>
      <c r="G13" s="4">
        <f t="shared" si="0"/>
        <v>2367.36</v>
      </c>
      <c r="H13" s="50">
        <v>969</v>
      </c>
      <c r="I13" s="51">
        <v>0.1096</v>
      </c>
      <c r="J13" s="50">
        <v>239</v>
      </c>
      <c r="K13" s="50">
        <v>1431</v>
      </c>
      <c r="L13">
        <f t="shared" si="1"/>
        <v>1192</v>
      </c>
      <c r="M13">
        <f t="shared" si="2"/>
        <v>730</v>
      </c>
      <c r="N13" s="52">
        <f t="shared" si="3"/>
        <v>0.58993288590604032</v>
      </c>
      <c r="O13" s="53">
        <f t="shared" si="4"/>
        <v>0.1096</v>
      </c>
      <c r="P13" s="54">
        <v>845.5156079560802</v>
      </c>
      <c r="Q13" s="55">
        <f t="shared" si="5"/>
        <v>0.50705745500408073</v>
      </c>
      <c r="R13" s="55">
        <f t="shared" si="6"/>
        <v>0.44931473010977052</v>
      </c>
      <c r="S13" s="54">
        <f t="shared" si="7"/>
        <v>138664.45527522042</v>
      </c>
      <c r="T13" s="56">
        <f t="shared" si="19"/>
        <v>97065.118692654287</v>
      </c>
      <c r="U13" s="66">
        <f t="shared" si="8"/>
        <v>2367.36</v>
      </c>
      <c r="V13" s="54">
        <f t="shared" si="9"/>
        <v>94697.758692654286</v>
      </c>
      <c r="W13" s="39">
        <v>3600</v>
      </c>
      <c r="X13" s="67">
        <f t="shared" si="10"/>
        <v>5466.6625496688748</v>
      </c>
      <c r="Y13" s="67">
        <f t="shared" si="11"/>
        <v>-39066.662549668872</v>
      </c>
      <c r="Z13" s="67">
        <f t="shared" si="12"/>
        <v>-15066.662549668876</v>
      </c>
      <c r="AA13" s="68">
        <f t="shared" si="13"/>
        <v>-15066.662549668876</v>
      </c>
      <c r="AB13" s="68">
        <f t="shared" si="14"/>
        <v>-21066.662549668876</v>
      </c>
      <c r="AC13" s="69">
        <f t="shared" si="15"/>
        <v>55631.096142985414</v>
      </c>
      <c r="AD13" s="69">
        <f t="shared" si="16"/>
        <v>79631.096142985407</v>
      </c>
      <c r="AE13" s="69">
        <f t="shared" si="17"/>
        <v>79631.096142985407</v>
      </c>
      <c r="AF13" s="69">
        <f t="shared" si="18"/>
        <v>73631.096142985407</v>
      </c>
    </row>
    <row r="14" spans="1:86">
      <c r="A14" s="50" t="s">
        <v>100</v>
      </c>
      <c r="B14" s="50" t="s">
        <v>97</v>
      </c>
      <c r="C14" s="50" t="s">
        <v>94</v>
      </c>
      <c r="D14" s="50">
        <v>2</v>
      </c>
      <c r="E14" s="50">
        <v>3200</v>
      </c>
      <c r="F14" s="51">
        <v>0.22470000000000001</v>
      </c>
      <c r="G14" s="4">
        <f t="shared" si="0"/>
        <v>8628.48</v>
      </c>
      <c r="H14" s="50">
        <v>885</v>
      </c>
      <c r="I14" s="51">
        <v>0.22470000000000001</v>
      </c>
      <c r="J14" s="50">
        <v>236</v>
      </c>
      <c r="K14" s="50">
        <v>1533</v>
      </c>
      <c r="L14">
        <f t="shared" si="1"/>
        <v>1297</v>
      </c>
      <c r="M14">
        <f t="shared" si="2"/>
        <v>649</v>
      </c>
      <c r="N14" s="52">
        <f t="shared" si="3"/>
        <v>0.50030840400925214</v>
      </c>
      <c r="O14" s="53">
        <f t="shared" si="4"/>
        <v>0.22470000000000001</v>
      </c>
      <c r="P14" s="54">
        <v>907.96832292368799</v>
      </c>
      <c r="Q14" s="55">
        <f t="shared" si="5"/>
        <v>0.51447544976017767</v>
      </c>
      <c r="R14" s="55">
        <f t="shared" si="6"/>
        <v>0.44344412905979541</v>
      </c>
      <c r="S14" s="54">
        <f t="shared" si="7"/>
        <v>146961.12609306391</v>
      </c>
      <c r="T14" s="56">
        <f t="shared" si="19"/>
        <v>102872.78826514473</v>
      </c>
      <c r="U14" s="66">
        <f t="shared" si="8"/>
        <v>8628.48</v>
      </c>
      <c r="V14" s="54">
        <f t="shared" si="9"/>
        <v>94244.308265144733</v>
      </c>
      <c r="W14" s="10" t="s">
        <v>63</v>
      </c>
      <c r="X14" s="67">
        <f t="shared" si="10"/>
        <v>5395.2369035608444</v>
      </c>
      <c r="Y14" s="67">
        <f t="shared" si="11"/>
        <v>-38995.236903560843</v>
      </c>
      <c r="Z14" s="67">
        <f t="shared" si="12"/>
        <v>-14995.236903560844</v>
      </c>
      <c r="AA14" s="68">
        <f t="shared" si="13"/>
        <v>-14995.236903560844</v>
      </c>
      <c r="AB14" s="68">
        <f t="shared" si="14"/>
        <v>-20995.236903560843</v>
      </c>
      <c r="AC14" s="69">
        <f t="shared" si="15"/>
        <v>55249.07136158389</v>
      </c>
      <c r="AD14" s="69">
        <f t="shared" si="16"/>
        <v>79249.07136158389</v>
      </c>
      <c r="AE14" s="69">
        <f t="shared" si="17"/>
        <v>79249.07136158389</v>
      </c>
      <c r="AF14" s="69">
        <f t="shared" si="18"/>
        <v>73249.07136158389</v>
      </c>
    </row>
    <row r="15" spans="1:86">
      <c r="A15" s="50" t="s">
        <v>101</v>
      </c>
      <c r="B15" s="50" t="s">
        <v>102</v>
      </c>
      <c r="C15" s="50" t="s">
        <v>85</v>
      </c>
      <c r="D15" s="50">
        <v>1</v>
      </c>
      <c r="E15" s="50">
        <v>1000</v>
      </c>
      <c r="F15" s="51">
        <v>0.21920000000000001</v>
      </c>
      <c r="G15" s="4">
        <f t="shared" si="0"/>
        <v>2630.4</v>
      </c>
      <c r="H15" s="50">
        <v>287</v>
      </c>
      <c r="I15" s="51">
        <v>0.21920000000000001</v>
      </c>
      <c r="J15" s="50">
        <v>138</v>
      </c>
      <c r="K15" s="50">
        <v>550</v>
      </c>
      <c r="L15">
        <f t="shared" si="1"/>
        <v>412</v>
      </c>
      <c r="M15">
        <f t="shared" si="2"/>
        <v>149</v>
      </c>
      <c r="N15" s="52">
        <f t="shared" si="3"/>
        <v>0.38932038834951455</v>
      </c>
      <c r="O15" s="53">
        <f t="shared" si="4"/>
        <v>0.21920000000000001</v>
      </c>
      <c r="P15" s="54">
        <v>319.93828041099408</v>
      </c>
      <c r="Q15" s="55">
        <f t="shared" si="5"/>
        <v>0.45327821439027982</v>
      </c>
      <c r="R15" s="55">
        <f t="shared" si="6"/>
        <v>0.4918756211315326</v>
      </c>
      <c r="S15" s="54">
        <f t="shared" si="7"/>
        <v>57439.99174633294</v>
      </c>
      <c r="T15" s="56">
        <f t="shared" si="19"/>
        <v>40207.994222433059</v>
      </c>
      <c r="U15" s="66">
        <f t="shared" si="8"/>
        <v>2630.4</v>
      </c>
      <c r="V15" s="54">
        <f t="shared" si="9"/>
        <v>37577.594222433057</v>
      </c>
      <c r="W15" s="10" t="s">
        <v>64</v>
      </c>
      <c r="X15" s="67">
        <f t="shared" si="10"/>
        <v>5984.4867237669805</v>
      </c>
      <c r="Y15" s="67">
        <f t="shared" si="11"/>
        <v>-39584.486723766982</v>
      </c>
      <c r="Z15" s="67">
        <f t="shared" si="12"/>
        <v>-15584.486723766981</v>
      </c>
      <c r="AA15" s="68">
        <f t="shared" si="13"/>
        <v>-15584.486723766981</v>
      </c>
      <c r="AB15" s="68">
        <f t="shared" si="14"/>
        <v>-21584.486723766982</v>
      </c>
      <c r="AC15" s="69">
        <f t="shared" si="15"/>
        <v>-2006.8925013339249</v>
      </c>
      <c r="AD15" s="69">
        <f t="shared" si="16"/>
        <v>21993.107498666075</v>
      </c>
      <c r="AE15" s="69">
        <f t="shared" si="17"/>
        <v>21993.107498666075</v>
      </c>
      <c r="AF15" s="69">
        <f t="shared" si="18"/>
        <v>15993.107498666075</v>
      </c>
    </row>
    <row r="16" spans="1:86">
      <c r="A16" s="50" t="s">
        <v>103</v>
      </c>
      <c r="B16" s="50" t="s">
        <v>87</v>
      </c>
      <c r="C16" s="50" t="s">
        <v>94</v>
      </c>
      <c r="D16" s="50">
        <v>1</v>
      </c>
      <c r="E16" s="50">
        <v>1000</v>
      </c>
      <c r="F16" s="51">
        <v>0.39179999999999998</v>
      </c>
      <c r="G16" s="4">
        <f t="shared" si="0"/>
        <v>4701.5999999999995</v>
      </c>
      <c r="H16" s="50">
        <v>206</v>
      </c>
      <c r="I16" s="51">
        <v>0.39179999999999998</v>
      </c>
      <c r="J16" s="50">
        <v>116</v>
      </c>
      <c r="K16" s="50">
        <v>296</v>
      </c>
      <c r="L16">
        <f t="shared" si="1"/>
        <v>180</v>
      </c>
      <c r="M16">
        <f t="shared" si="2"/>
        <v>90</v>
      </c>
      <c r="N16" s="52">
        <f t="shared" si="3"/>
        <v>0.5</v>
      </c>
      <c r="O16" s="53">
        <f t="shared" si="4"/>
        <v>0.39179999999999998</v>
      </c>
      <c r="P16" s="54">
        <v>167.63322938520568</v>
      </c>
      <c r="Q16" s="55">
        <f t="shared" si="5"/>
        <v>0.32948101948980307</v>
      </c>
      <c r="R16" s="55">
        <f t="shared" si="6"/>
        <v>0.58984872117576992</v>
      </c>
      <c r="S16" s="54">
        <f t="shared" si="7"/>
        <v>36090.55978249124</v>
      </c>
      <c r="T16" s="56">
        <f t="shared" si="19"/>
        <v>25263.391847743867</v>
      </c>
      <c r="U16" s="66">
        <f t="shared" si="8"/>
        <v>4701.5999999999995</v>
      </c>
      <c r="V16" s="54">
        <f t="shared" si="9"/>
        <v>20561.791847743869</v>
      </c>
      <c r="W16" s="39">
        <v>0</v>
      </c>
      <c r="X16" s="67">
        <f t="shared" si="10"/>
        <v>7176.4927743052012</v>
      </c>
      <c r="Y16" s="67">
        <f t="shared" si="11"/>
        <v>-40776.492774305203</v>
      </c>
      <c r="Z16" s="67">
        <f t="shared" si="12"/>
        <v>-16776.492774305203</v>
      </c>
      <c r="AA16" s="68">
        <f t="shared" si="13"/>
        <v>-16776.492774305203</v>
      </c>
      <c r="AB16" s="68">
        <f t="shared" si="14"/>
        <v>-22776.492774305203</v>
      </c>
      <c r="AC16" s="69">
        <f t="shared" si="15"/>
        <v>-20214.700926561334</v>
      </c>
      <c r="AD16" s="69">
        <f t="shared" si="16"/>
        <v>3785.2990734386658</v>
      </c>
      <c r="AE16" s="69">
        <f t="shared" si="17"/>
        <v>3785.2990734386658</v>
      </c>
      <c r="AF16" s="69">
        <f t="shared" si="18"/>
        <v>-2214.7009265613342</v>
      </c>
    </row>
    <row r="17" spans="1:32">
      <c r="A17" s="50" t="s">
        <v>104</v>
      </c>
      <c r="B17" s="50" t="s">
        <v>102</v>
      </c>
      <c r="C17" s="50" t="s">
        <v>85</v>
      </c>
      <c r="D17" s="50">
        <v>2</v>
      </c>
      <c r="E17" s="50">
        <v>1300</v>
      </c>
      <c r="F17" s="51">
        <v>0.53700000000000003</v>
      </c>
      <c r="G17" s="4">
        <f t="shared" si="0"/>
        <v>8377.2000000000007</v>
      </c>
      <c r="H17" s="50">
        <v>462</v>
      </c>
      <c r="I17" s="51">
        <v>0.53700000000000003</v>
      </c>
      <c r="J17" s="50">
        <v>175</v>
      </c>
      <c r="K17" s="50">
        <v>917</v>
      </c>
      <c r="L17">
        <f t="shared" si="1"/>
        <v>742</v>
      </c>
      <c r="M17">
        <f t="shared" si="2"/>
        <v>287</v>
      </c>
      <c r="N17" s="52">
        <f t="shared" si="3"/>
        <v>0.40943396226415096</v>
      </c>
      <c r="O17" s="53">
        <f t="shared" si="4"/>
        <v>0.53700000000000003</v>
      </c>
      <c r="P17" s="54">
        <v>539.43253323776139</v>
      </c>
      <c r="Q17" s="55">
        <f t="shared" si="5"/>
        <v>0.49291917330216861</v>
      </c>
      <c r="R17" s="55">
        <f t="shared" si="6"/>
        <v>0.46050376624866379</v>
      </c>
      <c r="S17" s="54">
        <f t="shared" si="7"/>
        <v>90669.910315462024</v>
      </c>
      <c r="T17" s="56">
        <f t="shared" si="19"/>
        <v>63468.937220823413</v>
      </c>
      <c r="U17" s="66">
        <f t="shared" si="8"/>
        <v>8377.2000000000007</v>
      </c>
      <c r="V17" s="54">
        <f t="shared" si="9"/>
        <v>55091.737220823416</v>
      </c>
      <c r="W17" s="10" t="s">
        <v>65</v>
      </c>
      <c r="X17" s="67">
        <f t="shared" si="10"/>
        <v>5602.7958226920764</v>
      </c>
      <c r="Y17" s="67">
        <f t="shared" si="11"/>
        <v>-39202.795822692075</v>
      </c>
      <c r="Z17" s="67">
        <f t="shared" si="12"/>
        <v>-15202.795822692076</v>
      </c>
      <c r="AA17" s="68">
        <f t="shared" si="13"/>
        <v>-15202.795822692076</v>
      </c>
      <c r="AB17" s="68">
        <f t="shared" si="14"/>
        <v>-21202.795822692075</v>
      </c>
      <c r="AC17" s="69">
        <f t="shared" si="15"/>
        <v>15888.941398131341</v>
      </c>
      <c r="AD17" s="69">
        <f t="shared" si="16"/>
        <v>39888.941398131341</v>
      </c>
      <c r="AE17" s="69">
        <f t="shared" si="17"/>
        <v>39888.941398131341</v>
      </c>
      <c r="AF17" s="69">
        <f t="shared" si="18"/>
        <v>33888.941398131341</v>
      </c>
    </row>
    <row r="18" spans="1:32">
      <c r="A18" s="50" t="s">
        <v>105</v>
      </c>
      <c r="B18" s="50" t="s">
        <v>102</v>
      </c>
      <c r="C18" s="50" t="s">
        <v>94</v>
      </c>
      <c r="D18" s="50">
        <v>1</v>
      </c>
      <c r="E18" s="50">
        <v>1200</v>
      </c>
      <c r="F18" s="51">
        <v>0.51229999999999998</v>
      </c>
      <c r="G18" s="4">
        <f t="shared" si="0"/>
        <v>7377.12</v>
      </c>
      <c r="H18" s="50">
        <v>389</v>
      </c>
      <c r="I18" s="51">
        <v>0.51229999999999998</v>
      </c>
      <c r="J18" s="50">
        <v>130</v>
      </c>
      <c r="K18" s="50">
        <v>821</v>
      </c>
      <c r="L18">
        <f t="shared" si="1"/>
        <v>691</v>
      </c>
      <c r="M18">
        <f t="shared" si="2"/>
        <v>259</v>
      </c>
      <c r="N18" s="52">
        <f t="shared" si="3"/>
        <v>0.39985528219971056</v>
      </c>
      <c r="O18" s="53">
        <f t="shared" si="4"/>
        <v>0.51229999999999998</v>
      </c>
      <c r="P18" s="54">
        <v>485.86978499635171</v>
      </c>
      <c r="Q18" s="55">
        <f t="shared" si="5"/>
        <v>0.51200553979317132</v>
      </c>
      <c r="R18" s="55">
        <f t="shared" si="6"/>
        <v>0.44539881580768426</v>
      </c>
      <c r="S18" s="54">
        <f t="shared" si="7"/>
        <v>78988.126809049863</v>
      </c>
      <c r="T18" s="56">
        <f t="shared" si="19"/>
        <v>55291.688766334904</v>
      </c>
      <c r="U18" s="66">
        <f t="shared" si="8"/>
        <v>7377.12</v>
      </c>
      <c r="V18" s="54">
        <f t="shared" si="9"/>
        <v>47914.568766334902</v>
      </c>
      <c r="W18" s="41">
        <v>6000</v>
      </c>
      <c r="X18" s="67">
        <f t="shared" si="10"/>
        <v>5419.0189256601589</v>
      </c>
      <c r="Y18" s="67">
        <f t="shared" si="11"/>
        <v>-39019.018925660159</v>
      </c>
      <c r="Z18" s="67">
        <f t="shared" si="12"/>
        <v>-15019.018925660159</v>
      </c>
      <c r="AA18" s="68">
        <f t="shared" si="13"/>
        <v>-15019.018925660159</v>
      </c>
      <c r="AB18" s="68">
        <f t="shared" si="14"/>
        <v>-21019.018925660159</v>
      </c>
      <c r="AC18" s="69">
        <f t="shared" si="15"/>
        <v>8895.5498406747429</v>
      </c>
      <c r="AD18" s="69">
        <f t="shared" si="16"/>
        <v>32895.549840674743</v>
      </c>
      <c r="AE18" s="69">
        <f t="shared" si="17"/>
        <v>32895.549840674743</v>
      </c>
      <c r="AF18" s="69">
        <f t="shared" si="18"/>
        <v>26895.549840674743</v>
      </c>
    </row>
    <row r="19" spans="1:32">
      <c r="A19" s="50" t="s">
        <v>106</v>
      </c>
      <c r="B19" s="50" t="s">
        <v>102</v>
      </c>
      <c r="C19" s="50" t="s">
        <v>94</v>
      </c>
      <c r="D19" s="50">
        <v>2</v>
      </c>
      <c r="E19" s="50">
        <v>1600</v>
      </c>
      <c r="F19" s="51">
        <v>0.36159999999999998</v>
      </c>
      <c r="G19" s="4">
        <f t="shared" si="0"/>
        <v>6942.7199999999993</v>
      </c>
      <c r="H19" s="50">
        <v>678</v>
      </c>
      <c r="I19" s="51">
        <v>0.36159999999999998</v>
      </c>
      <c r="J19" s="50">
        <v>241</v>
      </c>
      <c r="K19" s="50">
        <v>866</v>
      </c>
      <c r="L19">
        <f t="shared" si="1"/>
        <v>625</v>
      </c>
      <c r="M19">
        <f t="shared" si="2"/>
        <v>437</v>
      </c>
      <c r="N19" s="52">
        <f t="shared" si="3"/>
        <v>0.65936000000000006</v>
      </c>
      <c r="O19" s="53">
        <f t="shared" si="4"/>
        <v>0.36159999999999998</v>
      </c>
      <c r="P19" s="54">
        <v>501.17093433099848</v>
      </c>
      <c r="Q19" s="55">
        <f t="shared" si="5"/>
        <v>0.43301879594367809</v>
      </c>
      <c r="R19" s="55">
        <f t="shared" si="6"/>
        <v>0.50790892489017314</v>
      </c>
      <c r="S19" s="54">
        <f t="shared" si="7"/>
        <v>92910.454511425269</v>
      </c>
      <c r="T19" s="56">
        <f t="shared" si="19"/>
        <v>65037.318157997681</v>
      </c>
      <c r="U19" s="66">
        <f t="shared" si="8"/>
        <v>6942.7199999999993</v>
      </c>
      <c r="V19" s="54">
        <f t="shared" si="9"/>
        <v>58094.59815799768</v>
      </c>
      <c r="W19" s="38"/>
      <c r="X19" s="67">
        <f t="shared" si="10"/>
        <v>6179.5585861637737</v>
      </c>
      <c r="Y19" s="67">
        <f t="shared" si="11"/>
        <v>-39779.558586163774</v>
      </c>
      <c r="Z19" s="67">
        <f t="shared" si="12"/>
        <v>-15779.558586163774</v>
      </c>
      <c r="AA19" s="68">
        <f t="shared" si="13"/>
        <v>-15779.558586163774</v>
      </c>
      <c r="AB19" s="68">
        <f t="shared" si="14"/>
        <v>-21779.558586163774</v>
      </c>
      <c r="AC19" s="69">
        <f t="shared" si="15"/>
        <v>18315.039571833906</v>
      </c>
      <c r="AD19" s="69">
        <f t="shared" si="16"/>
        <v>42315.039571833906</v>
      </c>
      <c r="AE19" s="69">
        <f t="shared" si="17"/>
        <v>42315.039571833906</v>
      </c>
      <c r="AF19" s="69">
        <f t="shared" si="18"/>
        <v>36315.039571833906</v>
      </c>
    </row>
    <row r="20" spans="1:32">
      <c r="A20" s="50" t="s">
        <v>107</v>
      </c>
      <c r="B20" s="50" t="s">
        <v>108</v>
      </c>
      <c r="C20" s="50" t="s">
        <v>85</v>
      </c>
      <c r="D20" s="50">
        <v>1</v>
      </c>
      <c r="E20" s="50">
        <v>800</v>
      </c>
      <c r="F20" s="51">
        <v>0.84379999999999999</v>
      </c>
      <c r="G20" s="4">
        <f t="shared" si="0"/>
        <v>8100.48</v>
      </c>
      <c r="H20" s="50">
        <v>163</v>
      </c>
      <c r="I20" s="51">
        <v>0.84379999999999999</v>
      </c>
      <c r="J20" s="50">
        <v>134</v>
      </c>
      <c r="K20" s="50">
        <v>288</v>
      </c>
      <c r="L20">
        <f t="shared" si="1"/>
        <v>154</v>
      </c>
      <c r="M20">
        <f t="shared" si="2"/>
        <v>29</v>
      </c>
      <c r="N20" s="52">
        <f t="shared" si="3"/>
        <v>0.25064935064935068</v>
      </c>
      <c r="O20" s="53">
        <f t="shared" si="4"/>
        <v>0.84379999999999999</v>
      </c>
      <c r="P20" s="54">
        <v>160.79731830072535</v>
      </c>
      <c r="Q20" s="55">
        <f t="shared" si="5"/>
        <v>0.23920684831545638</v>
      </c>
      <c r="R20" s="55">
        <f t="shared" si="6"/>
        <v>0.66129170024314787</v>
      </c>
      <c r="S20" s="54">
        <f t="shared" si="7"/>
        <v>38811.885184973231</v>
      </c>
      <c r="T20" s="56">
        <f t="shared" si="19"/>
        <v>27168.319629481259</v>
      </c>
      <c r="U20" s="66">
        <f t="shared" si="8"/>
        <v>8100.48</v>
      </c>
      <c r="V20" s="54">
        <f t="shared" si="9"/>
        <v>19067.839629481259</v>
      </c>
      <c r="W20" s="14" t="s">
        <v>66</v>
      </c>
      <c r="X20" s="67">
        <f t="shared" si="10"/>
        <v>8045.7156862916318</v>
      </c>
      <c r="Y20" s="67">
        <f t="shared" si="11"/>
        <v>-41645.715686291631</v>
      </c>
      <c r="Z20" s="67">
        <f t="shared" si="12"/>
        <v>-17645.715686291631</v>
      </c>
      <c r="AA20" s="68">
        <f t="shared" si="13"/>
        <v>-17645.715686291631</v>
      </c>
      <c r="AB20" s="68">
        <f t="shared" si="14"/>
        <v>-23645.715686291631</v>
      </c>
      <c r="AC20" s="69">
        <f t="shared" si="15"/>
        <v>-22577.876056810372</v>
      </c>
      <c r="AD20" s="69">
        <f t="shared" si="16"/>
        <v>1422.1239431896283</v>
      </c>
      <c r="AE20" s="69">
        <f t="shared" si="17"/>
        <v>1422.1239431896283</v>
      </c>
      <c r="AF20" s="69">
        <f t="shared" si="18"/>
        <v>-4577.8760568103717</v>
      </c>
    </row>
    <row r="21" spans="1:32">
      <c r="A21" s="50" t="s">
        <v>109</v>
      </c>
      <c r="B21" s="50" t="s">
        <v>108</v>
      </c>
      <c r="C21" s="50" t="s">
        <v>85</v>
      </c>
      <c r="D21" s="50">
        <v>2</v>
      </c>
      <c r="E21" s="50">
        <v>1200</v>
      </c>
      <c r="F21" s="51">
        <v>0.91510000000000002</v>
      </c>
      <c r="G21" s="4">
        <f t="shared" si="0"/>
        <v>13177.44</v>
      </c>
      <c r="H21" s="50">
        <v>374</v>
      </c>
      <c r="I21" s="51">
        <v>0.91510000000000002</v>
      </c>
      <c r="J21" s="50">
        <v>234</v>
      </c>
      <c r="K21" s="50">
        <v>794</v>
      </c>
      <c r="L21">
        <f t="shared" si="1"/>
        <v>560</v>
      </c>
      <c r="M21">
        <f t="shared" si="2"/>
        <v>140</v>
      </c>
      <c r="N21" s="52">
        <f t="shared" si="3"/>
        <v>0.30000000000000004</v>
      </c>
      <c r="O21" s="53">
        <f t="shared" si="4"/>
        <v>0.91510000000000002</v>
      </c>
      <c r="P21" s="54">
        <v>458.08115616057444</v>
      </c>
      <c r="Q21" s="55">
        <f t="shared" si="5"/>
        <v>0.42011593737224917</v>
      </c>
      <c r="R21" s="55">
        <f t="shared" si="6"/>
        <v>0.51812024716360205</v>
      </c>
      <c r="S21" s="54">
        <f t="shared" si="7"/>
        <v>86629.509475580489</v>
      </c>
      <c r="T21" s="56">
        <f t="shared" si="19"/>
        <v>60640.656632906335</v>
      </c>
      <c r="U21" s="66">
        <f t="shared" si="8"/>
        <v>13177.44</v>
      </c>
      <c r="V21" s="54">
        <f t="shared" si="9"/>
        <v>47463.216632906333</v>
      </c>
      <c r="W21" s="39">
        <v>100</v>
      </c>
      <c r="X21" s="67">
        <f t="shared" si="10"/>
        <v>6303.7963404904922</v>
      </c>
      <c r="Y21" s="67">
        <f t="shared" si="11"/>
        <v>-39903.796340490495</v>
      </c>
      <c r="Z21" s="67">
        <f t="shared" si="12"/>
        <v>-15903.796340490491</v>
      </c>
      <c r="AA21" s="68">
        <f t="shared" si="13"/>
        <v>-15903.796340490491</v>
      </c>
      <c r="AB21" s="68">
        <f t="shared" si="14"/>
        <v>-21903.796340490491</v>
      </c>
      <c r="AC21" s="69">
        <f t="shared" si="15"/>
        <v>7559.420292415838</v>
      </c>
      <c r="AD21" s="69">
        <f t="shared" si="16"/>
        <v>31559.420292415842</v>
      </c>
      <c r="AE21" s="69">
        <f t="shared" si="17"/>
        <v>31559.420292415842</v>
      </c>
      <c r="AF21" s="69">
        <f t="shared" si="18"/>
        <v>25559.420292415842</v>
      </c>
    </row>
    <row r="22" spans="1:32">
      <c r="A22" s="50" t="s">
        <v>110</v>
      </c>
      <c r="B22" s="50" t="s">
        <v>108</v>
      </c>
      <c r="C22" s="50" t="s">
        <v>94</v>
      </c>
      <c r="D22" s="50">
        <v>1</v>
      </c>
      <c r="E22" s="50">
        <v>900</v>
      </c>
      <c r="F22" s="51">
        <v>0.43009999999999998</v>
      </c>
      <c r="G22" s="4">
        <f t="shared" si="0"/>
        <v>4645.08</v>
      </c>
      <c r="H22" s="50">
        <v>444</v>
      </c>
      <c r="I22" s="51">
        <v>0.43009999999999998</v>
      </c>
      <c r="J22" s="50">
        <v>252</v>
      </c>
      <c r="K22" s="50">
        <v>547</v>
      </c>
      <c r="L22">
        <f t="shared" si="1"/>
        <v>295</v>
      </c>
      <c r="M22">
        <f t="shared" si="2"/>
        <v>192</v>
      </c>
      <c r="N22" s="52">
        <f t="shared" si="3"/>
        <v>0.62067796610169501</v>
      </c>
      <c r="O22" s="53">
        <f t="shared" si="4"/>
        <v>0.43009999999999998</v>
      </c>
      <c r="P22" s="54">
        <v>305.67668075423097</v>
      </c>
      <c r="Q22" s="55">
        <f t="shared" si="5"/>
        <v>0.24556388001147383</v>
      </c>
      <c r="R22" s="55">
        <f t="shared" si="6"/>
        <v>0.65626074535891965</v>
      </c>
      <c r="S22" s="54">
        <f t="shared" si="7"/>
        <v>73220.316317973426</v>
      </c>
      <c r="T22" s="56">
        <f t="shared" si="19"/>
        <v>51254.221422581395</v>
      </c>
      <c r="U22" s="66">
        <f t="shared" si="8"/>
        <v>4645.08</v>
      </c>
      <c r="V22" s="54">
        <f t="shared" si="9"/>
        <v>46609.141422581393</v>
      </c>
      <c r="W22" s="4" t="s">
        <v>67</v>
      </c>
      <c r="X22" s="67">
        <f t="shared" si="10"/>
        <v>7984.5057352001886</v>
      </c>
      <c r="Y22" s="67">
        <f t="shared" si="11"/>
        <v>-41584.50573520019</v>
      </c>
      <c r="Z22" s="67">
        <f t="shared" si="12"/>
        <v>-17584.50573520019</v>
      </c>
      <c r="AA22" s="68">
        <f t="shared" si="13"/>
        <v>-17584.50573520019</v>
      </c>
      <c r="AB22" s="68">
        <f t="shared" si="14"/>
        <v>-23584.50573520019</v>
      </c>
      <c r="AC22" s="69">
        <f t="shared" si="15"/>
        <v>5024.6356873812038</v>
      </c>
      <c r="AD22" s="69">
        <f t="shared" si="16"/>
        <v>29024.635687381204</v>
      </c>
      <c r="AE22" s="69">
        <f t="shared" si="17"/>
        <v>29024.635687381204</v>
      </c>
      <c r="AF22" s="69">
        <f t="shared" si="18"/>
        <v>23024.635687381204</v>
      </c>
    </row>
    <row r="23" spans="1:32">
      <c r="A23" s="50" t="s">
        <v>111</v>
      </c>
      <c r="B23" s="50" t="s">
        <v>108</v>
      </c>
      <c r="C23" s="50" t="s">
        <v>94</v>
      </c>
      <c r="D23" s="50">
        <v>2</v>
      </c>
      <c r="E23" s="50">
        <v>1100</v>
      </c>
      <c r="F23" s="51">
        <v>0.48220000000000002</v>
      </c>
      <c r="G23" s="4">
        <f t="shared" si="0"/>
        <v>6365.04</v>
      </c>
      <c r="H23" s="50">
        <v>426</v>
      </c>
      <c r="I23" s="51">
        <v>0.48220000000000002</v>
      </c>
      <c r="J23" s="50">
        <v>246</v>
      </c>
      <c r="K23" s="50">
        <v>616</v>
      </c>
      <c r="L23">
        <f t="shared" si="1"/>
        <v>370</v>
      </c>
      <c r="M23">
        <f t="shared" si="2"/>
        <v>180</v>
      </c>
      <c r="N23" s="52">
        <f t="shared" si="3"/>
        <v>0.48918918918918919</v>
      </c>
      <c r="O23" s="53">
        <f t="shared" si="4"/>
        <v>0.48220000000000002</v>
      </c>
      <c r="P23" s="54">
        <v>348.35719313957594</v>
      </c>
      <c r="Q23" s="55">
        <f t="shared" si="5"/>
        <v>0.32131285003151555</v>
      </c>
      <c r="R23" s="55">
        <f t="shared" si="6"/>
        <v>0.59631301048505869</v>
      </c>
      <c r="S23" s="54">
        <f t="shared" si="7"/>
        <v>75821.42319629273</v>
      </c>
      <c r="T23" s="56">
        <f t="shared" si="19"/>
        <v>53074.996237404906</v>
      </c>
      <c r="U23" s="66">
        <f t="shared" si="8"/>
        <v>6365.04</v>
      </c>
      <c r="V23" s="54">
        <f t="shared" si="9"/>
        <v>46709.956237404906</v>
      </c>
      <c r="W23" s="23">
        <v>3</v>
      </c>
      <c r="X23" s="67">
        <f t="shared" si="10"/>
        <v>7255.1416275682141</v>
      </c>
      <c r="Y23" s="67">
        <f t="shared" si="11"/>
        <v>-40855.141627568213</v>
      </c>
      <c r="Z23" s="67">
        <f t="shared" si="12"/>
        <v>-16855.141627568213</v>
      </c>
      <c r="AA23" s="68">
        <f t="shared" si="13"/>
        <v>-16855.141627568213</v>
      </c>
      <c r="AB23" s="68">
        <f t="shared" si="14"/>
        <v>-22855.141627568213</v>
      </c>
      <c r="AC23" s="69">
        <f t="shared" si="15"/>
        <v>5854.8146098366924</v>
      </c>
      <c r="AD23" s="69">
        <f t="shared" si="16"/>
        <v>29854.814609836692</v>
      </c>
      <c r="AE23" s="69">
        <f t="shared" si="17"/>
        <v>29854.814609836692</v>
      </c>
      <c r="AF23" s="69">
        <f t="shared" si="18"/>
        <v>23854.814609836692</v>
      </c>
    </row>
    <row r="24" spans="1:32">
      <c r="A24" s="50" t="s">
        <v>112</v>
      </c>
      <c r="B24" s="50" t="s">
        <v>113</v>
      </c>
      <c r="C24" s="50" t="s">
        <v>85</v>
      </c>
      <c r="D24" s="50">
        <v>1</v>
      </c>
      <c r="E24" s="50">
        <v>1000</v>
      </c>
      <c r="F24" s="51">
        <v>0.4904</v>
      </c>
      <c r="G24" s="4">
        <f t="shared" si="0"/>
        <v>5884.8</v>
      </c>
      <c r="H24" s="50">
        <v>332</v>
      </c>
      <c r="I24" s="51">
        <v>0.4904</v>
      </c>
      <c r="J24" s="50">
        <v>171</v>
      </c>
      <c r="K24" s="50">
        <v>457</v>
      </c>
      <c r="L24">
        <f t="shared" si="1"/>
        <v>286</v>
      </c>
      <c r="M24">
        <f t="shared" si="2"/>
        <v>161</v>
      </c>
      <c r="N24" s="52">
        <f t="shared" si="3"/>
        <v>0.55034965034965044</v>
      </c>
      <c r="O24" s="53">
        <f t="shared" si="4"/>
        <v>0.4904</v>
      </c>
      <c r="P24" s="54">
        <v>259.69501954986481</v>
      </c>
      <c r="Q24" s="55">
        <f t="shared" si="5"/>
        <v>0.34809795678283861</v>
      </c>
      <c r="R24" s="55">
        <f t="shared" si="6"/>
        <v>0.57511527700206155</v>
      </c>
      <c r="S24" s="54">
        <f t="shared" si="7"/>
        <v>54514.419183133847</v>
      </c>
      <c r="T24" s="56">
        <f t="shared" si="19"/>
        <v>38160.093428193693</v>
      </c>
      <c r="U24" s="66">
        <f t="shared" si="8"/>
        <v>5884.8</v>
      </c>
      <c r="V24" s="54">
        <f t="shared" si="9"/>
        <v>32275.293428193694</v>
      </c>
      <c r="W24" s="3"/>
      <c r="X24" s="67">
        <f t="shared" si="10"/>
        <v>6997.2358701917483</v>
      </c>
      <c r="Y24" s="67">
        <f t="shared" si="11"/>
        <v>-40597.235870191747</v>
      </c>
      <c r="Z24" s="67">
        <f t="shared" si="12"/>
        <v>-16597.235870191747</v>
      </c>
      <c r="AA24" s="68">
        <f t="shared" si="13"/>
        <v>-16597.235870191747</v>
      </c>
      <c r="AB24" s="68">
        <f t="shared" si="14"/>
        <v>-22597.235870191747</v>
      </c>
      <c r="AC24" s="69">
        <f t="shared" si="15"/>
        <v>-8321.9424419980533</v>
      </c>
      <c r="AD24" s="69">
        <f t="shared" si="16"/>
        <v>15678.057558001947</v>
      </c>
      <c r="AE24" s="69">
        <f t="shared" si="17"/>
        <v>15678.057558001947</v>
      </c>
      <c r="AF24" s="69">
        <f t="shared" si="18"/>
        <v>9678.0575580019467</v>
      </c>
    </row>
    <row r="25" spans="1:32">
      <c r="A25" s="50" t="s">
        <v>114</v>
      </c>
      <c r="B25" s="50" t="s">
        <v>113</v>
      </c>
      <c r="C25" s="50" t="s">
        <v>85</v>
      </c>
      <c r="D25" s="50">
        <v>2</v>
      </c>
      <c r="E25" s="50">
        <v>1400</v>
      </c>
      <c r="F25" s="51">
        <v>0.52329999999999999</v>
      </c>
      <c r="G25" s="4">
        <f t="shared" si="0"/>
        <v>8791.44</v>
      </c>
      <c r="H25" s="50">
        <v>430</v>
      </c>
      <c r="I25" s="51">
        <v>0.52329999999999999</v>
      </c>
      <c r="J25" s="50">
        <v>262</v>
      </c>
      <c r="K25" s="50">
        <v>567</v>
      </c>
      <c r="L25">
        <f t="shared" si="1"/>
        <v>305</v>
      </c>
      <c r="M25">
        <f t="shared" si="2"/>
        <v>168</v>
      </c>
      <c r="N25" s="52">
        <f t="shared" si="3"/>
        <v>0.54065573770491804</v>
      </c>
      <c r="O25" s="53">
        <f t="shared" si="4"/>
        <v>0.52329999999999999</v>
      </c>
      <c r="P25" s="54">
        <v>316.76741595352718</v>
      </c>
      <c r="Q25" s="55">
        <f t="shared" si="5"/>
        <v>0.24365223856662868</v>
      </c>
      <c r="R25" s="55">
        <f t="shared" si="6"/>
        <v>0.65777361839837012</v>
      </c>
      <c r="S25" s="54">
        <f t="shared" si="7"/>
        <v>76051.8560245954</v>
      </c>
      <c r="T25" s="56">
        <f t="shared" si="19"/>
        <v>53236.29921721678</v>
      </c>
      <c r="U25" s="66">
        <f t="shared" si="8"/>
        <v>8791.44</v>
      </c>
      <c r="V25" s="54">
        <f t="shared" si="9"/>
        <v>44444.859217216777</v>
      </c>
      <c r="W25" s="14" t="s">
        <v>68</v>
      </c>
      <c r="X25" s="67">
        <f t="shared" si="10"/>
        <v>8002.9123571801701</v>
      </c>
      <c r="Y25" s="67">
        <f t="shared" si="11"/>
        <v>-41602.912357180168</v>
      </c>
      <c r="Z25" s="67">
        <f t="shared" si="12"/>
        <v>-17602.912357180168</v>
      </c>
      <c r="AA25" s="68">
        <f t="shared" si="13"/>
        <v>-17602.912357180168</v>
      </c>
      <c r="AB25" s="68">
        <f t="shared" si="14"/>
        <v>-23602.912357180168</v>
      </c>
      <c r="AC25" s="69">
        <f t="shared" si="15"/>
        <v>2841.946860036609</v>
      </c>
      <c r="AD25" s="69">
        <f t="shared" si="16"/>
        <v>26841.946860036609</v>
      </c>
      <c r="AE25" s="69">
        <f t="shared" si="17"/>
        <v>26841.946860036609</v>
      </c>
      <c r="AF25" s="69">
        <f t="shared" si="18"/>
        <v>20841.946860036609</v>
      </c>
    </row>
    <row r="26" spans="1:32">
      <c r="A26" s="50" t="s">
        <v>115</v>
      </c>
      <c r="B26" s="50" t="s">
        <v>113</v>
      </c>
      <c r="C26" s="50" t="s">
        <v>94</v>
      </c>
      <c r="D26" s="50">
        <v>1</v>
      </c>
      <c r="E26" s="50">
        <v>1500</v>
      </c>
      <c r="F26" s="51">
        <v>0.44929999999999998</v>
      </c>
      <c r="G26" s="4">
        <f t="shared" si="0"/>
        <v>8087.4</v>
      </c>
      <c r="H26" s="50">
        <v>662</v>
      </c>
      <c r="I26" s="51">
        <v>0.44929999999999998</v>
      </c>
      <c r="J26" s="50">
        <v>229</v>
      </c>
      <c r="K26" s="50">
        <v>859</v>
      </c>
      <c r="L26">
        <f t="shared" si="1"/>
        <v>630</v>
      </c>
      <c r="M26">
        <f t="shared" si="2"/>
        <v>433</v>
      </c>
      <c r="N26" s="52">
        <f t="shared" si="3"/>
        <v>0.64984126984126989</v>
      </c>
      <c r="O26" s="53">
        <f t="shared" si="4"/>
        <v>0.44929999999999998</v>
      </c>
      <c r="P26" s="54">
        <v>498.21630180564631</v>
      </c>
      <c r="Q26" s="55">
        <f t="shared" si="5"/>
        <v>0.4418619705468525</v>
      </c>
      <c r="R26" s="55">
        <f t="shared" si="6"/>
        <v>0.50091043650922096</v>
      </c>
      <c r="S26" s="54">
        <f t="shared" si="7"/>
        <v>91090.037002918762</v>
      </c>
      <c r="T26" s="56">
        <f t="shared" si="19"/>
        <v>63763.025902043126</v>
      </c>
      <c r="U26" s="66">
        <f t="shared" si="8"/>
        <v>8087.4</v>
      </c>
      <c r="V26" s="54">
        <f t="shared" si="9"/>
        <v>55675.625902043124</v>
      </c>
      <c r="W26" s="42">
        <v>0.3</v>
      </c>
      <c r="X26" s="67">
        <f t="shared" si="10"/>
        <v>6094.4103108621885</v>
      </c>
      <c r="Y26" s="67">
        <f t="shared" si="11"/>
        <v>-39694.410310862186</v>
      </c>
      <c r="Z26" s="67">
        <f t="shared" si="12"/>
        <v>-15694.410310862189</v>
      </c>
      <c r="AA26" s="68">
        <f t="shared" si="13"/>
        <v>-15694.410310862189</v>
      </c>
      <c r="AB26" s="68">
        <f t="shared" si="14"/>
        <v>-21694.410310862189</v>
      </c>
      <c r="AC26" s="69">
        <f t="shared" si="15"/>
        <v>15981.215591180939</v>
      </c>
      <c r="AD26" s="69">
        <f t="shared" si="16"/>
        <v>39981.215591180939</v>
      </c>
      <c r="AE26" s="69">
        <f t="shared" si="17"/>
        <v>39981.215591180939</v>
      </c>
      <c r="AF26" s="69">
        <f t="shared" si="18"/>
        <v>33981.215591180939</v>
      </c>
    </row>
    <row r="27" spans="1:32">
      <c r="A27" s="50" t="s">
        <v>116</v>
      </c>
      <c r="B27" s="50" t="s">
        <v>87</v>
      </c>
      <c r="C27" s="50" t="s">
        <v>94</v>
      </c>
      <c r="D27" s="50">
        <v>2</v>
      </c>
      <c r="E27" s="50">
        <v>1300</v>
      </c>
      <c r="F27" s="51">
        <v>0.6603</v>
      </c>
      <c r="G27" s="4">
        <f t="shared" si="0"/>
        <v>10300.68</v>
      </c>
      <c r="H27" s="50">
        <v>186</v>
      </c>
      <c r="I27" s="51">
        <v>0.6603</v>
      </c>
      <c r="J27" s="50">
        <v>136</v>
      </c>
      <c r="K27" s="50">
        <v>336</v>
      </c>
      <c r="L27">
        <f t="shared" si="1"/>
        <v>200</v>
      </c>
      <c r="M27">
        <f t="shared" si="2"/>
        <v>50</v>
      </c>
      <c r="N27" s="52">
        <f t="shared" si="3"/>
        <v>0.30000000000000004</v>
      </c>
      <c r="O27" s="53">
        <f t="shared" si="4"/>
        <v>0.6603</v>
      </c>
      <c r="P27" s="54">
        <v>189.81469798591999</v>
      </c>
      <c r="Q27" s="55">
        <f>0.1+0.8*(P27-J27)/(K27-J27)</f>
        <v>0.31525879194368001</v>
      </c>
      <c r="R27" s="55">
        <f>($Q$2*Q27)+$R$2</f>
        <v>0.6011041920557717</v>
      </c>
      <c r="S27" s="54">
        <f t="shared" si="7"/>
        <v>41645.919895694919</v>
      </c>
      <c r="T27" s="56">
        <f>S27*(1-$T$1)</f>
        <v>29152.143926986442</v>
      </c>
      <c r="U27" s="66">
        <f t="shared" si="8"/>
        <v>10300.68</v>
      </c>
      <c r="V27" s="54">
        <f t="shared" si="9"/>
        <v>18851.463926986442</v>
      </c>
      <c r="W27" s="3"/>
      <c r="X27" s="67">
        <f t="shared" si="10"/>
        <v>7313.4343366785561</v>
      </c>
      <c r="Y27" s="67">
        <f t="shared" si="11"/>
        <v>-40913.434336678554</v>
      </c>
      <c r="Z27" s="67">
        <f t="shared" si="12"/>
        <v>-16913.434336678554</v>
      </c>
      <c r="AA27" s="68">
        <f t="shared" si="13"/>
        <v>-16913.434336678554</v>
      </c>
      <c r="AB27" s="68">
        <f t="shared" si="14"/>
        <v>-22913.434336678554</v>
      </c>
      <c r="AC27" s="69">
        <f t="shared" si="15"/>
        <v>-22061.970409692112</v>
      </c>
      <c r="AD27" s="69">
        <f t="shared" si="16"/>
        <v>1938.0295903078877</v>
      </c>
      <c r="AE27" s="69">
        <f t="shared" si="17"/>
        <v>1938.0295903078877</v>
      </c>
      <c r="AF27" s="69">
        <f t="shared" si="18"/>
        <v>-4061.9704096921123</v>
      </c>
    </row>
    <row r="28" spans="1:32">
      <c r="A28" s="50" t="s">
        <v>117</v>
      </c>
      <c r="B28" s="50" t="s">
        <v>113</v>
      </c>
      <c r="C28" s="50" t="s">
        <v>94</v>
      </c>
      <c r="D28" s="50">
        <v>2</v>
      </c>
      <c r="E28" s="50">
        <v>1600</v>
      </c>
      <c r="F28" s="51">
        <v>0.48770000000000002</v>
      </c>
      <c r="G28" s="4">
        <f t="shared" si="0"/>
        <v>9363.84</v>
      </c>
      <c r="H28" s="50">
        <v>696</v>
      </c>
      <c r="I28" s="51">
        <v>0.48770000000000002</v>
      </c>
      <c r="J28" s="50">
        <v>449</v>
      </c>
      <c r="K28" s="50">
        <v>899</v>
      </c>
      <c r="L28">
        <f t="shared" si="1"/>
        <v>450</v>
      </c>
      <c r="M28">
        <f t="shared" si="2"/>
        <v>247</v>
      </c>
      <c r="N28" s="52">
        <f t="shared" si="3"/>
        <v>0.53911111111111121</v>
      </c>
      <c r="O28" s="53">
        <f t="shared" si="4"/>
        <v>0.48770000000000002</v>
      </c>
      <c r="P28" s="54">
        <v>498.58307259331866</v>
      </c>
      <c r="Q28" s="55">
        <f t="shared" si="5"/>
        <v>0.18814768461034431</v>
      </c>
      <c r="R28" s="55">
        <f t="shared" si="6"/>
        <v>0.70169992239937351</v>
      </c>
      <c r="S28" s="54">
        <f t="shared" si="7"/>
        <v>127697.33172215612</v>
      </c>
      <c r="T28" s="56">
        <f>S28*(1-$T$1)</f>
        <v>89388.132205509275</v>
      </c>
      <c r="U28" s="66">
        <f t="shared" si="8"/>
        <v>9363.84</v>
      </c>
      <c r="V28" s="54">
        <f t="shared" si="9"/>
        <v>80024.292205509279</v>
      </c>
      <c r="W28" s="4" t="s">
        <v>69</v>
      </c>
      <c r="X28" s="67">
        <f t="shared" si="10"/>
        <v>8537.3490558590456</v>
      </c>
      <c r="Y28" s="67">
        <f t="shared" si="11"/>
        <v>-42137.349055859042</v>
      </c>
      <c r="Z28" s="67">
        <f t="shared" si="12"/>
        <v>-18137.349055859046</v>
      </c>
      <c r="AA28" s="68">
        <f t="shared" si="13"/>
        <v>-18137.349055859046</v>
      </c>
      <c r="AB28" s="68">
        <f t="shared" si="14"/>
        <v>-24137.349055859046</v>
      </c>
      <c r="AC28" s="69">
        <f t="shared" si="15"/>
        <v>37886.943149650237</v>
      </c>
      <c r="AD28" s="69">
        <f t="shared" si="16"/>
        <v>61886.943149650237</v>
      </c>
      <c r="AE28" s="69">
        <f t="shared" si="17"/>
        <v>61886.943149650237</v>
      </c>
      <c r="AF28" s="69">
        <f t="shared" si="18"/>
        <v>55886.943149650237</v>
      </c>
    </row>
    <row r="29" spans="1:32">
      <c r="A29" s="50" t="s">
        <v>118</v>
      </c>
      <c r="B29" s="50" t="s">
        <v>119</v>
      </c>
      <c r="C29" s="50" t="s">
        <v>85</v>
      </c>
      <c r="D29" s="50">
        <v>1</v>
      </c>
      <c r="E29" s="50">
        <v>600</v>
      </c>
      <c r="F29" s="51">
        <v>0.43840000000000001</v>
      </c>
      <c r="G29" s="4">
        <f t="shared" si="0"/>
        <v>3156.48</v>
      </c>
      <c r="H29" s="50">
        <v>182</v>
      </c>
      <c r="I29" s="51">
        <v>0.43840000000000001</v>
      </c>
      <c r="J29" s="50">
        <v>132</v>
      </c>
      <c r="K29" s="50">
        <v>226</v>
      </c>
      <c r="L29">
        <f t="shared" si="1"/>
        <v>94</v>
      </c>
      <c r="M29">
        <f t="shared" si="2"/>
        <v>50</v>
      </c>
      <c r="N29" s="52">
        <f t="shared" si="3"/>
        <v>0.52553191489361706</v>
      </c>
      <c r="O29" s="53">
        <f t="shared" si="4"/>
        <v>0.43840000000000001</v>
      </c>
      <c r="P29" s="54">
        <v>132</v>
      </c>
      <c r="Q29" s="55">
        <f t="shared" si="5"/>
        <v>0.1</v>
      </c>
      <c r="R29" s="55">
        <f t="shared" si="6"/>
        <v>0.77146000000000003</v>
      </c>
      <c r="S29" s="54">
        <f t="shared" si="7"/>
        <v>37168.942800000004</v>
      </c>
      <c r="T29" s="56">
        <f t="shared" si="19"/>
        <v>26018.259960000003</v>
      </c>
      <c r="U29" s="66">
        <f t="shared" si="8"/>
        <v>3156.48</v>
      </c>
      <c r="V29" s="54">
        <f t="shared" si="9"/>
        <v>22861.779960000003</v>
      </c>
      <c r="W29" s="39">
        <v>6000</v>
      </c>
      <c r="X29" s="67">
        <f t="shared" si="10"/>
        <v>9386.0966666666664</v>
      </c>
      <c r="Y29" s="67">
        <f t="shared" si="11"/>
        <v>-42986.096666666665</v>
      </c>
      <c r="Z29" s="67">
        <f t="shared" si="12"/>
        <v>-18986.096666666665</v>
      </c>
      <c r="AA29" s="68">
        <f t="shared" si="13"/>
        <v>-18986.096666666665</v>
      </c>
      <c r="AB29" s="68">
        <f t="shared" si="14"/>
        <v>-24986.096666666665</v>
      </c>
      <c r="AC29" s="69">
        <f t="shared" si="15"/>
        <v>-20124.316706666661</v>
      </c>
      <c r="AD29" s="69">
        <f t="shared" si="16"/>
        <v>3875.683293333339</v>
      </c>
      <c r="AE29" s="69">
        <f t="shared" si="17"/>
        <v>3875.683293333339</v>
      </c>
      <c r="AF29" s="69">
        <f t="shared" si="18"/>
        <v>-2124.316706666661</v>
      </c>
    </row>
    <row r="30" spans="1:32">
      <c r="A30" s="50" t="s">
        <v>120</v>
      </c>
      <c r="B30" s="50" t="s">
        <v>119</v>
      </c>
      <c r="C30" s="50" t="s">
        <v>85</v>
      </c>
      <c r="D30" s="50">
        <v>2</v>
      </c>
      <c r="E30" s="50">
        <v>800</v>
      </c>
      <c r="F30" s="51">
        <v>0.53149999999999997</v>
      </c>
      <c r="G30" s="4">
        <f t="shared" si="0"/>
        <v>5102.3999999999996</v>
      </c>
      <c r="H30" s="50">
        <v>241</v>
      </c>
      <c r="I30" s="51">
        <v>0.53149999999999997</v>
      </c>
      <c r="J30" s="50">
        <v>157</v>
      </c>
      <c r="K30" s="50">
        <v>340</v>
      </c>
      <c r="L30">
        <f t="shared" si="1"/>
        <v>183</v>
      </c>
      <c r="M30">
        <f t="shared" si="2"/>
        <v>84</v>
      </c>
      <c r="N30" s="52">
        <f t="shared" si="3"/>
        <v>0.46721311475409844</v>
      </c>
      <c r="O30" s="53">
        <f t="shared" si="4"/>
        <v>0.53149999999999997</v>
      </c>
      <c r="P30" s="54">
        <v>189.96044957211629</v>
      </c>
      <c r="Q30" s="55">
        <f t="shared" si="5"/>
        <v>0.24408939703657395</v>
      </c>
      <c r="R30" s="55">
        <f t="shared" si="6"/>
        <v>0.65742765118525537</v>
      </c>
      <c r="S30" s="54">
        <f t="shared" si="7"/>
        <v>45583.117045806415</v>
      </c>
      <c r="T30" s="56">
        <f t="shared" si="19"/>
        <v>31908.18193206449</v>
      </c>
      <c r="U30" s="66">
        <f t="shared" si="8"/>
        <v>5102.3999999999996</v>
      </c>
      <c r="V30" s="54">
        <f t="shared" si="9"/>
        <v>26805.781932064492</v>
      </c>
      <c r="W30" s="3"/>
      <c r="X30" s="67">
        <f t="shared" si="10"/>
        <v>7998.7030894206073</v>
      </c>
      <c r="Y30" s="67">
        <f t="shared" si="11"/>
        <v>-41598.703089420611</v>
      </c>
      <c r="Z30" s="67">
        <f t="shared" si="12"/>
        <v>-17598.703089420607</v>
      </c>
      <c r="AA30" s="68">
        <f t="shared" si="13"/>
        <v>-17598.703089420607</v>
      </c>
      <c r="AB30" s="68">
        <f t="shared" si="14"/>
        <v>-23598.703089420607</v>
      </c>
      <c r="AC30" s="69">
        <f t="shared" si="15"/>
        <v>-14792.921157356119</v>
      </c>
      <c r="AD30" s="69">
        <f t="shared" si="16"/>
        <v>9207.0788426438849</v>
      </c>
      <c r="AE30" s="69">
        <f t="shared" si="17"/>
        <v>9207.0788426438849</v>
      </c>
      <c r="AF30" s="69">
        <f t="shared" si="18"/>
        <v>3207.0788426438849</v>
      </c>
    </row>
    <row r="31" spans="1:32">
      <c r="A31" s="50" t="s">
        <v>121</v>
      </c>
      <c r="B31" s="50" t="s">
        <v>119</v>
      </c>
      <c r="C31" s="50" t="s">
        <v>94</v>
      </c>
      <c r="D31" s="50">
        <v>1</v>
      </c>
      <c r="E31" s="50">
        <v>700</v>
      </c>
      <c r="F31" s="51">
        <v>0.13969999999999999</v>
      </c>
      <c r="G31" s="4">
        <f t="shared" si="0"/>
        <v>1173.48</v>
      </c>
      <c r="H31" s="50">
        <v>363</v>
      </c>
      <c r="I31" s="51">
        <v>0.13969999999999999</v>
      </c>
      <c r="J31" s="50">
        <v>215</v>
      </c>
      <c r="K31" s="50">
        <v>377</v>
      </c>
      <c r="L31">
        <f t="shared" si="1"/>
        <v>162</v>
      </c>
      <c r="M31">
        <f t="shared" si="2"/>
        <v>148</v>
      </c>
      <c r="N31" s="52">
        <f t="shared" si="3"/>
        <v>0.83086419753086416</v>
      </c>
      <c r="O31" s="53">
        <f t="shared" si="4"/>
        <v>0.13969999999999999</v>
      </c>
      <c r="P31" s="54">
        <v>215</v>
      </c>
      <c r="Q31" s="55">
        <f t="shared" si="5"/>
        <v>0.1</v>
      </c>
      <c r="R31" s="55">
        <f t="shared" si="6"/>
        <v>0.77146000000000003</v>
      </c>
      <c r="S31" s="54">
        <f t="shared" si="7"/>
        <v>60540.323500000006</v>
      </c>
      <c r="T31" s="56">
        <f t="shared" si="19"/>
        <v>42378.226450000002</v>
      </c>
      <c r="U31" s="66">
        <f t="shared" si="8"/>
        <v>1173.48</v>
      </c>
      <c r="V31" s="54">
        <f t="shared" si="9"/>
        <v>41204.746449999999</v>
      </c>
      <c r="W31" s="43" t="s">
        <v>70</v>
      </c>
      <c r="X31" s="67">
        <f t="shared" si="10"/>
        <v>9386.0966666666664</v>
      </c>
      <c r="Y31" s="67">
        <f t="shared" si="11"/>
        <v>-42986.096666666665</v>
      </c>
      <c r="Z31" s="67">
        <f t="shared" si="12"/>
        <v>-18986.096666666665</v>
      </c>
      <c r="AA31" s="68">
        <f t="shared" si="13"/>
        <v>-18986.096666666665</v>
      </c>
      <c r="AB31" s="68">
        <f t="shared" si="14"/>
        <v>-24986.096666666665</v>
      </c>
      <c r="AC31" s="69">
        <f t="shared" si="15"/>
        <v>-1781.3502166666658</v>
      </c>
      <c r="AD31" s="69">
        <f t="shared" si="16"/>
        <v>22218.649783333334</v>
      </c>
      <c r="AE31" s="69">
        <f t="shared" si="17"/>
        <v>22218.649783333334</v>
      </c>
      <c r="AF31" s="69">
        <f t="shared" si="18"/>
        <v>16218.649783333334</v>
      </c>
    </row>
    <row r="32" spans="1:32">
      <c r="A32" s="50" t="s">
        <v>122</v>
      </c>
      <c r="B32" s="50" t="s">
        <v>119</v>
      </c>
      <c r="C32" s="50" t="s">
        <v>94</v>
      </c>
      <c r="D32" s="50">
        <v>2</v>
      </c>
      <c r="E32" s="50">
        <v>1000</v>
      </c>
      <c r="F32" s="51">
        <v>0.46850000000000003</v>
      </c>
      <c r="G32" s="4">
        <f t="shared" si="0"/>
        <v>5622</v>
      </c>
      <c r="H32" s="50">
        <v>301</v>
      </c>
      <c r="I32" s="51">
        <v>0.46850000000000003</v>
      </c>
      <c r="J32" s="50">
        <v>202</v>
      </c>
      <c r="K32" s="50">
        <v>374</v>
      </c>
      <c r="L32">
        <f t="shared" si="1"/>
        <v>172</v>
      </c>
      <c r="M32">
        <f t="shared" si="2"/>
        <v>99</v>
      </c>
      <c r="N32" s="52">
        <f t="shared" si="3"/>
        <v>0.56046511627906981</v>
      </c>
      <c r="O32" s="53">
        <f t="shared" si="4"/>
        <v>0.46850000000000003</v>
      </c>
      <c r="P32" s="54">
        <v>205.76064162789061</v>
      </c>
      <c r="Q32" s="55">
        <f t="shared" si="5"/>
        <v>0.11749135640879352</v>
      </c>
      <c r="R32" s="55">
        <f t="shared" si="6"/>
        <v>0.75761734053808083</v>
      </c>
      <c r="S32" s="54">
        <f t="shared" si="7"/>
        <v>56899.057985599044</v>
      </c>
      <c r="T32" s="56">
        <f t="shared" si="19"/>
        <v>39829.340589919331</v>
      </c>
      <c r="U32" s="66">
        <f t="shared" si="8"/>
        <v>5622</v>
      </c>
      <c r="V32" s="54">
        <f t="shared" si="9"/>
        <v>34207.340589919331</v>
      </c>
      <c r="W32" s="44" t="s">
        <v>71</v>
      </c>
      <c r="X32" s="67">
        <f t="shared" si="10"/>
        <v>9217.6776432133174</v>
      </c>
      <c r="Y32" s="67">
        <f t="shared" si="11"/>
        <v>-42817.677643213319</v>
      </c>
      <c r="Z32" s="67">
        <f t="shared" si="12"/>
        <v>-18817.677643213319</v>
      </c>
      <c r="AA32" s="68">
        <f t="shared" si="13"/>
        <v>-18817.677643213319</v>
      </c>
      <c r="AB32" s="68">
        <f t="shared" si="14"/>
        <v>-24817.677643213319</v>
      </c>
      <c r="AC32" s="69">
        <f t="shared" si="15"/>
        <v>-8610.337053293988</v>
      </c>
      <c r="AD32" s="69">
        <f t="shared" si="16"/>
        <v>15389.662946706012</v>
      </c>
      <c r="AE32" s="69">
        <f t="shared" si="17"/>
        <v>15389.662946706012</v>
      </c>
      <c r="AF32" s="69">
        <f t="shared" si="18"/>
        <v>9389.662946706012</v>
      </c>
    </row>
    <row r="33" spans="1:32">
      <c r="A33" s="50" t="s">
        <v>123</v>
      </c>
      <c r="B33" s="50" t="s">
        <v>124</v>
      </c>
      <c r="C33" s="50" t="s">
        <v>85</v>
      </c>
      <c r="D33" s="50">
        <v>1</v>
      </c>
      <c r="E33" s="50">
        <v>700</v>
      </c>
      <c r="F33" s="51">
        <v>0.50139999999999996</v>
      </c>
      <c r="G33" s="4">
        <f t="shared" si="0"/>
        <v>4211.7599999999993</v>
      </c>
      <c r="H33" s="50">
        <v>212</v>
      </c>
      <c r="I33" s="51">
        <v>0.50139999999999996</v>
      </c>
      <c r="J33" s="50">
        <v>94</v>
      </c>
      <c r="K33" s="50">
        <v>356</v>
      </c>
      <c r="L33">
        <f t="shared" si="1"/>
        <v>262</v>
      </c>
      <c r="M33">
        <f t="shared" si="2"/>
        <v>118</v>
      </c>
      <c r="N33" s="52">
        <f t="shared" si="3"/>
        <v>0.46030534351145036</v>
      </c>
      <c r="O33" s="53">
        <f t="shared" si="4"/>
        <v>0.50139999999999996</v>
      </c>
      <c r="P33" s="54">
        <v>206.5772556715545</v>
      </c>
      <c r="Q33" s="55">
        <f t="shared" si="5"/>
        <v>0.44374734556199846</v>
      </c>
      <c r="R33" s="55">
        <f t="shared" si="6"/>
        <v>0.49941835072223445</v>
      </c>
      <c r="S33" s="54">
        <f t="shared" si="7"/>
        <v>37656.492398337781</v>
      </c>
      <c r="T33" s="56">
        <f t="shared" si="19"/>
        <v>26359.544678836446</v>
      </c>
      <c r="U33" s="66">
        <f t="shared" si="8"/>
        <v>4211.7599999999993</v>
      </c>
      <c r="V33" s="54">
        <f t="shared" si="9"/>
        <v>22147.784678836448</v>
      </c>
      <c r="W33" s="44" t="s">
        <v>72</v>
      </c>
      <c r="X33" s="67">
        <f t="shared" si="10"/>
        <v>6076.256600453853</v>
      </c>
      <c r="Y33" s="67">
        <f t="shared" si="11"/>
        <v>-39676.256600453853</v>
      </c>
      <c r="Z33" s="67">
        <f t="shared" si="12"/>
        <v>-15676.256600453853</v>
      </c>
      <c r="AA33" s="68">
        <f t="shared" si="13"/>
        <v>-15676.256600453853</v>
      </c>
      <c r="AB33" s="68">
        <f t="shared" si="14"/>
        <v>-21676.256600453853</v>
      </c>
      <c r="AC33" s="69">
        <f t="shared" si="15"/>
        <v>-17528.471921617405</v>
      </c>
      <c r="AD33" s="69">
        <f t="shared" si="16"/>
        <v>6471.5280783825947</v>
      </c>
      <c r="AE33" s="69">
        <f t="shared" si="17"/>
        <v>6471.5280783825947</v>
      </c>
      <c r="AF33" s="69">
        <f t="shared" si="18"/>
        <v>471.52807838259469</v>
      </c>
    </row>
    <row r="34" spans="1:32">
      <c r="A34" s="50" t="s">
        <v>125</v>
      </c>
      <c r="B34" s="50" t="s">
        <v>124</v>
      </c>
      <c r="C34" s="50" t="s">
        <v>85</v>
      </c>
      <c r="D34" s="50">
        <v>2</v>
      </c>
      <c r="E34" s="50">
        <v>900</v>
      </c>
      <c r="F34" s="51">
        <v>0.30680000000000002</v>
      </c>
      <c r="G34" s="4">
        <f t="shared" si="0"/>
        <v>3313.44</v>
      </c>
      <c r="H34" s="50">
        <v>340</v>
      </c>
      <c r="I34" s="51">
        <v>0.30680000000000002</v>
      </c>
      <c r="J34" s="50">
        <v>69</v>
      </c>
      <c r="K34" s="50">
        <v>485</v>
      </c>
      <c r="L34">
        <f t="shared" si="1"/>
        <v>416</v>
      </c>
      <c r="M34">
        <f t="shared" si="2"/>
        <v>271</v>
      </c>
      <c r="N34" s="52">
        <f t="shared" si="3"/>
        <v>0.62115384615384617</v>
      </c>
      <c r="O34" s="53">
        <f t="shared" si="4"/>
        <v>0.30680000000000002</v>
      </c>
      <c r="P34" s="54">
        <v>287.87457389071244</v>
      </c>
      <c r="Q34" s="55">
        <f t="shared" si="5"/>
        <v>0.52091264209752397</v>
      </c>
      <c r="R34" s="55">
        <f t="shared" si="6"/>
        <v>0.43834973504401958</v>
      </c>
      <c r="S34" s="54">
        <f t="shared" si="7"/>
        <v>46059.256264679898</v>
      </c>
      <c r="T34" s="56">
        <f t="shared" si="19"/>
        <v>32241.479385275925</v>
      </c>
      <c r="U34" s="66">
        <f t="shared" si="8"/>
        <v>3313.44</v>
      </c>
      <c r="V34" s="54">
        <f t="shared" si="9"/>
        <v>28928.039385275926</v>
      </c>
      <c r="W34" s="44" t="s">
        <v>73</v>
      </c>
      <c r="X34" s="67">
        <f t="shared" si="10"/>
        <v>5333.2551097022379</v>
      </c>
      <c r="Y34" s="67">
        <f t="shared" si="11"/>
        <v>-38933.255109702237</v>
      </c>
      <c r="Z34" s="67">
        <f t="shared" si="12"/>
        <v>-14933.255109702237</v>
      </c>
      <c r="AA34" s="68">
        <f t="shared" si="13"/>
        <v>-14933.255109702237</v>
      </c>
      <c r="AB34" s="68">
        <f t="shared" si="14"/>
        <v>-20933.255109702237</v>
      </c>
      <c r="AC34" s="69">
        <f t="shared" si="15"/>
        <v>-10005.215724426311</v>
      </c>
      <c r="AD34" s="69">
        <f t="shared" si="16"/>
        <v>13994.784275573689</v>
      </c>
      <c r="AE34" s="69">
        <f t="shared" si="17"/>
        <v>13994.784275573689</v>
      </c>
      <c r="AF34" s="69">
        <f t="shared" si="18"/>
        <v>7994.7842755736892</v>
      </c>
    </row>
    <row r="35" spans="1:32">
      <c r="A35" s="50" t="s">
        <v>126</v>
      </c>
      <c r="B35" s="50" t="s">
        <v>124</v>
      </c>
      <c r="C35" s="50" t="s">
        <v>94</v>
      </c>
      <c r="D35" s="50">
        <v>1</v>
      </c>
      <c r="E35" s="50">
        <v>1000</v>
      </c>
      <c r="F35" s="51">
        <v>0.52049999999999996</v>
      </c>
      <c r="G35" s="4">
        <f t="shared" si="0"/>
        <v>6246</v>
      </c>
      <c r="H35" s="50">
        <v>266</v>
      </c>
      <c r="I35" s="51">
        <v>0.52049999999999996</v>
      </c>
      <c r="J35" s="50">
        <v>84</v>
      </c>
      <c r="K35" s="50">
        <v>376</v>
      </c>
      <c r="L35">
        <f t="shared" si="1"/>
        <v>292</v>
      </c>
      <c r="M35">
        <f t="shared" si="2"/>
        <v>182</v>
      </c>
      <c r="N35" s="52">
        <f t="shared" si="3"/>
        <v>0.59863013698630141</v>
      </c>
      <c r="O35" s="53">
        <f t="shared" si="4"/>
        <v>0.52049999999999996</v>
      </c>
      <c r="P35" s="54">
        <v>219.84946051944246</v>
      </c>
      <c r="Q35" s="55">
        <f t="shared" si="5"/>
        <v>0.47219030279299301</v>
      </c>
      <c r="R35" s="55">
        <f t="shared" si="6"/>
        <v>0.47690859436962535</v>
      </c>
      <c r="S35" s="54">
        <f t="shared" si="7"/>
        <v>38269.555474075423</v>
      </c>
      <c r="T35" s="56">
        <f t="shared" si="19"/>
        <v>26788.688831852796</v>
      </c>
      <c r="U35" s="66">
        <f t="shared" si="8"/>
        <v>6246</v>
      </c>
      <c r="V35" s="54">
        <f t="shared" si="9"/>
        <v>20542.688831852796</v>
      </c>
      <c r="W35" s="45" t="s">
        <v>74</v>
      </c>
      <c r="X35" s="67">
        <f t="shared" si="10"/>
        <v>5802.3878981637754</v>
      </c>
      <c r="Y35" s="67">
        <f t="shared" si="11"/>
        <v>-39402.387898163775</v>
      </c>
      <c r="Z35" s="67">
        <f t="shared" si="12"/>
        <v>-15402.387898163775</v>
      </c>
      <c r="AA35" s="68">
        <f t="shared" si="13"/>
        <v>-15402.387898163775</v>
      </c>
      <c r="AB35" s="68">
        <f t="shared" si="14"/>
        <v>-21402.387898163775</v>
      </c>
      <c r="AC35" s="69">
        <f t="shared" si="15"/>
        <v>-18859.699066310979</v>
      </c>
      <c r="AD35" s="69">
        <f t="shared" si="16"/>
        <v>5140.3009336890209</v>
      </c>
      <c r="AE35" s="69">
        <f t="shared" si="17"/>
        <v>5140.3009336890209</v>
      </c>
      <c r="AF35" s="69">
        <f t="shared" si="18"/>
        <v>-859.69906631097911</v>
      </c>
    </row>
    <row r="36" spans="1:32">
      <c r="A36" s="50" t="s">
        <v>127</v>
      </c>
      <c r="B36" s="50" t="s">
        <v>124</v>
      </c>
      <c r="C36" s="50" t="s">
        <v>94</v>
      </c>
      <c r="D36" s="50">
        <v>2</v>
      </c>
      <c r="E36" s="50">
        <v>1200</v>
      </c>
      <c r="F36" s="51">
        <v>0.1288</v>
      </c>
      <c r="G36" s="4">
        <f t="shared" si="0"/>
        <v>1854.72</v>
      </c>
      <c r="H36" s="50">
        <v>442</v>
      </c>
      <c r="I36" s="51">
        <v>0.1288</v>
      </c>
      <c r="J36" s="50">
        <v>109</v>
      </c>
      <c r="K36" s="50">
        <v>490</v>
      </c>
      <c r="L36">
        <f t="shared" si="1"/>
        <v>381</v>
      </c>
      <c r="M36">
        <f t="shared" si="2"/>
        <v>333</v>
      </c>
      <c r="N36" s="52">
        <f t="shared" si="3"/>
        <v>0.79921259842519687</v>
      </c>
      <c r="O36" s="53">
        <f t="shared" si="4"/>
        <v>0.1288</v>
      </c>
      <c r="P36" s="54">
        <v>286.55700156817659</v>
      </c>
      <c r="Q36" s="55">
        <f t="shared" si="5"/>
        <v>0.47282310040562014</v>
      </c>
      <c r="R36" s="55">
        <f t="shared" si="6"/>
        <v>0.47640779833899222</v>
      </c>
      <c r="S36" s="54">
        <f t="shared" si="7"/>
        <v>49829.066428737126</v>
      </c>
      <c r="T36" s="56">
        <f t="shared" si="19"/>
        <v>34880.346500115986</v>
      </c>
      <c r="U36" s="66">
        <f t="shared" si="8"/>
        <v>1854.72</v>
      </c>
      <c r="V36" s="54">
        <f t="shared" si="9"/>
        <v>33025.626500115985</v>
      </c>
      <c r="X36" s="67">
        <f t="shared" si="10"/>
        <v>5796.2948797910722</v>
      </c>
      <c r="Y36" s="67">
        <f t="shared" si="11"/>
        <v>-39396.294879791072</v>
      </c>
      <c r="Z36" s="67">
        <f t="shared" si="12"/>
        <v>-15396.294879791072</v>
      </c>
      <c r="AA36" s="68">
        <f t="shared" si="13"/>
        <v>-15396.294879791072</v>
      </c>
      <c r="AB36" s="68">
        <f t="shared" si="14"/>
        <v>-21396.294879791072</v>
      </c>
      <c r="AC36" s="69">
        <f t="shared" si="15"/>
        <v>-6370.6683796750876</v>
      </c>
      <c r="AD36" s="69">
        <f t="shared" si="16"/>
        <v>17629.331620324912</v>
      </c>
      <c r="AE36" s="69">
        <f t="shared" si="17"/>
        <v>17629.331620324912</v>
      </c>
      <c r="AF36" s="69">
        <f t="shared" si="18"/>
        <v>11629.331620324912</v>
      </c>
    </row>
    <row r="37" spans="1:32">
      <c r="A37" s="50" t="s">
        <v>128</v>
      </c>
      <c r="B37" s="50" t="s">
        <v>129</v>
      </c>
      <c r="C37" s="50" t="s">
        <v>85</v>
      </c>
      <c r="D37" s="50">
        <v>1</v>
      </c>
      <c r="E37" s="50">
        <v>1200</v>
      </c>
      <c r="F37" s="51">
        <v>0.24110000000000001</v>
      </c>
      <c r="G37" s="4">
        <f t="shared" si="0"/>
        <v>3471.84</v>
      </c>
      <c r="H37" s="50">
        <v>354</v>
      </c>
      <c r="I37" s="51">
        <v>0.24110000000000001</v>
      </c>
      <c r="J37" s="50">
        <v>145</v>
      </c>
      <c r="K37" s="50">
        <v>434</v>
      </c>
      <c r="L37">
        <f t="shared" si="1"/>
        <v>289</v>
      </c>
      <c r="M37">
        <f t="shared" si="2"/>
        <v>209</v>
      </c>
      <c r="N37" s="52">
        <f t="shared" si="3"/>
        <v>0.67854671280276824</v>
      </c>
      <c r="O37" s="53">
        <f t="shared" si="4"/>
        <v>0.24110000000000001</v>
      </c>
      <c r="P37" s="54">
        <v>248.52224071838944</v>
      </c>
      <c r="Q37" s="55">
        <f t="shared" si="5"/>
        <v>0.38656675631388082</v>
      </c>
      <c r="R37" s="55">
        <f t="shared" si="6"/>
        <v>0.54467106905319473</v>
      </c>
      <c r="S37" s="54">
        <f t="shared" si="7"/>
        <v>49407.449205486912</v>
      </c>
      <c r="T37" s="56">
        <f t="shared" si="19"/>
        <v>34585.214443840836</v>
      </c>
      <c r="U37" s="66">
        <f t="shared" si="8"/>
        <v>3471.84</v>
      </c>
      <c r="V37" s="54">
        <f t="shared" si="9"/>
        <v>31113.374443840836</v>
      </c>
      <c r="X37" s="67">
        <f t="shared" si="10"/>
        <v>6626.8313401472024</v>
      </c>
      <c r="Y37" s="67">
        <f t="shared" si="11"/>
        <v>-40226.831340147204</v>
      </c>
      <c r="Z37" s="67">
        <f t="shared" si="12"/>
        <v>-16226.831340147202</v>
      </c>
      <c r="AA37" s="68">
        <f t="shared" si="13"/>
        <v>-16226.831340147202</v>
      </c>
      <c r="AB37" s="68">
        <f t="shared" si="14"/>
        <v>-22226.831340147204</v>
      </c>
      <c r="AC37" s="69">
        <f t="shared" si="15"/>
        <v>-9113.4568963063684</v>
      </c>
      <c r="AD37" s="69">
        <f t="shared" si="16"/>
        <v>14886.543103693633</v>
      </c>
      <c r="AE37" s="69">
        <f t="shared" si="17"/>
        <v>14886.543103693633</v>
      </c>
      <c r="AF37" s="69">
        <f t="shared" si="18"/>
        <v>8886.5431036936316</v>
      </c>
    </row>
    <row r="38" spans="1:32">
      <c r="A38" s="57" t="s">
        <v>130</v>
      </c>
      <c r="B38" s="57" t="s">
        <v>131</v>
      </c>
      <c r="C38" s="57" t="s">
        <v>85</v>
      </c>
      <c r="D38" s="57">
        <v>2</v>
      </c>
      <c r="E38" s="57">
        <v>920</v>
      </c>
      <c r="F38" s="58">
        <v>0.4521</v>
      </c>
      <c r="G38" s="59">
        <f t="shared" si="0"/>
        <v>4991.1840000000002</v>
      </c>
      <c r="H38" s="57">
        <v>123</v>
      </c>
      <c r="I38" s="58">
        <v>0.4521</v>
      </c>
      <c r="J38" s="57">
        <v>111</v>
      </c>
      <c r="K38" s="57">
        <v>147</v>
      </c>
      <c r="L38" s="60">
        <f t="shared" si="1"/>
        <v>36</v>
      </c>
      <c r="M38" s="60">
        <f t="shared" si="2"/>
        <v>12</v>
      </c>
      <c r="N38" s="61">
        <f t="shared" si="3"/>
        <v>0.3666666666666667</v>
      </c>
      <c r="O38" s="62">
        <f t="shared" si="4"/>
        <v>0.4521</v>
      </c>
      <c r="P38" s="63">
        <v>111</v>
      </c>
      <c r="Q38" s="64">
        <f t="shared" si="5"/>
        <v>0.1</v>
      </c>
      <c r="R38" s="64">
        <f t="shared" si="6"/>
        <v>0.77146000000000003</v>
      </c>
      <c r="S38" s="63">
        <f t="shared" si="7"/>
        <v>31255.7019</v>
      </c>
      <c r="T38" s="65">
        <f t="shared" si="19"/>
        <v>21878.991329999997</v>
      </c>
      <c r="U38" s="66">
        <f t="shared" si="8"/>
        <v>4991.1840000000002</v>
      </c>
      <c r="V38" s="54">
        <f t="shared" si="9"/>
        <v>16887.807329999996</v>
      </c>
      <c r="X38" s="67">
        <f t="shared" si="10"/>
        <v>9386.0966666666664</v>
      </c>
      <c r="Y38" s="67">
        <f t="shared" si="11"/>
        <v>-42986.096666666665</v>
      </c>
      <c r="Z38" s="67">
        <f t="shared" si="12"/>
        <v>-18986.096666666665</v>
      </c>
      <c r="AA38" s="68">
        <f t="shared" si="13"/>
        <v>-18986.096666666665</v>
      </c>
      <c r="AB38" s="68">
        <f t="shared" si="14"/>
        <v>-24986.096666666665</v>
      </c>
      <c r="AC38" s="69">
        <f t="shared" si="15"/>
        <v>-26098.289336666669</v>
      </c>
      <c r="AD38" s="69">
        <f t="shared" si="16"/>
        <v>-2098.2893366666685</v>
      </c>
      <c r="AE38" s="69">
        <f t="shared" si="17"/>
        <v>-2098.2893366666685</v>
      </c>
      <c r="AF38" s="69">
        <f t="shared" si="18"/>
        <v>-8098.2893366666685</v>
      </c>
    </row>
    <row r="39" spans="1:32">
      <c r="A39" s="50" t="s">
        <v>132</v>
      </c>
      <c r="B39" s="50" t="s">
        <v>129</v>
      </c>
      <c r="C39" s="50" t="s">
        <v>85</v>
      </c>
      <c r="D39" s="50">
        <v>2</v>
      </c>
      <c r="E39" s="50">
        <v>1300</v>
      </c>
      <c r="F39" s="51">
        <v>0.47949999999999998</v>
      </c>
      <c r="G39" s="4">
        <f t="shared" si="0"/>
        <v>7480.2</v>
      </c>
      <c r="H39" s="50">
        <v>377</v>
      </c>
      <c r="I39" s="51">
        <v>0.47949999999999998</v>
      </c>
      <c r="J39" s="50">
        <v>228</v>
      </c>
      <c r="K39" s="50">
        <v>457</v>
      </c>
      <c r="L39">
        <f t="shared" si="1"/>
        <v>229</v>
      </c>
      <c r="M39">
        <f t="shared" si="2"/>
        <v>149</v>
      </c>
      <c r="N39" s="52">
        <f t="shared" si="3"/>
        <v>0.62052401746724895</v>
      </c>
      <c r="O39" s="53">
        <f t="shared" si="4"/>
        <v>0.47949999999999998</v>
      </c>
      <c r="P39" s="54">
        <v>253.47783083939319</v>
      </c>
      <c r="Q39" s="55">
        <f t="shared" si="5"/>
        <v>0.18900552258303299</v>
      </c>
      <c r="R39" s="55">
        <f t="shared" si="6"/>
        <v>0.70102102942778766</v>
      </c>
      <c r="S39" s="54">
        <f t="shared" si="7"/>
        <v>64858.05081793623</v>
      </c>
      <c r="T39" s="56">
        <f t="shared" si="19"/>
        <v>45400.635572555359</v>
      </c>
      <c r="U39" s="66">
        <f t="shared" si="8"/>
        <v>7480.2</v>
      </c>
      <c r="V39" s="54">
        <f t="shared" si="9"/>
        <v>37920.435572555361</v>
      </c>
      <c r="X39" s="67">
        <f t="shared" si="10"/>
        <v>8529.0891913714167</v>
      </c>
      <c r="Y39" s="67">
        <f t="shared" si="11"/>
        <v>-42129.089191371415</v>
      </c>
      <c r="Z39" s="67">
        <f t="shared" si="12"/>
        <v>-18129.089191371415</v>
      </c>
      <c r="AA39" s="68">
        <f t="shared" si="13"/>
        <v>-18129.089191371415</v>
      </c>
      <c r="AB39" s="68">
        <f t="shared" si="14"/>
        <v>-24129.089191371415</v>
      </c>
      <c r="AC39" s="69">
        <f t="shared" si="15"/>
        <v>-4208.6536188160535</v>
      </c>
      <c r="AD39" s="69">
        <f t="shared" si="16"/>
        <v>19791.346381183947</v>
      </c>
      <c r="AE39" s="69">
        <f t="shared" si="17"/>
        <v>19791.346381183947</v>
      </c>
      <c r="AF39" s="69">
        <f t="shared" si="18"/>
        <v>13791.346381183947</v>
      </c>
    </row>
    <row r="40" spans="1:32">
      <c r="A40" s="50" t="s">
        <v>133</v>
      </c>
      <c r="B40" s="50" t="s">
        <v>129</v>
      </c>
      <c r="C40" s="50" t="s">
        <v>94</v>
      </c>
      <c r="D40" s="50">
        <v>1</v>
      </c>
      <c r="E40" s="50">
        <v>1100</v>
      </c>
      <c r="F40" s="51">
        <v>0.2712</v>
      </c>
      <c r="G40" s="4">
        <f t="shared" si="0"/>
        <v>3579.84</v>
      </c>
      <c r="H40" s="50">
        <v>318</v>
      </c>
      <c r="I40" s="51">
        <v>0.2712</v>
      </c>
      <c r="J40" s="50">
        <v>90</v>
      </c>
      <c r="K40" s="50">
        <v>375</v>
      </c>
      <c r="L40">
        <f t="shared" si="1"/>
        <v>285</v>
      </c>
      <c r="M40">
        <f t="shared" si="2"/>
        <v>228</v>
      </c>
      <c r="N40" s="52">
        <f t="shared" si="3"/>
        <v>0.74</v>
      </c>
      <c r="O40" s="53">
        <f t="shared" si="4"/>
        <v>0.2712</v>
      </c>
      <c r="P40" s="54">
        <v>218.58594605493528</v>
      </c>
      <c r="Q40" s="55">
        <f t="shared" si="5"/>
        <v>0.46094300646999375</v>
      </c>
      <c r="R40" s="55">
        <f t="shared" si="6"/>
        <v>0.48580970467964696</v>
      </c>
      <c r="S40" s="54">
        <f t="shared" si="7"/>
        <v>38759.778473525315</v>
      </c>
      <c r="T40" s="56">
        <f t="shared" si="19"/>
        <v>27131.84493146772</v>
      </c>
      <c r="U40" s="66">
        <f t="shared" si="8"/>
        <v>3579.84</v>
      </c>
      <c r="V40" s="54">
        <f t="shared" si="9"/>
        <v>23552.00493146772</v>
      </c>
      <c r="X40" s="67">
        <f t="shared" si="10"/>
        <v>5910.6847402690382</v>
      </c>
      <c r="Y40" s="67">
        <f t="shared" si="11"/>
        <v>-39510.68474026904</v>
      </c>
      <c r="Z40" s="67">
        <f t="shared" si="12"/>
        <v>-15510.684740269038</v>
      </c>
      <c r="AA40" s="68">
        <f t="shared" si="13"/>
        <v>-15510.684740269038</v>
      </c>
      <c r="AB40" s="68">
        <f t="shared" si="14"/>
        <v>-21510.68474026904</v>
      </c>
      <c r="AC40" s="69">
        <f t="shared" si="15"/>
        <v>-15958.67980880132</v>
      </c>
      <c r="AD40" s="69">
        <f t="shared" si="16"/>
        <v>8041.3201911986816</v>
      </c>
      <c r="AE40" s="69">
        <f t="shared" si="17"/>
        <v>8041.3201911986816</v>
      </c>
      <c r="AF40" s="69">
        <f t="shared" si="18"/>
        <v>2041.3201911986798</v>
      </c>
    </row>
    <row r="41" spans="1:32">
      <c r="A41" s="50" t="s">
        <v>134</v>
      </c>
      <c r="B41" s="50" t="s">
        <v>129</v>
      </c>
      <c r="C41" s="50" t="s">
        <v>94</v>
      </c>
      <c r="D41" s="50">
        <v>2</v>
      </c>
      <c r="E41" s="50">
        <v>1200</v>
      </c>
      <c r="F41" s="51">
        <v>0.43009999999999998</v>
      </c>
      <c r="G41" s="4">
        <f t="shared" si="0"/>
        <v>6193.44</v>
      </c>
      <c r="H41" s="50">
        <v>198</v>
      </c>
      <c r="I41" s="51">
        <v>0.43009999999999998</v>
      </c>
      <c r="J41" s="50">
        <v>128</v>
      </c>
      <c r="K41" s="50">
        <v>238</v>
      </c>
      <c r="L41">
        <f t="shared" si="1"/>
        <v>110</v>
      </c>
      <c r="M41">
        <f t="shared" si="2"/>
        <v>70</v>
      </c>
      <c r="N41" s="52">
        <f t="shared" si="3"/>
        <v>0.60909090909090902</v>
      </c>
      <c r="O41" s="53">
        <f t="shared" si="4"/>
        <v>0.43009999999999998</v>
      </c>
      <c r="P41" s="54">
        <v>130.99808444225545</v>
      </c>
      <c r="Q41" s="55">
        <f t="shared" si="5"/>
        <v>0.12180425048913053</v>
      </c>
      <c r="R41" s="55">
        <f t="shared" si="6"/>
        <v>0.75420411616290206</v>
      </c>
      <c r="S41" s="54">
        <f t="shared" si="7"/>
        <v>36061.742490968638</v>
      </c>
      <c r="T41" s="56">
        <f t="shared" si="19"/>
        <v>25243.219743678044</v>
      </c>
      <c r="U41" s="66">
        <f t="shared" si="8"/>
        <v>6193.44</v>
      </c>
      <c r="V41" s="54">
        <f t="shared" si="9"/>
        <v>19049.779743678046</v>
      </c>
      <c r="X41" s="67">
        <f t="shared" si="10"/>
        <v>9176.1500799819751</v>
      </c>
      <c r="Y41" s="67">
        <f t="shared" si="11"/>
        <v>-42776.150079981977</v>
      </c>
      <c r="Z41" s="67">
        <f t="shared" si="12"/>
        <v>-18776.150079981977</v>
      </c>
      <c r="AA41" s="68">
        <f t="shared" si="13"/>
        <v>-18776.150079981977</v>
      </c>
      <c r="AB41" s="68">
        <f t="shared" si="14"/>
        <v>-24776.150079981977</v>
      </c>
      <c r="AC41" s="69">
        <f t="shared" si="15"/>
        <v>-23726.370336303931</v>
      </c>
      <c r="AD41" s="69">
        <f t="shared" si="16"/>
        <v>273.62966369606875</v>
      </c>
      <c r="AE41" s="69">
        <f t="shared" si="17"/>
        <v>273.62966369606875</v>
      </c>
      <c r="AF41" s="69">
        <f t="shared" si="18"/>
        <v>-5726.3703363039313</v>
      </c>
    </row>
    <row r="42" spans="1:32">
      <c r="A42" s="50" t="s">
        <v>135</v>
      </c>
      <c r="B42" s="50" t="s">
        <v>136</v>
      </c>
      <c r="C42" s="50" t="s">
        <v>85</v>
      </c>
      <c r="D42" s="50">
        <v>1</v>
      </c>
      <c r="E42" s="50">
        <v>1300</v>
      </c>
      <c r="F42" s="51">
        <v>0.56710000000000005</v>
      </c>
      <c r="G42" s="4">
        <f t="shared" si="0"/>
        <v>8846.76</v>
      </c>
      <c r="H42" s="50">
        <v>149</v>
      </c>
      <c r="I42" s="51">
        <v>0.56710000000000005</v>
      </c>
      <c r="J42" s="50">
        <v>126</v>
      </c>
      <c r="K42" s="50">
        <v>188</v>
      </c>
      <c r="L42">
        <f t="shared" si="1"/>
        <v>62</v>
      </c>
      <c r="M42">
        <f t="shared" si="2"/>
        <v>23</v>
      </c>
      <c r="N42" s="52">
        <f t="shared" si="3"/>
        <v>0.39677419354838717</v>
      </c>
      <c r="O42" s="53">
        <f t="shared" si="4"/>
        <v>0.56710000000000005</v>
      </c>
      <c r="P42" s="54">
        <v>126</v>
      </c>
      <c r="Q42" s="55">
        <f t="shared" si="5"/>
        <v>0.1</v>
      </c>
      <c r="R42" s="55">
        <f t="shared" si="6"/>
        <v>0.77146000000000003</v>
      </c>
      <c r="S42" s="54">
        <f t="shared" si="7"/>
        <v>35479.445400000004</v>
      </c>
      <c r="T42" s="56">
        <f t="shared" si="19"/>
        <v>24835.611780000003</v>
      </c>
      <c r="U42" s="66">
        <f t="shared" si="8"/>
        <v>8846.76</v>
      </c>
      <c r="V42" s="54">
        <f t="shared" si="9"/>
        <v>15988.851780000003</v>
      </c>
      <c r="X42" s="67">
        <f t="shared" si="10"/>
        <v>9386.0966666666664</v>
      </c>
      <c r="Y42" s="67">
        <f t="shared" si="11"/>
        <v>-42986.096666666665</v>
      </c>
      <c r="Z42" s="67">
        <f t="shared" si="12"/>
        <v>-18986.096666666665</v>
      </c>
      <c r="AA42" s="68">
        <f t="shared" si="13"/>
        <v>-18986.096666666665</v>
      </c>
      <c r="AB42" s="68">
        <f t="shared" si="14"/>
        <v>-24986.096666666665</v>
      </c>
      <c r="AC42" s="69">
        <f t="shared" si="15"/>
        <v>-26997.24488666666</v>
      </c>
      <c r="AD42" s="69">
        <f t="shared" si="16"/>
        <v>-2997.2448866666618</v>
      </c>
      <c r="AE42" s="69">
        <f t="shared" si="17"/>
        <v>-2997.2448866666618</v>
      </c>
      <c r="AF42" s="69">
        <f t="shared" si="18"/>
        <v>-8997.2448866666618</v>
      </c>
    </row>
    <row r="43" spans="1:32">
      <c r="A43" s="50" t="s">
        <v>137</v>
      </c>
      <c r="B43" s="50" t="s">
        <v>136</v>
      </c>
      <c r="C43" s="50" t="s">
        <v>85</v>
      </c>
      <c r="D43" s="50">
        <v>2</v>
      </c>
      <c r="E43" s="50">
        <v>1700</v>
      </c>
      <c r="F43" s="51">
        <v>0.32050000000000001</v>
      </c>
      <c r="G43" s="4">
        <f t="shared" si="0"/>
        <v>6538.2</v>
      </c>
      <c r="H43" s="50">
        <v>210</v>
      </c>
      <c r="I43" s="51">
        <v>0.32050000000000001</v>
      </c>
      <c r="J43" s="50">
        <v>152</v>
      </c>
      <c r="K43" s="50">
        <v>247</v>
      </c>
      <c r="L43">
        <f t="shared" si="1"/>
        <v>95</v>
      </c>
      <c r="M43">
        <f t="shared" si="2"/>
        <v>58</v>
      </c>
      <c r="N43" s="52">
        <f t="shared" si="3"/>
        <v>0.58842105263157907</v>
      </c>
      <c r="O43" s="53">
        <f t="shared" si="4"/>
        <v>0.32050000000000001</v>
      </c>
      <c r="P43" s="54">
        <v>152</v>
      </c>
      <c r="Q43" s="55">
        <f t="shared" si="5"/>
        <v>0.1</v>
      </c>
      <c r="R43" s="55">
        <f t="shared" si="6"/>
        <v>0.77146000000000003</v>
      </c>
      <c r="S43" s="54">
        <f t="shared" si="7"/>
        <v>42800.6008</v>
      </c>
      <c r="T43" s="56">
        <f t="shared" si="19"/>
        <v>29960.420559999999</v>
      </c>
      <c r="U43" s="66">
        <f t="shared" si="8"/>
        <v>6538.2</v>
      </c>
      <c r="V43" s="54">
        <f t="shared" si="9"/>
        <v>23422.220559999998</v>
      </c>
      <c r="X43" s="67">
        <f t="shared" si="10"/>
        <v>9386.0966666666664</v>
      </c>
      <c r="Y43" s="67">
        <f t="shared" si="11"/>
        <v>-42986.096666666665</v>
      </c>
      <c r="Z43" s="67">
        <f t="shared" si="12"/>
        <v>-18986.096666666665</v>
      </c>
      <c r="AA43" s="68">
        <f t="shared" si="13"/>
        <v>-18986.096666666665</v>
      </c>
      <c r="AB43" s="68">
        <f t="shared" si="14"/>
        <v>-24986.096666666665</v>
      </c>
      <c r="AC43" s="69">
        <f t="shared" si="15"/>
        <v>-19563.876106666667</v>
      </c>
      <c r="AD43" s="69">
        <f t="shared" si="16"/>
        <v>4436.1238933333334</v>
      </c>
      <c r="AE43" s="69">
        <f t="shared" si="17"/>
        <v>4436.1238933333334</v>
      </c>
      <c r="AF43" s="69">
        <f t="shared" si="18"/>
        <v>-1563.8761066666666</v>
      </c>
    </row>
    <row r="44" spans="1:32">
      <c r="A44" s="50" t="s">
        <v>138</v>
      </c>
      <c r="B44" s="50" t="s">
        <v>136</v>
      </c>
      <c r="C44" s="50" t="s">
        <v>94</v>
      </c>
      <c r="D44" s="50">
        <v>1</v>
      </c>
      <c r="E44" s="50">
        <v>1200</v>
      </c>
      <c r="F44" s="51">
        <v>0.44929999999999998</v>
      </c>
      <c r="G44" s="4">
        <f t="shared" si="0"/>
        <v>6469.92</v>
      </c>
      <c r="H44" s="50">
        <v>187</v>
      </c>
      <c r="I44" s="51">
        <v>0.44929999999999998</v>
      </c>
      <c r="J44" s="50">
        <v>141</v>
      </c>
      <c r="K44" s="50">
        <v>263</v>
      </c>
      <c r="L44">
        <f t="shared" si="1"/>
        <v>122</v>
      </c>
      <c r="M44">
        <f t="shared" si="2"/>
        <v>46</v>
      </c>
      <c r="N44" s="52">
        <f t="shared" si="3"/>
        <v>0.40163934426229508</v>
      </c>
      <c r="O44" s="53">
        <f t="shared" si="4"/>
        <v>0.44929999999999998</v>
      </c>
      <c r="P44" s="54">
        <v>144.8069665576111</v>
      </c>
      <c r="Q44" s="55">
        <f t="shared" si="5"/>
        <v>0.1249637151318761</v>
      </c>
      <c r="R44" s="55">
        <f t="shared" si="6"/>
        <v>0.75170371584463325</v>
      </c>
      <c r="S44" s="54">
        <f t="shared" si="7"/>
        <v>39730.956217164217</v>
      </c>
      <c r="T44" s="56">
        <f t="shared" si="19"/>
        <v>27811.669352014949</v>
      </c>
      <c r="U44" s="66">
        <f t="shared" si="8"/>
        <v>6469.92</v>
      </c>
      <c r="V44" s="54">
        <f t="shared" si="9"/>
        <v>21341.749352014951</v>
      </c>
      <c r="X44" s="67">
        <f t="shared" si="10"/>
        <v>9145.7285427763727</v>
      </c>
      <c r="Y44" s="67">
        <f t="shared" si="11"/>
        <v>-42745.728542776371</v>
      </c>
      <c r="Z44" s="67">
        <f t="shared" si="12"/>
        <v>-18745.728542776371</v>
      </c>
      <c r="AA44" s="68">
        <f t="shared" si="13"/>
        <v>-18745.728542776371</v>
      </c>
      <c r="AB44" s="68">
        <f t="shared" si="14"/>
        <v>-24745.728542776371</v>
      </c>
      <c r="AC44" s="69">
        <f t="shared" si="15"/>
        <v>-21403.97919076142</v>
      </c>
      <c r="AD44" s="69">
        <f t="shared" si="16"/>
        <v>2596.0208092385801</v>
      </c>
      <c r="AE44" s="69">
        <f t="shared" si="17"/>
        <v>2596.0208092385801</v>
      </c>
      <c r="AF44" s="69">
        <f t="shared" si="18"/>
        <v>-3403.9791907614199</v>
      </c>
    </row>
    <row r="45" spans="1:32">
      <c r="A45" s="50" t="s">
        <v>139</v>
      </c>
      <c r="B45" s="50" t="s">
        <v>136</v>
      </c>
      <c r="C45" s="50" t="s">
        <v>94</v>
      </c>
      <c r="D45" s="50">
        <v>2</v>
      </c>
      <c r="E45" s="50">
        <v>1900</v>
      </c>
      <c r="F45" s="51">
        <v>0.50960000000000005</v>
      </c>
      <c r="G45" s="4">
        <f t="shared" si="0"/>
        <v>11618.880000000001</v>
      </c>
      <c r="H45" s="50">
        <v>225</v>
      </c>
      <c r="I45" s="51">
        <v>0.50960000000000005</v>
      </c>
      <c r="J45" s="50">
        <v>157</v>
      </c>
      <c r="K45" s="50">
        <v>314</v>
      </c>
      <c r="L45">
        <f t="shared" si="1"/>
        <v>157</v>
      </c>
      <c r="M45">
        <f t="shared" si="2"/>
        <v>68</v>
      </c>
      <c r="N45" s="52">
        <f t="shared" si="3"/>
        <v>0.44649681528662422</v>
      </c>
      <c r="O45" s="53">
        <f t="shared" si="4"/>
        <v>0.50960000000000005</v>
      </c>
      <c r="P45" s="54">
        <v>174.12453795280564</v>
      </c>
      <c r="Q45" s="55">
        <f t="shared" si="5"/>
        <v>0.18725879211620711</v>
      </c>
      <c r="R45" s="55">
        <f t="shared" si="6"/>
        <v>0.70240339191923373</v>
      </c>
      <c r="S45" s="54">
        <f t="shared" si="7"/>
        <v>44641.568117163311</v>
      </c>
      <c r="T45" s="56">
        <f t="shared" si="19"/>
        <v>31249.097682014315</v>
      </c>
      <c r="U45" s="66">
        <f t="shared" si="8"/>
        <v>11618.880000000001</v>
      </c>
      <c r="V45" s="54">
        <f t="shared" si="9"/>
        <v>19630.217682014314</v>
      </c>
      <c r="X45" s="67">
        <f t="shared" si="10"/>
        <v>8545.9079350173433</v>
      </c>
      <c r="Y45" s="67">
        <f t="shared" si="11"/>
        <v>-42145.907935017342</v>
      </c>
      <c r="Z45" s="67">
        <f t="shared" si="12"/>
        <v>-18145.907935017342</v>
      </c>
      <c r="AA45" s="68">
        <f t="shared" si="13"/>
        <v>-18145.907935017342</v>
      </c>
      <c r="AB45" s="68">
        <f t="shared" si="14"/>
        <v>-24145.907935017342</v>
      </c>
      <c r="AC45" s="69">
        <f t="shared" si="15"/>
        <v>-22515.690253003027</v>
      </c>
      <c r="AD45" s="69">
        <f t="shared" si="16"/>
        <v>1484.3097469969725</v>
      </c>
      <c r="AE45" s="69">
        <f t="shared" si="17"/>
        <v>1484.3097469969725</v>
      </c>
      <c r="AF45" s="69">
        <f t="shared" si="18"/>
        <v>-4515.6902530030275</v>
      </c>
    </row>
    <row r="46" spans="1:32">
      <c r="A46" s="50" t="s">
        <v>140</v>
      </c>
      <c r="B46" s="50" t="s">
        <v>141</v>
      </c>
      <c r="C46" s="50" t="s">
        <v>85</v>
      </c>
      <c r="D46" s="50">
        <v>1</v>
      </c>
      <c r="E46" s="50">
        <v>1000</v>
      </c>
      <c r="F46" s="51">
        <v>0.72050000000000003</v>
      </c>
      <c r="G46" s="4">
        <f t="shared" si="0"/>
        <v>8646</v>
      </c>
      <c r="H46" s="50">
        <v>123</v>
      </c>
      <c r="I46" s="51">
        <v>0.72050000000000003</v>
      </c>
      <c r="J46" s="50">
        <v>93</v>
      </c>
      <c r="K46" s="50">
        <v>159</v>
      </c>
      <c r="L46">
        <f t="shared" si="1"/>
        <v>66</v>
      </c>
      <c r="M46">
        <f t="shared" si="2"/>
        <v>30</v>
      </c>
      <c r="N46" s="52">
        <f t="shared" si="3"/>
        <v>0.46363636363636362</v>
      </c>
      <c r="O46" s="53">
        <f t="shared" si="4"/>
        <v>0.72050000000000003</v>
      </c>
      <c r="P46" s="54">
        <v>93</v>
      </c>
      <c r="Q46" s="55">
        <f t="shared" si="5"/>
        <v>0.1</v>
      </c>
      <c r="R46" s="55">
        <f t="shared" si="6"/>
        <v>0.77146000000000003</v>
      </c>
      <c r="S46" s="54">
        <f t="shared" si="7"/>
        <v>26187.209699999999</v>
      </c>
      <c r="T46" s="56">
        <f t="shared" si="19"/>
        <v>18331.046789999997</v>
      </c>
      <c r="U46" s="66">
        <f t="shared" si="8"/>
        <v>8646</v>
      </c>
      <c r="V46" s="54">
        <f t="shared" si="9"/>
        <v>9685.0467899999967</v>
      </c>
      <c r="X46" s="67">
        <f t="shared" si="10"/>
        <v>9386.0966666666664</v>
      </c>
      <c r="Y46" s="67">
        <f t="shared" si="11"/>
        <v>-42986.096666666665</v>
      </c>
      <c r="Z46" s="67">
        <f t="shared" si="12"/>
        <v>-18986.096666666665</v>
      </c>
      <c r="AA46" s="68">
        <f t="shared" si="13"/>
        <v>-18986.096666666665</v>
      </c>
      <c r="AB46" s="68">
        <f t="shared" si="14"/>
        <v>-24986.096666666665</v>
      </c>
      <c r="AC46" s="69">
        <f t="shared" si="15"/>
        <v>-33301.049876666671</v>
      </c>
      <c r="AD46" s="69">
        <f t="shared" si="16"/>
        <v>-9301.0498766666678</v>
      </c>
      <c r="AE46" s="69">
        <f t="shared" si="17"/>
        <v>-9301.0498766666678</v>
      </c>
      <c r="AF46" s="69">
        <f t="shared" si="18"/>
        <v>-15301.049876666668</v>
      </c>
    </row>
    <row r="47" spans="1:32">
      <c r="A47" s="50" t="s">
        <v>142</v>
      </c>
      <c r="B47" s="50" t="s">
        <v>141</v>
      </c>
      <c r="C47" s="50" t="s">
        <v>85</v>
      </c>
      <c r="D47" s="50">
        <v>2</v>
      </c>
      <c r="E47" s="50">
        <v>1500</v>
      </c>
      <c r="F47" s="51">
        <v>0.49590000000000001</v>
      </c>
      <c r="G47" s="4">
        <f t="shared" si="0"/>
        <v>8926.2000000000007</v>
      </c>
      <c r="H47" s="50">
        <v>263</v>
      </c>
      <c r="I47" s="51">
        <v>0.49590000000000001</v>
      </c>
      <c r="J47" s="50">
        <v>145</v>
      </c>
      <c r="K47" s="50">
        <v>462</v>
      </c>
      <c r="L47">
        <f t="shared" si="1"/>
        <v>317</v>
      </c>
      <c r="M47">
        <f t="shared" si="2"/>
        <v>118</v>
      </c>
      <c r="N47" s="52">
        <f t="shared" si="3"/>
        <v>0.39779179810725551</v>
      </c>
      <c r="O47" s="53">
        <f t="shared" si="4"/>
        <v>0.49590000000000001</v>
      </c>
      <c r="P47" s="54">
        <v>265.57629789268242</v>
      </c>
      <c r="Q47" s="55">
        <f t="shared" si="5"/>
        <v>0.40429349625913547</v>
      </c>
      <c r="R47" s="55">
        <f t="shared" si="6"/>
        <v>0.53064212706052016</v>
      </c>
      <c r="S47" s="54">
        <f t="shared" si="7"/>
        <v>51437.979637880439</v>
      </c>
      <c r="T47" s="56">
        <f t="shared" si="19"/>
        <v>36006.585746516306</v>
      </c>
      <c r="U47" s="66">
        <f t="shared" si="8"/>
        <v>8926.2000000000007</v>
      </c>
      <c r="V47" s="54">
        <f t="shared" si="9"/>
        <v>27080.385746516306</v>
      </c>
      <c r="X47" s="67">
        <f t="shared" si="10"/>
        <v>6456.1458792363283</v>
      </c>
      <c r="Y47" s="67">
        <f t="shared" si="11"/>
        <v>-40056.145879236326</v>
      </c>
      <c r="Z47" s="67">
        <f t="shared" si="12"/>
        <v>-16056.145879236328</v>
      </c>
      <c r="AA47" s="68">
        <f t="shared" si="13"/>
        <v>-16056.145879236328</v>
      </c>
      <c r="AB47" s="68">
        <f t="shared" si="14"/>
        <v>-22056.145879236326</v>
      </c>
      <c r="AC47" s="69">
        <f t="shared" si="15"/>
        <v>-12975.760132720021</v>
      </c>
      <c r="AD47" s="69">
        <f t="shared" si="16"/>
        <v>11024.239867279977</v>
      </c>
      <c r="AE47" s="69">
        <f t="shared" si="17"/>
        <v>11024.239867279977</v>
      </c>
      <c r="AF47" s="69">
        <f t="shared" si="18"/>
        <v>5024.2398672799791</v>
      </c>
    </row>
    <row r="48" spans="1:32">
      <c r="A48" s="50" t="s">
        <v>143</v>
      </c>
      <c r="B48" s="50" t="s">
        <v>141</v>
      </c>
      <c r="C48" s="50" t="s">
        <v>94</v>
      </c>
      <c r="D48" s="50">
        <v>1</v>
      </c>
      <c r="E48" s="50">
        <v>1300</v>
      </c>
      <c r="F48" s="51">
        <v>0.44929999999999998</v>
      </c>
      <c r="G48" s="4">
        <f t="shared" si="0"/>
        <v>7009.08</v>
      </c>
      <c r="H48" s="50">
        <v>238</v>
      </c>
      <c r="I48" s="51">
        <v>0.44929999999999998</v>
      </c>
      <c r="J48" s="50">
        <v>181</v>
      </c>
      <c r="K48" s="50">
        <v>316</v>
      </c>
      <c r="L48">
        <f t="shared" si="1"/>
        <v>135</v>
      </c>
      <c r="M48">
        <f t="shared" si="2"/>
        <v>57</v>
      </c>
      <c r="N48" s="52">
        <f t="shared" si="3"/>
        <v>0.43777777777777782</v>
      </c>
      <c r="O48" s="53">
        <f t="shared" si="4"/>
        <v>0.44929999999999998</v>
      </c>
      <c r="P48" s="54">
        <v>181</v>
      </c>
      <c r="Q48" s="55">
        <f t="shared" si="5"/>
        <v>0.1</v>
      </c>
      <c r="R48" s="55">
        <f t="shared" si="6"/>
        <v>0.77146000000000003</v>
      </c>
      <c r="S48" s="54">
        <f t="shared" si="7"/>
        <v>50966.5049</v>
      </c>
      <c r="T48" s="56">
        <f t="shared" si="19"/>
        <v>35676.55343</v>
      </c>
      <c r="U48" s="66">
        <f t="shared" si="8"/>
        <v>7009.08</v>
      </c>
      <c r="V48" s="54">
        <f t="shared" si="9"/>
        <v>28667.473429999998</v>
      </c>
      <c r="X48" s="67">
        <f t="shared" si="10"/>
        <v>9386.0966666666664</v>
      </c>
      <c r="Y48" s="67">
        <f t="shared" si="11"/>
        <v>-42986.096666666665</v>
      </c>
      <c r="Z48" s="67">
        <f t="shared" si="12"/>
        <v>-18986.096666666665</v>
      </c>
      <c r="AA48" s="68">
        <f t="shared" si="13"/>
        <v>-18986.096666666665</v>
      </c>
      <c r="AB48" s="68">
        <f t="shared" si="14"/>
        <v>-24986.096666666665</v>
      </c>
      <c r="AC48" s="69">
        <f t="shared" si="15"/>
        <v>-14318.623236666666</v>
      </c>
      <c r="AD48" s="69">
        <f t="shared" si="16"/>
        <v>9681.3767633333337</v>
      </c>
      <c r="AE48" s="69">
        <f t="shared" si="17"/>
        <v>9681.3767633333337</v>
      </c>
      <c r="AF48" s="69">
        <f t="shared" si="18"/>
        <v>3681.3767633333337</v>
      </c>
    </row>
    <row r="49" spans="1:32">
      <c r="A49" s="50" t="s">
        <v>144</v>
      </c>
      <c r="B49" s="50" t="s">
        <v>131</v>
      </c>
      <c r="C49" s="50" t="s">
        <v>94</v>
      </c>
      <c r="D49" s="50">
        <v>1</v>
      </c>
      <c r="E49" s="50">
        <v>850</v>
      </c>
      <c r="F49" s="51">
        <v>0.53149999999999997</v>
      </c>
      <c r="G49" s="4">
        <f t="shared" si="0"/>
        <v>5421.2999999999993</v>
      </c>
      <c r="H49" s="50">
        <v>146</v>
      </c>
      <c r="I49" s="51">
        <v>0.53149999999999997</v>
      </c>
      <c r="J49" s="50">
        <v>96</v>
      </c>
      <c r="K49" s="50">
        <v>245</v>
      </c>
      <c r="L49">
        <f t="shared" si="1"/>
        <v>149</v>
      </c>
      <c r="M49">
        <f t="shared" si="2"/>
        <v>50</v>
      </c>
      <c r="N49" s="52">
        <f t="shared" si="3"/>
        <v>0.36845637583892621</v>
      </c>
      <c r="O49" s="53">
        <f t="shared" si="4"/>
        <v>0.53149999999999997</v>
      </c>
      <c r="P49" s="54">
        <v>138.7519508574992</v>
      </c>
      <c r="Q49" s="55">
        <f t="shared" si="5"/>
        <v>0.32954067574496215</v>
      </c>
      <c r="R49" s="55">
        <f t="shared" si="6"/>
        <v>0.58980150921543695</v>
      </c>
      <c r="S49" s="54">
        <f t="shared" si="7"/>
        <v>29870.180158153798</v>
      </c>
      <c r="T49" s="56">
        <f t="shared" si="19"/>
        <v>20909.126110707657</v>
      </c>
      <c r="U49" s="66">
        <f t="shared" si="8"/>
        <v>5421.2999999999993</v>
      </c>
      <c r="V49" s="54">
        <f t="shared" si="9"/>
        <v>15487.826110707658</v>
      </c>
      <c r="X49" s="67">
        <f t="shared" si="10"/>
        <v>7175.9183621211487</v>
      </c>
      <c r="Y49" s="67">
        <f t="shared" si="11"/>
        <v>-40775.918362121149</v>
      </c>
      <c r="Z49" s="67">
        <f t="shared" si="12"/>
        <v>-16775.918362121149</v>
      </c>
      <c r="AA49" s="68">
        <f t="shared" si="13"/>
        <v>-16775.918362121149</v>
      </c>
      <c r="AB49" s="68">
        <f t="shared" si="14"/>
        <v>-22775.918362121149</v>
      </c>
      <c r="AC49" s="69">
        <f t="shared" si="15"/>
        <v>-25288.092251413491</v>
      </c>
      <c r="AD49" s="69">
        <f t="shared" si="16"/>
        <v>-1288.0922514134909</v>
      </c>
      <c r="AE49" s="69">
        <f t="shared" si="17"/>
        <v>-1288.0922514134909</v>
      </c>
      <c r="AF49" s="69">
        <f t="shared" si="18"/>
        <v>-7288.0922514134909</v>
      </c>
    </row>
    <row r="50" spans="1:32">
      <c r="A50" s="50" t="s">
        <v>145</v>
      </c>
      <c r="B50" s="50" t="s">
        <v>141</v>
      </c>
      <c r="C50" s="50" t="s">
        <v>94</v>
      </c>
      <c r="D50" s="50">
        <v>2</v>
      </c>
      <c r="E50" s="50">
        <v>1800</v>
      </c>
      <c r="F50" s="51">
        <v>0.1507</v>
      </c>
      <c r="G50" s="4">
        <f t="shared" si="0"/>
        <v>3255.12</v>
      </c>
      <c r="H50" s="50">
        <v>349</v>
      </c>
      <c r="I50" s="51">
        <v>0.1507</v>
      </c>
      <c r="J50" s="50">
        <v>145</v>
      </c>
      <c r="K50" s="50">
        <v>412</v>
      </c>
      <c r="L50">
        <f t="shared" si="1"/>
        <v>267</v>
      </c>
      <c r="M50">
        <f t="shared" si="2"/>
        <v>204</v>
      </c>
      <c r="N50" s="52">
        <f t="shared" si="3"/>
        <v>0.71123595505617987</v>
      </c>
      <c r="O50" s="53">
        <f t="shared" si="4"/>
        <v>0.1507</v>
      </c>
      <c r="P50" s="54">
        <v>235.12262264620253</v>
      </c>
      <c r="Q50" s="55">
        <f t="shared" si="5"/>
        <v>0.37003033002607499</v>
      </c>
      <c r="R50" s="55">
        <f t="shared" si="6"/>
        <v>0.55775799681736427</v>
      </c>
      <c r="S50" s="54">
        <f t="shared" si="7"/>
        <v>47866.655899960708</v>
      </c>
      <c r="T50" s="56">
        <f t="shared" si="19"/>
        <v>33506.659129972497</v>
      </c>
      <c r="U50" s="66">
        <f t="shared" si="8"/>
        <v>3255.12</v>
      </c>
      <c r="V50" s="54">
        <f t="shared" si="9"/>
        <v>30251.539129972498</v>
      </c>
      <c r="X50" s="67">
        <f t="shared" si="10"/>
        <v>6786.0556279445991</v>
      </c>
      <c r="Y50" s="67">
        <f t="shared" si="11"/>
        <v>-40386.055627944603</v>
      </c>
      <c r="Z50" s="67">
        <f t="shared" si="12"/>
        <v>-16386.055627944599</v>
      </c>
      <c r="AA50" s="68">
        <f t="shared" si="13"/>
        <v>-16386.055627944599</v>
      </c>
      <c r="AB50" s="68">
        <f t="shared" si="14"/>
        <v>-22386.055627944599</v>
      </c>
      <c r="AC50" s="69">
        <f t="shared" si="15"/>
        <v>-10134.516497972105</v>
      </c>
      <c r="AD50" s="69">
        <f t="shared" si="16"/>
        <v>13865.483502027899</v>
      </c>
      <c r="AE50" s="69">
        <f t="shared" si="17"/>
        <v>13865.483502027899</v>
      </c>
      <c r="AF50" s="69">
        <f t="shared" si="18"/>
        <v>7865.4835020278988</v>
      </c>
    </row>
    <row r="51" spans="1:32">
      <c r="A51" s="50" t="s">
        <v>146</v>
      </c>
      <c r="B51" s="50" t="s">
        <v>147</v>
      </c>
      <c r="C51" s="50" t="s">
        <v>85</v>
      </c>
      <c r="D51" s="50">
        <v>1</v>
      </c>
      <c r="E51" s="50">
        <v>1100</v>
      </c>
      <c r="F51" s="51">
        <v>0.6</v>
      </c>
      <c r="G51" s="4">
        <f t="shared" si="0"/>
        <v>7920</v>
      </c>
      <c r="H51" s="50">
        <v>147</v>
      </c>
      <c r="I51" s="51">
        <v>0.6</v>
      </c>
      <c r="J51" s="50">
        <v>99</v>
      </c>
      <c r="K51" s="50">
        <v>215</v>
      </c>
      <c r="L51">
        <f t="shared" si="1"/>
        <v>116</v>
      </c>
      <c r="M51">
        <f t="shared" si="2"/>
        <v>48</v>
      </c>
      <c r="N51" s="52">
        <f t="shared" si="3"/>
        <v>0.43103448275862077</v>
      </c>
      <c r="O51" s="53">
        <f t="shared" si="4"/>
        <v>0.6</v>
      </c>
      <c r="P51" s="54">
        <v>120.15252541183325</v>
      </c>
      <c r="Q51" s="55">
        <f t="shared" si="5"/>
        <v>0.24587948559885001</v>
      </c>
      <c r="R51" s="55">
        <f t="shared" si="6"/>
        <v>0.65601097509707018</v>
      </c>
      <c r="S51" s="54">
        <f t="shared" si="7"/>
        <v>28769.80200486417</v>
      </c>
      <c r="T51" s="56">
        <f t="shared" si="19"/>
        <v>20138.861403404917</v>
      </c>
      <c r="U51" s="66">
        <f t="shared" si="8"/>
        <v>7920</v>
      </c>
      <c r="V51" s="54">
        <f t="shared" si="9"/>
        <v>12218.861403404917</v>
      </c>
      <c r="X51" s="67">
        <f t="shared" si="10"/>
        <v>7981.4668636810211</v>
      </c>
      <c r="Y51" s="67">
        <f t="shared" si="11"/>
        <v>-41581.466863681024</v>
      </c>
      <c r="Z51" s="67">
        <f t="shared" si="12"/>
        <v>-17581.46686368102</v>
      </c>
      <c r="AA51" s="68">
        <f t="shared" si="13"/>
        <v>-17581.46686368102</v>
      </c>
      <c r="AB51" s="68">
        <f t="shared" si="14"/>
        <v>-23581.46686368102</v>
      </c>
      <c r="AC51" s="69">
        <f t="shared" si="15"/>
        <v>-29362.605460276107</v>
      </c>
      <c r="AD51" s="69">
        <f t="shared" si="16"/>
        <v>-5362.6054602761033</v>
      </c>
      <c r="AE51" s="69">
        <f t="shared" si="17"/>
        <v>-5362.6054602761033</v>
      </c>
      <c r="AF51" s="69">
        <f t="shared" si="18"/>
        <v>-11362.605460276103</v>
      </c>
    </row>
    <row r="52" spans="1:32">
      <c r="A52" s="50" t="s">
        <v>148</v>
      </c>
      <c r="B52" s="50" t="s">
        <v>147</v>
      </c>
      <c r="C52" s="50" t="s">
        <v>85</v>
      </c>
      <c r="D52" s="50">
        <v>2</v>
      </c>
      <c r="E52" s="50">
        <v>1400</v>
      </c>
      <c r="F52" s="51">
        <v>0.52600000000000002</v>
      </c>
      <c r="G52" s="4">
        <f t="shared" si="0"/>
        <v>8836.8000000000011</v>
      </c>
      <c r="H52" s="50">
        <v>151</v>
      </c>
      <c r="I52" s="51">
        <v>0.52600000000000002</v>
      </c>
      <c r="J52" s="50">
        <v>120</v>
      </c>
      <c r="K52" s="50">
        <v>188</v>
      </c>
      <c r="L52">
        <f t="shared" si="1"/>
        <v>68</v>
      </c>
      <c r="M52">
        <f t="shared" si="2"/>
        <v>31</v>
      </c>
      <c r="N52" s="52">
        <f t="shared" si="3"/>
        <v>0.46470588235294119</v>
      </c>
      <c r="O52" s="53">
        <f t="shared" si="4"/>
        <v>0.52600000000000002</v>
      </c>
      <c r="P52" s="54">
        <v>120</v>
      </c>
      <c r="Q52" s="55">
        <f t="shared" si="5"/>
        <v>0.1</v>
      </c>
      <c r="R52" s="55">
        <f t="shared" si="6"/>
        <v>0.77146000000000003</v>
      </c>
      <c r="S52" s="54">
        <f t="shared" si="7"/>
        <v>33789.948000000004</v>
      </c>
      <c r="T52" s="56">
        <f t="shared" si="19"/>
        <v>23652.963600000003</v>
      </c>
      <c r="U52" s="66">
        <f t="shared" si="8"/>
        <v>8836.8000000000011</v>
      </c>
      <c r="V52" s="54">
        <f t="shared" si="9"/>
        <v>14816.163600000002</v>
      </c>
      <c r="X52" s="67">
        <f t="shared" si="10"/>
        <v>9386.0966666666664</v>
      </c>
      <c r="Y52" s="67">
        <f t="shared" si="11"/>
        <v>-42986.096666666665</v>
      </c>
      <c r="Z52" s="67">
        <f t="shared" si="12"/>
        <v>-18986.096666666665</v>
      </c>
      <c r="AA52" s="68">
        <f t="shared" si="13"/>
        <v>-18986.096666666665</v>
      </c>
      <c r="AB52" s="68">
        <f t="shared" si="14"/>
        <v>-24986.096666666665</v>
      </c>
      <c r="AC52" s="69">
        <f t="shared" si="15"/>
        <v>-28169.933066666665</v>
      </c>
      <c r="AD52" s="69">
        <f t="shared" si="16"/>
        <v>-4169.9330666666629</v>
      </c>
      <c r="AE52" s="69">
        <f t="shared" si="17"/>
        <v>-4169.9330666666629</v>
      </c>
      <c r="AF52" s="69">
        <f t="shared" si="18"/>
        <v>-10169.933066666663</v>
      </c>
    </row>
    <row r="53" spans="1:32">
      <c r="A53" s="50" t="s">
        <v>149</v>
      </c>
      <c r="B53" s="50" t="s">
        <v>147</v>
      </c>
      <c r="C53" s="50" t="s">
        <v>94</v>
      </c>
      <c r="D53" s="50">
        <v>1</v>
      </c>
      <c r="E53" s="50">
        <v>1300</v>
      </c>
      <c r="F53" s="51">
        <v>0.21099999999999999</v>
      </c>
      <c r="G53" s="4">
        <f t="shared" si="0"/>
        <v>3291.6</v>
      </c>
      <c r="H53" s="50">
        <v>429</v>
      </c>
      <c r="I53" s="51">
        <v>0.21099999999999999</v>
      </c>
      <c r="J53" s="50">
        <v>263</v>
      </c>
      <c r="K53" s="50">
        <v>489</v>
      </c>
      <c r="L53">
        <f t="shared" si="1"/>
        <v>226</v>
      </c>
      <c r="M53">
        <f t="shared" si="2"/>
        <v>166</v>
      </c>
      <c r="N53" s="52">
        <f t="shared" si="3"/>
        <v>0.68761061946902657</v>
      </c>
      <c r="O53" s="53">
        <f t="shared" si="4"/>
        <v>0.21099999999999999</v>
      </c>
      <c r="P53" s="54">
        <v>269.15060985408877</v>
      </c>
      <c r="Q53" s="55">
        <f t="shared" si="5"/>
        <v>0.12177207027996026</v>
      </c>
      <c r="R53" s="55">
        <f t="shared" si="6"/>
        <v>0.75422958358043946</v>
      </c>
      <c r="S53" s="54">
        <f t="shared" si="7"/>
        <v>74095.493622594804</v>
      </c>
      <c r="T53" s="56">
        <f t="shared" si="19"/>
        <v>51866.845535816363</v>
      </c>
      <c r="U53" s="66">
        <f t="shared" si="8"/>
        <v>3291.6</v>
      </c>
      <c r="V53" s="54">
        <f t="shared" si="9"/>
        <v>48575.245535816364</v>
      </c>
      <c r="X53" s="67">
        <f t="shared" si="10"/>
        <v>9176.4599335620132</v>
      </c>
      <c r="Y53" s="67">
        <f t="shared" si="11"/>
        <v>-42776.459933562015</v>
      </c>
      <c r="Z53" s="67">
        <f t="shared" si="12"/>
        <v>-18776.459933562015</v>
      </c>
      <c r="AA53" s="68">
        <f t="shared" si="13"/>
        <v>-18776.459933562015</v>
      </c>
      <c r="AB53" s="68">
        <f t="shared" si="14"/>
        <v>-24776.459933562015</v>
      </c>
      <c r="AC53" s="69">
        <f t="shared" si="15"/>
        <v>5798.7856022543492</v>
      </c>
      <c r="AD53" s="69">
        <f t="shared" si="16"/>
        <v>29798.785602254349</v>
      </c>
      <c r="AE53" s="69">
        <f t="shared" si="17"/>
        <v>29798.785602254349</v>
      </c>
      <c r="AF53" s="69">
        <f t="shared" si="18"/>
        <v>23798.785602254349</v>
      </c>
    </row>
    <row r="54" spans="1:32">
      <c r="A54" s="50" t="s">
        <v>150</v>
      </c>
      <c r="B54" s="50" t="s">
        <v>147</v>
      </c>
      <c r="C54" s="50" t="s">
        <v>94</v>
      </c>
      <c r="D54" s="50">
        <v>2</v>
      </c>
      <c r="E54" s="50">
        <v>1900</v>
      </c>
      <c r="F54" s="51">
        <v>0.33150000000000002</v>
      </c>
      <c r="G54" s="4">
        <f t="shared" si="0"/>
        <v>7558.2000000000007</v>
      </c>
      <c r="H54" s="50">
        <v>441</v>
      </c>
      <c r="I54" s="51">
        <v>0.33150000000000002</v>
      </c>
      <c r="J54" s="50">
        <v>335</v>
      </c>
      <c r="K54" s="50">
        <v>502</v>
      </c>
      <c r="L54">
        <f t="shared" si="1"/>
        <v>167</v>
      </c>
      <c r="M54">
        <f t="shared" si="2"/>
        <v>106</v>
      </c>
      <c r="N54" s="52">
        <f t="shared" si="3"/>
        <v>0.60778443113772462</v>
      </c>
      <c r="O54" s="53">
        <f t="shared" si="4"/>
        <v>0.33150000000000002</v>
      </c>
      <c r="P54" s="54">
        <v>335</v>
      </c>
      <c r="Q54" s="55">
        <f t="shared" si="5"/>
        <v>0.1</v>
      </c>
      <c r="R54" s="55">
        <f t="shared" si="6"/>
        <v>0.77146000000000003</v>
      </c>
      <c r="S54" s="54">
        <f t="shared" si="7"/>
        <v>94330.271500000003</v>
      </c>
      <c r="T54" s="56">
        <f t="shared" si="19"/>
        <v>66031.190050000005</v>
      </c>
      <c r="U54" s="66">
        <f t="shared" si="8"/>
        <v>7558.2000000000007</v>
      </c>
      <c r="V54" s="54">
        <f t="shared" si="9"/>
        <v>58472.990050000008</v>
      </c>
      <c r="X54" s="67">
        <f t="shared" si="10"/>
        <v>9386.0966666666664</v>
      </c>
      <c r="Y54" s="67">
        <f t="shared" si="11"/>
        <v>-42986.096666666665</v>
      </c>
      <c r="Z54" s="67">
        <f t="shared" si="12"/>
        <v>-18986.096666666665</v>
      </c>
      <c r="AA54" s="68">
        <f t="shared" si="13"/>
        <v>-18986.096666666665</v>
      </c>
      <c r="AB54" s="68">
        <f t="shared" si="14"/>
        <v>-24986.096666666665</v>
      </c>
      <c r="AC54" s="69">
        <f t="shared" si="15"/>
        <v>15486.893383333343</v>
      </c>
      <c r="AD54" s="69">
        <f t="shared" si="16"/>
        <v>39486.893383333343</v>
      </c>
      <c r="AE54" s="69">
        <f t="shared" si="17"/>
        <v>39486.893383333343</v>
      </c>
      <c r="AF54" s="69">
        <f t="shared" si="18"/>
        <v>33486.893383333343</v>
      </c>
    </row>
    <row r="55" spans="1:32">
      <c r="A55" s="50" t="s">
        <v>151</v>
      </c>
      <c r="B55" s="50" t="s">
        <v>152</v>
      </c>
      <c r="C55" s="50" t="s">
        <v>85</v>
      </c>
      <c r="D55" s="50">
        <v>1</v>
      </c>
      <c r="E55" s="50">
        <v>900</v>
      </c>
      <c r="F55" s="51">
        <v>0.32879999999999998</v>
      </c>
      <c r="G55" s="4">
        <f t="shared" si="0"/>
        <v>3551.04</v>
      </c>
      <c r="H55" s="50">
        <v>144</v>
      </c>
      <c r="I55" s="51">
        <v>0.32879999999999998</v>
      </c>
      <c r="J55" s="50">
        <v>98</v>
      </c>
      <c r="K55" s="50">
        <v>195</v>
      </c>
      <c r="L55">
        <f t="shared" si="1"/>
        <v>97</v>
      </c>
      <c r="M55">
        <f t="shared" si="2"/>
        <v>46</v>
      </c>
      <c r="N55" s="52">
        <f t="shared" si="3"/>
        <v>0.47938144329896915</v>
      </c>
      <c r="O55" s="53">
        <f t="shared" si="4"/>
        <v>0.32879999999999998</v>
      </c>
      <c r="P55" s="54">
        <v>108.0801290081711</v>
      </c>
      <c r="Q55" s="55">
        <f t="shared" si="5"/>
        <v>0.183135084603473</v>
      </c>
      <c r="R55" s="55">
        <f t="shared" si="6"/>
        <v>0.70566689404481153</v>
      </c>
      <c r="S55" s="54">
        <f t="shared" si="7"/>
        <v>27838.027664982903</v>
      </c>
      <c r="T55" s="56">
        <f t="shared" si="19"/>
        <v>19486.61936548803</v>
      </c>
      <c r="U55" s="66">
        <f t="shared" si="8"/>
        <v>3551.04</v>
      </c>
      <c r="V55" s="54">
        <f t="shared" si="9"/>
        <v>15935.579365488029</v>
      </c>
      <c r="X55" s="67">
        <f t="shared" si="10"/>
        <v>8585.6138775452073</v>
      </c>
      <c r="Y55" s="67">
        <f t="shared" si="11"/>
        <v>-42185.613877545205</v>
      </c>
      <c r="Z55" s="67">
        <f t="shared" si="12"/>
        <v>-18185.613877545205</v>
      </c>
      <c r="AA55" s="68">
        <f t="shared" si="13"/>
        <v>-18185.613877545205</v>
      </c>
      <c r="AB55" s="68">
        <f t="shared" si="14"/>
        <v>-24185.613877545205</v>
      </c>
      <c r="AC55" s="69">
        <f t="shared" si="15"/>
        <v>-26250.034512057176</v>
      </c>
      <c r="AD55" s="69">
        <f t="shared" si="16"/>
        <v>-2250.0345120571765</v>
      </c>
      <c r="AE55" s="69">
        <f t="shared" si="17"/>
        <v>-2250.0345120571765</v>
      </c>
      <c r="AF55" s="69">
        <f t="shared" si="18"/>
        <v>-8250.0345120571765</v>
      </c>
    </row>
    <row r="56" spans="1:32">
      <c r="A56" s="50" t="s">
        <v>153</v>
      </c>
      <c r="B56" s="50" t="s">
        <v>152</v>
      </c>
      <c r="C56" s="50" t="s">
        <v>85</v>
      </c>
      <c r="D56" s="50">
        <v>2</v>
      </c>
      <c r="E56" s="50">
        <v>1400</v>
      </c>
      <c r="F56" s="51">
        <v>0.61919999999999997</v>
      </c>
      <c r="G56" s="4">
        <f t="shared" si="0"/>
        <v>10402.56</v>
      </c>
      <c r="H56" s="50">
        <v>136</v>
      </c>
      <c r="I56" s="51">
        <v>0.61919999999999997</v>
      </c>
      <c r="J56" s="50">
        <v>77</v>
      </c>
      <c r="K56" s="50">
        <v>260</v>
      </c>
      <c r="L56">
        <f t="shared" si="1"/>
        <v>183</v>
      </c>
      <c r="M56">
        <f t="shared" si="2"/>
        <v>59</v>
      </c>
      <c r="N56" s="52">
        <f t="shared" si="3"/>
        <v>0.35792349726775963</v>
      </c>
      <c r="O56" s="53">
        <f t="shared" si="4"/>
        <v>0.61919999999999997</v>
      </c>
      <c r="P56" s="54">
        <v>149.96044883053548</v>
      </c>
      <c r="Q56" s="55">
        <f t="shared" si="5"/>
        <v>0.41895278177283268</v>
      </c>
      <c r="R56" s="55">
        <f t="shared" si="6"/>
        <v>0.51904076850498027</v>
      </c>
      <c r="S56" s="54">
        <f t="shared" si="7"/>
        <v>28409.98911131881</v>
      </c>
      <c r="T56" s="56">
        <f t="shared" si="19"/>
        <v>19886.992377923165</v>
      </c>
      <c r="U56" s="66">
        <f t="shared" si="8"/>
        <v>10402.56</v>
      </c>
      <c r="V56" s="54">
        <f t="shared" si="9"/>
        <v>9484.4323779231654</v>
      </c>
      <c r="X56" s="67">
        <f t="shared" si="10"/>
        <v>6314.9960168105936</v>
      </c>
      <c r="Y56" s="67">
        <f t="shared" si="11"/>
        <v>-39914.99601681059</v>
      </c>
      <c r="Z56" s="67">
        <f t="shared" si="12"/>
        <v>-15914.996016810594</v>
      </c>
      <c r="AA56" s="68">
        <f t="shared" si="13"/>
        <v>-15914.996016810594</v>
      </c>
      <c r="AB56" s="68">
        <f t="shared" si="14"/>
        <v>-21914.996016810594</v>
      </c>
      <c r="AC56" s="69">
        <f t="shared" si="15"/>
        <v>-30430.563638887426</v>
      </c>
      <c r="AD56" s="69">
        <f t="shared" si="16"/>
        <v>-6430.5636388874282</v>
      </c>
      <c r="AE56" s="69">
        <f t="shared" si="17"/>
        <v>-6430.5636388874282</v>
      </c>
      <c r="AF56" s="69">
        <f t="shared" si="18"/>
        <v>-12430.563638887428</v>
      </c>
    </row>
    <row r="57" spans="1:32">
      <c r="A57" s="50" t="s">
        <v>154</v>
      </c>
      <c r="B57" s="50" t="s">
        <v>152</v>
      </c>
      <c r="C57" s="50" t="s">
        <v>94</v>
      </c>
      <c r="D57" s="50">
        <v>1</v>
      </c>
      <c r="E57" s="50">
        <v>1400</v>
      </c>
      <c r="F57" s="51">
        <v>0.2712</v>
      </c>
      <c r="G57" s="4">
        <f t="shared" si="0"/>
        <v>4556.16</v>
      </c>
      <c r="H57" s="50">
        <v>305</v>
      </c>
      <c r="I57" s="51">
        <v>0.2712</v>
      </c>
      <c r="J57" s="50">
        <v>173</v>
      </c>
      <c r="K57" s="50">
        <v>322</v>
      </c>
      <c r="L57">
        <f t="shared" si="1"/>
        <v>149</v>
      </c>
      <c r="M57">
        <f t="shared" si="2"/>
        <v>132</v>
      </c>
      <c r="N57" s="52">
        <f t="shared" si="3"/>
        <v>0.8087248322147651</v>
      </c>
      <c r="O57" s="53">
        <f t="shared" si="4"/>
        <v>0.2712</v>
      </c>
      <c r="P57" s="54">
        <v>177.25195074451011</v>
      </c>
      <c r="Q57" s="55">
        <f t="shared" si="5"/>
        <v>0.12282926574233617</v>
      </c>
      <c r="R57" s="55">
        <f t="shared" si="6"/>
        <v>0.75339291909151518</v>
      </c>
      <c r="S57" s="54">
        <f t="shared" si="7"/>
        <v>48742.233073916257</v>
      </c>
      <c r="T57" s="56">
        <f t="shared" si="19"/>
        <v>34119.563151741379</v>
      </c>
      <c r="U57" s="66">
        <f t="shared" si="8"/>
        <v>4556.16</v>
      </c>
      <c r="V57" s="54">
        <f t="shared" si="9"/>
        <v>29563.403151741379</v>
      </c>
      <c r="X57" s="67">
        <f t="shared" si="10"/>
        <v>9166.2805156134345</v>
      </c>
      <c r="Y57" s="67">
        <f t="shared" si="11"/>
        <v>-42766.280515613435</v>
      </c>
      <c r="Z57" s="67">
        <f t="shared" si="12"/>
        <v>-18766.280515613435</v>
      </c>
      <c r="AA57" s="68">
        <f t="shared" si="13"/>
        <v>-18766.280515613435</v>
      </c>
      <c r="AB57" s="68">
        <f t="shared" si="14"/>
        <v>-24766.280515613435</v>
      </c>
      <c r="AC57" s="69">
        <f t="shared" si="15"/>
        <v>-13202.877363872056</v>
      </c>
      <c r="AD57" s="69">
        <f t="shared" si="16"/>
        <v>10797.122636127944</v>
      </c>
      <c r="AE57" s="69">
        <f t="shared" si="17"/>
        <v>10797.122636127944</v>
      </c>
      <c r="AF57" s="69">
        <f t="shared" si="18"/>
        <v>4797.1226361279441</v>
      </c>
    </row>
    <row r="58" spans="1:32">
      <c r="A58" s="50" t="s">
        <v>155</v>
      </c>
      <c r="B58" s="50" t="s">
        <v>152</v>
      </c>
      <c r="C58" s="50" t="s">
        <v>94</v>
      </c>
      <c r="D58" s="50">
        <v>2</v>
      </c>
      <c r="E58" s="50">
        <v>1700</v>
      </c>
      <c r="F58" s="51">
        <v>0.32879999999999998</v>
      </c>
      <c r="G58" s="4">
        <f t="shared" si="0"/>
        <v>6707.5199999999995</v>
      </c>
      <c r="H58" s="50">
        <v>425</v>
      </c>
      <c r="I58" s="51">
        <v>0.32879999999999998</v>
      </c>
      <c r="J58" s="50">
        <v>176</v>
      </c>
      <c r="K58" s="50">
        <v>469</v>
      </c>
      <c r="L58">
        <f t="shared" si="1"/>
        <v>293</v>
      </c>
      <c r="M58">
        <f t="shared" si="2"/>
        <v>249</v>
      </c>
      <c r="N58" s="52">
        <f t="shared" si="3"/>
        <v>0.779863481228669</v>
      </c>
      <c r="O58" s="53">
        <f t="shared" si="4"/>
        <v>0.32879999999999998</v>
      </c>
      <c r="P58" s="54">
        <v>266.45853351437199</v>
      </c>
      <c r="Q58" s="55">
        <f t="shared" si="5"/>
        <v>0.34698575703582801</v>
      </c>
      <c r="R58" s="55">
        <f t="shared" si="6"/>
        <v>0.57599547188184574</v>
      </c>
      <c r="S58" s="54">
        <f t="shared" si="7"/>
        <v>56019.801693222682</v>
      </c>
      <c r="T58" s="56">
        <f t="shared" si="19"/>
        <v>39213.861185255875</v>
      </c>
      <c r="U58" s="66">
        <f t="shared" si="8"/>
        <v>6707.5199999999995</v>
      </c>
      <c r="V58" s="54">
        <f t="shared" si="9"/>
        <v>32506.341185255875</v>
      </c>
      <c r="X58" s="67">
        <f t="shared" si="10"/>
        <v>7007.9449078957905</v>
      </c>
      <c r="Y58" s="67">
        <f t="shared" si="11"/>
        <v>-40607.944907895791</v>
      </c>
      <c r="Z58" s="67">
        <f t="shared" si="12"/>
        <v>-16607.944907895791</v>
      </c>
      <c r="AA58" s="68">
        <f t="shared" si="13"/>
        <v>-16607.944907895791</v>
      </c>
      <c r="AB58" s="68">
        <f t="shared" si="14"/>
        <v>-22607.944907895791</v>
      </c>
      <c r="AC58" s="69">
        <f t="shared" si="15"/>
        <v>-8101.6037226399167</v>
      </c>
      <c r="AD58" s="69">
        <f t="shared" si="16"/>
        <v>15898.396277360083</v>
      </c>
      <c r="AE58" s="69">
        <f t="shared" si="17"/>
        <v>15898.396277360083</v>
      </c>
      <c r="AF58" s="69">
        <f t="shared" si="18"/>
        <v>9898.3962773600833</v>
      </c>
    </row>
    <row r="59" spans="1:32">
      <c r="A59" s="50" t="s">
        <v>156</v>
      </c>
      <c r="B59" s="50" t="s">
        <v>157</v>
      </c>
      <c r="C59" s="50" t="s">
        <v>85</v>
      </c>
      <c r="D59" s="50">
        <v>1</v>
      </c>
      <c r="E59" s="50">
        <v>800</v>
      </c>
      <c r="F59" s="51">
        <v>0.41370000000000001</v>
      </c>
      <c r="G59" s="4">
        <f t="shared" si="0"/>
        <v>3971.52</v>
      </c>
      <c r="H59" s="50">
        <v>176</v>
      </c>
      <c r="I59" s="51">
        <v>0.41370000000000001</v>
      </c>
      <c r="J59" s="50">
        <v>86</v>
      </c>
      <c r="K59" s="50">
        <v>224</v>
      </c>
      <c r="L59">
        <f t="shared" si="1"/>
        <v>138</v>
      </c>
      <c r="M59">
        <f t="shared" si="2"/>
        <v>90</v>
      </c>
      <c r="N59" s="52">
        <f t="shared" si="3"/>
        <v>0.62173913043478257</v>
      </c>
      <c r="O59" s="53">
        <f t="shared" si="4"/>
        <v>0.41370000000000001</v>
      </c>
      <c r="P59" s="54">
        <v>127.05214230028442</v>
      </c>
      <c r="Q59" s="55">
        <f t="shared" si="5"/>
        <v>0.33798343362483718</v>
      </c>
      <c r="R59" s="55">
        <f t="shared" si="6"/>
        <v>0.58311991062930391</v>
      </c>
      <c r="S59" s="54">
        <f t="shared" si="7"/>
        <v>27041.621360142261</v>
      </c>
      <c r="T59" s="56">
        <f t="shared" si="19"/>
        <v>18929.134952099583</v>
      </c>
      <c r="U59" s="66">
        <f t="shared" si="8"/>
        <v>3971.52</v>
      </c>
      <c r="V59" s="54">
        <f t="shared" si="9"/>
        <v>14957.614952099582</v>
      </c>
      <c r="X59" s="67">
        <f t="shared" si="10"/>
        <v>7094.6255793231985</v>
      </c>
      <c r="Y59" s="67">
        <f t="shared" si="11"/>
        <v>-40694.625579323198</v>
      </c>
      <c r="Z59" s="67">
        <f t="shared" si="12"/>
        <v>-16694.625579323198</v>
      </c>
      <c r="AA59" s="68">
        <f t="shared" si="13"/>
        <v>-16694.625579323198</v>
      </c>
      <c r="AB59" s="68">
        <f t="shared" si="14"/>
        <v>-22694.625579323198</v>
      </c>
      <c r="AC59" s="69">
        <f t="shared" si="15"/>
        <v>-25737.010627223615</v>
      </c>
      <c r="AD59" s="69">
        <f t="shared" si="16"/>
        <v>-1737.0106272236153</v>
      </c>
      <c r="AE59" s="69">
        <f t="shared" si="17"/>
        <v>-1737.0106272236153</v>
      </c>
      <c r="AF59" s="69">
        <f t="shared" si="18"/>
        <v>-7737.0106272236153</v>
      </c>
    </row>
    <row r="60" spans="1:32">
      <c r="A60" s="50" t="s">
        <v>158</v>
      </c>
      <c r="B60" s="50" t="s">
        <v>131</v>
      </c>
      <c r="C60" s="50" t="s">
        <v>94</v>
      </c>
      <c r="D60" s="50">
        <v>2</v>
      </c>
      <c r="E60" s="50">
        <v>900</v>
      </c>
      <c r="F60" s="51">
        <v>0.47949999999999998</v>
      </c>
      <c r="G60" s="4">
        <f t="shared" si="0"/>
        <v>5178.5999999999995</v>
      </c>
      <c r="H60" s="50">
        <v>169</v>
      </c>
      <c r="I60" s="51">
        <v>0.47949999999999998</v>
      </c>
      <c r="J60" s="50">
        <v>111</v>
      </c>
      <c r="K60" s="50">
        <v>276</v>
      </c>
      <c r="L60">
        <f t="shared" si="1"/>
        <v>165</v>
      </c>
      <c r="M60">
        <f t="shared" si="2"/>
        <v>58</v>
      </c>
      <c r="N60" s="52">
        <f t="shared" si="3"/>
        <v>0.38121212121212122</v>
      </c>
      <c r="O60" s="53">
        <f t="shared" si="4"/>
        <v>0.47949999999999998</v>
      </c>
      <c r="P60" s="54">
        <v>155.99712666338357</v>
      </c>
      <c r="Q60" s="55">
        <f t="shared" si="5"/>
        <v>0.31816788685276881</v>
      </c>
      <c r="R60" s="55">
        <f t="shared" si="6"/>
        <v>0.59880193434471884</v>
      </c>
      <c r="S60" s="54">
        <f t="shared" si="7"/>
        <v>34095.154137362057</v>
      </c>
      <c r="T60" s="56">
        <f t="shared" si="19"/>
        <v>23866.607896153437</v>
      </c>
      <c r="U60" s="66">
        <f t="shared" si="8"/>
        <v>5178.5999999999995</v>
      </c>
      <c r="V60" s="54">
        <f t="shared" si="9"/>
        <v>18688.007896153438</v>
      </c>
      <c r="X60" s="67">
        <f t="shared" si="10"/>
        <v>7285.4235345274137</v>
      </c>
      <c r="Y60" s="67">
        <f t="shared" si="11"/>
        <v>-40885.423534527414</v>
      </c>
      <c r="Z60" s="67">
        <f t="shared" si="12"/>
        <v>-16885.423534527414</v>
      </c>
      <c r="AA60" s="68">
        <f t="shared" si="13"/>
        <v>-16885.423534527414</v>
      </c>
      <c r="AB60" s="68">
        <f t="shared" si="14"/>
        <v>-22885.423534527414</v>
      </c>
      <c r="AC60" s="69">
        <f t="shared" si="15"/>
        <v>-22197.415638373976</v>
      </c>
      <c r="AD60" s="69">
        <f t="shared" si="16"/>
        <v>1802.5843616260245</v>
      </c>
      <c r="AE60" s="69">
        <f t="shared" si="17"/>
        <v>1802.5843616260245</v>
      </c>
      <c r="AF60" s="69">
        <f t="shared" si="18"/>
        <v>-4197.4156383739755</v>
      </c>
    </row>
    <row r="61" spans="1:32">
      <c r="A61" s="50" t="s">
        <v>159</v>
      </c>
      <c r="B61" s="50" t="s">
        <v>157</v>
      </c>
      <c r="C61" s="50" t="s">
        <v>85</v>
      </c>
      <c r="D61" s="50">
        <v>2</v>
      </c>
      <c r="E61" s="50">
        <v>1300</v>
      </c>
      <c r="F61" s="51">
        <v>0.63009999999999999</v>
      </c>
      <c r="G61" s="4">
        <f t="shared" si="0"/>
        <v>9829.56</v>
      </c>
      <c r="H61" s="50">
        <v>207</v>
      </c>
      <c r="I61" s="51">
        <v>0.63009999999999999</v>
      </c>
      <c r="J61" s="50">
        <v>127</v>
      </c>
      <c r="K61" s="50">
        <v>276</v>
      </c>
      <c r="L61">
        <f t="shared" si="1"/>
        <v>149</v>
      </c>
      <c r="M61">
        <f t="shared" si="2"/>
        <v>80</v>
      </c>
      <c r="N61" s="52">
        <f t="shared" si="3"/>
        <v>0.5295302013422819</v>
      </c>
      <c r="O61" s="53">
        <f t="shared" si="4"/>
        <v>0.63009999999999999</v>
      </c>
      <c r="P61" s="54">
        <v>154.25195074450997</v>
      </c>
      <c r="Q61" s="55">
        <f t="shared" si="5"/>
        <v>0.24631919862824148</v>
      </c>
      <c r="R61" s="55">
        <f t="shared" si="6"/>
        <v>0.6556629862056097</v>
      </c>
      <c r="S61" s="54">
        <f t="shared" si="7"/>
        <v>36915.112548412901</v>
      </c>
      <c r="T61" s="56">
        <f t="shared" si="19"/>
        <v>25840.578783889028</v>
      </c>
      <c r="U61" s="66">
        <f t="shared" si="8"/>
        <v>9829.56</v>
      </c>
      <c r="V61" s="54">
        <f t="shared" si="9"/>
        <v>16011.018783889029</v>
      </c>
      <c r="X61" s="67">
        <f t="shared" si="10"/>
        <v>7977.2329988349184</v>
      </c>
      <c r="Y61" s="67">
        <f t="shared" si="11"/>
        <v>-41577.232998834916</v>
      </c>
      <c r="Z61" s="67">
        <f t="shared" si="12"/>
        <v>-17577.232998834919</v>
      </c>
      <c r="AA61" s="68">
        <f t="shared" si="13"/>
        <v>-17577.232998834919</v>
      </c>
      <c r="AB61" s="68">
        <f t="shared" si="14"/>
        <v>-23577.232998834919</v>
      </c>
      <c r="AC61" s="69">
        <f t="shared" si="15"/>
        <v>-25566.214214945889</v>
      </c>
      <c r="AD61" s="69">
        <f t="shared" si="16"/>
        <v>-1566.2142149458905</v>
      </c>
      <c r="AE61" s="69">
        <f t="shared" si="17"/>
        <v>-1566.2142149458905</v>
      </c>
      <c r="AF61" s="69">
        <f t="shared" si="18"/>
        <v>-7566.2142149458905</v>
      </c>
    </row>
    <row r="62" spans="1:32">
      <c r="A62" s="50" t="s">
        <v>160</v>
      </c>
      <c r="B62" s="50" t="s">
        <v>157</v>
      </c>
      <c r="C62" s="50" t="s">
        <v>94</v>
      </c>
      <c r="D62" s="50">
        <v>1</v>
      </c>
      <c r="E62" s="50">
        <v>1400</v>
      </c>
      <c r="F62" s="51">
        <v>0.90410000000000001</v>
      </c>
      <c r="G62" s="4">
        <f t="shared" si="0"/>
        <v>15188.880000000001</v>
      </c>
      <c r="H62" s="50">
        <v>244</v>
      </c>
      <c r="I62" s="51">
        <v>0.90410000000000001</v>
      </c>
      <c r="J62" s="50">
        <v>222</v>
      </c>
      <c r="K62" s="50">
        <v>381</v>
      </c>
      <c r="L62">
        <f t="shared" si="1"/>
        <v>159</v>
      </c>
      <c r="M62">
        <f t="shared" si="2"/>
        <v>22</v>
      </c>
      <c r="N62" s="52">
        <f t="shared" si="3"/>
        <v>0.21069182389937108</v>
      </c>
      <c r="O62" s="53">
        <f t="shared" si="4"/>
        <v>0.90410000000000001</v>
      </c>
      <c r="P62" s="54">
        <v>222</v>
      </c>
      <c r="Q62" s="55">
        <f t="shared" si="5"/>
        <v>0.1</v>
      </c>
      <c r="R62" s="55">
        <f t="shared" si="6"/>
        <v>0.77146000000000003</v>
      </c>
      <c r="S62" s="54">
        <f t="shared" si="7"/>
        <v>62511.4038</v>
      </c>
      <c r="T62" s="56">
        <f t="shared" si="19"/>
        <v>43757.982659999994</v>
      </c>
      <c r="U62" s="66">
        <f t="shared" si="8"/>
        <v>15188.880000000001</v>
      </c>
      <c r="V62" s="54">
        <f t="shared" si="9"/>
        <v>28569.102659999993</v>
      </c>
      <c r="X62" s="67">
        <f t="shared" si="10"/>
        <v>9386.0966666666664</v>
      </c>
      <c r="Y62" s="67">
        <f t="shared" si="11"/>
        <v>-42986.096666666665</v>
      </c>
      <c r="Z62" s="67">
        <f t="shared" si="12"/>
        <v>-18986.096666666665</v>
      </c>
      <c r="AA62" s="68">
        <f t="shared" si="13"/>
        <v>-18986.096666666665</v>
      </c>
      <c r="AB62" s="68">
        <f t="shared" si="14"/>
        <v>-24986.096666666665</v>
      </c>
      <c r="AC62" s="69">
        <f t="shared" si="15"/>
        <v>-14416.994006666671</v>
      </c>
      <c r="AD62" s="69">
        <f t="shared" si="16"/>
        <v>9583.0059933333287</v>
      </c>
      <c r="AE62" s="69">
        <f t="shared" si="17"/>
        <v>9583.0059933333287</v>
      </c>
      <c r="AF62" s="69">
        <f t="shared" si="18"/>
        <v>3583.0059933333287</v>
      </c>
    </row>
    <row r="63" spans="1:32">
      <c r="A63" s="50" t="s">
        <v>161</v>
      </c>
      <c r="B63" s="50" t="s">
        <v>157</v>
      </c>
      <c r="C63" s="50" t="s">
        <v>94</v>
      </c>
      <c r="D63" s="50">
        <v>2</v>
      </c>
      <c r="E63" s="50">
        <v>1900</v>
      </c>
      <c r="F63" s="51">
        <v>0.54249999999999998</v>
      </c>
      <c r="G63" s="4">
        <f t="shared" si="0"/>
        <v>12369</v>
      </c>
      <c r="H63" s="50">
        <v>536</v>
      </c>
      <c r="I63" s="51">
        <v>0.54249999999999998</v>
      </c>
      <c r="J63" s="50">
        <v>386</v>
      </c>
      <c r="K63" s="50">
        <v>773</v>
      </c>
      <c r="L63">
        <f t="shared" si="1"/>
        <v>387</v>
      </c>
      <c r="M63">
        <f t="shared" si="2"/>
        <v>150</v>
      </c>
      <c r="N63" s="52">
        <f t="shared" si="3"/>
        <v>0.41007751937984493</v>
      </c>
      <c r="O63" s="53">
        <f t="shared" si="4"/>
        <v>0.54249999999999998</v>
      </c>
      <c r="P63" s="54">
        <v>428.71144246731217</v>
      </c>
      <c r="Q63" s="55">
        <f t="shared" si="5"/>
        <v>0.18829238752932748</v>
      </c>
      <c r="R63" s="55">
        <f t="shared" si="6"/>
        <v>0.7015854045092903</v>
      </c>
      <c r="S63" s="54">
        <f t="shared" si="7"/>
        <v>109783.85713513456</v>
      </c>
      <c r="T63" s="56">
        <f t="shared" si="19"/>
        <v>76848.699994594193</v>
      </c>
      <c r="U63" s="66">
        <f t="shared" si="8"/>
        <v>12369</v>
      </c>
      <c r="V63" s="54">
        <f t="shared" si="9"/>
        <v>64479.699994594193</v>
      </c>
      <c r="X63" s="67">
        <f t="shared" si="10"/>
        <v>8535.9557548630328</v>
      </c>
      <c r="Y63" s="67">
        <f t="shared" si="11"/>
        <v>-42135.955754863033</v>
      </c>
      <c r="Z63" s="67">
        <f t="shared" si="12"/>
        <v>-18135.955754863033</v>
      </c>
      <c r="AA63" s="68">
        <f t="shared" si="13"/>
        <v>-18135.955754863033</v>
      </c>
      <c r="AB63" s="68">
        <f t="shared" si="14"/>
        <v>-24135.955754863033</v>
      </c>
      <c r="AC63" s="69">
        <f t="shared" si="15"/>
        <v>22343.744239731161</v>
      </c>
      <c r="AD63" s="69">
        <f t="shared" si="16"/>
        <v>46343.744239731161</v>
      </c>
      <c r="AE63" s="69">
        <f t="shared" si="17"/>
        <v>46343.744239731161</v>
      </c>
      <c r="AF63" s="69">
        <f t="shared" si="18"/>
        <v>40343.744239731161</v>
      </c>
    </row>
    <row r="64" spans="1:32">
      <c r="A64" s="50" t="s">
        <v>162</v>
      </c>
      <c r="B64" s="50" t="s">
        <v>163</v>
      </c>
      <c r="C64" s="50" t="s">
        <v>85</v>
      </c>
      <c r="D64" s="50">
        <v>1</v>
      </c>
      <c r="E64" s="50">
        <v>1700</v>
      </c>
      <c r="F64" s="51">
        <v>7.9500000000000001E-2</v>
      </c>
      <c r="G64" s="4">
        <f t="shared" si="0"/>
        <v>1621.8</v>
      </c>
      <c r="H64" s="50">
        <v>476</v>
      </c>
      <c r="I64" s="51">
        <v>7.9500000000000001E-2</v>
      </c>
      <c r="J64" s="50">
        <v>136</v>
      </c>
      <c r="K64" s="50">
        <v>476</v>
      </c>
      <c r="L64">
        <f t="shared" si="1"/>
        <v>340</v>
      </c>
      <c r="M64">
        <f t="shared" si="2"/>
        <v>340</v>
      </c>
      <c r="N64" s="52">
        <f t="shared" si="3"/>
        <v>0.9</v>
      </c>
      <c r="O64" s="53">
        <f t="shared" si="4"/>
        <v>7.9500000000000001E-2</v>
      </c>
      <c r="P64" s="54">
        <v>275.0849882760632</v>
      </c>
      <c r="Q64" s="55">
        <f t="shared" si="5"/>
        <v>0.4272587959436781</v>
      </c>
      <c r="R64" s="55">
        <f t="shared" si="6"/>
        <v>0.51246738889017318</v>
      </c>
      <c r="S64" s="54">
        <f t="shared" si="7"/>
        <v>51454.811267622077</v>
      </c>
      <c r="T64" s="56">
        <f t="shared" si="19"/>
        <v>36018.367887335451</v>
      </c>
      <c r="U64" s="66">
        <f t="shared" si="8"/>
        <v>1621.8</v>
      </c>
      <c r="V64" s="54">
        <f t="shared" si="9"/>
        <v>34396.567887335448</v>
      </c>
      <c r="X64" s="67">
        <f t="shared" si="10"/>
        <v>6235.0198981637741</v>
      </c>
      <c r="Y64" s="67">
        <f t="shared" si="11"/>
        <v>-39835.019898163773</v>
      </c>
      <c r="Z64" s="67">
        <f t="shared" si="12"/>
        <v>-15835.019898163773</v>
      </c>
      <c r="AA64" s="68">
        <f t="shared" si="13"/>
        <v>-15835.019898163773</v>
      </c>
      <c r="AB64" s="68">
        <f t="shared" si="14"/>
        <v>-21835.019898163773</v>
      </c>
      <c r="AC64" s="69">
        <f t="shared" si="15"/>
        <v>-5438.452010828325</v>
      </c>
      <c r="AD64" s="69">
        <f t="shared" si="16"/>
        <v>18561.547989171675</v>
      </c>
      <c r="AE64" s="69">
        <f t="shared" si="17"/>
        <v>18561.547989171675</v>
      </c>
      <c r="AF64" s="69">
        <f t="shared" si="18"/>
        <v>12561.547989171675</v>
      </c>
    </row>
    <row r="65" spans="1:32">
      <c r="A65" s="50" t="s">
        <v>164</v>
      </c>
      <c r="B65" s="50" t="s">
        <v>163</v>
      </c>
      <c r="C65" s="50" t="s">
        <v>85</v>
      </c>
      <c r="D65" s="50">
        <v>2</v>
      </c>
      <c r="E65" s="50">
        <v>2400</v>
      </c>
      <c r="F65" s="51">
        <v>0.55069999999999997</v>
      </c>
      <c r="G65" s="4">
        <f t="shared" si="0"/>
        <v>15860.16</v>
      </c>
      <c r="H65" s="50">
        <v>360</v>
      </c>
      <c r="I65" s="51">
        <v>0.55069999999999997</v>
      </c>
      <c r="J65" s="50">
        <v>173</v>
      </c>
      <c r="K65" s="50">
        <v>690</v>
      </c>
      <c r="L65">
        <f t="shared" si="1"/>
        <v>517</v>
      </c>
      <c r="M65">
        <f t="shared" si="2"/>
        <v>187</v>
      </c>
      <c r="N65" s="52">
        <f t="shared" si="3"/>
        <v>0.38936170212765953</v>
      </c>
      <c r="O65" s="53">
        <f t="shared" si="4"/>
        <v>0.55069999999999997</v>
      </c>
      <c r="P65" s="54">
        <v>401.39099787860198</v>
      </c>
      <c r="Q65" s="55">
        <f t="shared" si="5"/>
        <v>0.45340966789725645</v>
      </c>
      <c r="R65" s="55">
        <f t="shared" si="6"/>
        <v>0.49177158882611127</v>
      </c>
      <c r="S65" s="54">
        <f t="shared" si="7"/>
        <v>72048.331400049312</v>
      </c>
      <c r="T65" s="56">
        <f t="shared" si="19"/>
        <v>50433.831980034513</v>
      </c>
      <c r="U65" s="66">
        <f t="shared" si="8"/>
        <v>15860.16</v>
      </c>
      <c r="V65" s="54">
        <f t="shared" si="9"/>
        <v>34573.671980034516</v>
      </c>
      <c r="X65" s="67">
        <f t="shared" si="10"/>
        <v>5983.2209973843537</v>
      </c>
      <c r="Y65" s="67">
        <f t="shared" si="11"/>
        <v>-39583.220997384356</v>
      </c>
      <c r="Z65" s="67">
        <f t="shared" si="12"/>
        <v>-15583.220997384353</v>
      </c>
      <c r="AA65" s="68">
        <f t="shared" si="13"/>
        <v>-15583.220997384353</v>
      </c>
      <c r="AB65" s="68">
        <f t="shared" si="14"/>
        <v>-21583.220997384353</v>
      </c>
      <c r="AC65" s="69">
        <f t="shared" si="15"/>
        <v>-5009.5490173498401</v>
      </c>
      <c r="AD65" s="69">
        <f t="shared" si="16"/>
        <v>18990.450982650163</v>
      </c>
      <c r="AE65" s="69">
        <f t="shared" si="17"/>
        <v>18990.450982650163</v>
      </c>
      <c r="AF65" s="69">
        <f t="shared" si="18"/>
        <v>12990.450982650163</v>
      </c>
    </row>
    <row r="66" spans="1:32">
      <c r="A66" s="50" t="s">
        <v>165</v>
      </c>
      <c r="B66" s="50" t="s">
        <v>163</v>
      </c>
      <c r="C66" s="50" t="s">
        <v>94</v>
      </c>
      <c r="D66" s="50">
        <v>1</v>
      </c>
      <c r="E66" s="50">
        <v>2100</v>
      </c>
      <c r="F66" s="51">
        <v>0.69320000000000004</v>
      </c>
      <c r="G66" s="4">
        <f t="shared" si="0"/>
        <v>17468.64</v>
      </c>
      <c r="H66" s="50">
        <v>1477</v>
      </c>
      <c r="I66" s="51">
        <v>0.69320000000000004</v>
      </c>
      <c r="J66" s="50">
        <v>448</v>
      </c>
      <c r="K66" s="50">
        <v>2128</v>
      </c>
      <c r="L66">
        <f t="shared" si="1"/>
        <v>1680</v>
      </c>
      <c r="M66">
        <f t="shared" si="2"/>
        <v>1029</v>
      </c>
      <c r="N66" s="52">
        <f t="shared" si="3"/>
        <v>0.59000000000000008</v>
      </c>
      <c r="O66" s="53">
        <f t="shared" si="4"/>
        <v>0.69320000000000004</v>
      </c>
      <c r="P66" s="54">
        <v>1247.2434714817236</v>
      </c>
      <c r="Q66" s="55">
        <f t="shared" si="5"/>
        <v>0.48059212927701134</v>
      </c>
      <c r="R66" s="55">
        <f t="shared" si="6"/>
        <v>0.47025938889017327</v>
      </c>
      <c r="S66" s="54">
        <f t="shared" si="7"/>
        <v>214082.70273413256</v>
      </c>
      <c r="T66" s="56">
        <f t="shared" si="19"/>
        <v>149857.89191389279</v>
      </c>
      <c r="U66" s="66">
        <f t="shared" si="8"/>
        <v>17468.64</v>
      </c>
      <c r="V66" s="54">
        <f t="shared" si="9"/>
        <v>132389.2519138928</v>
      </c>
      <c r="X66" s="67">
        <f t="shared" si="10"/>
        <v>5721.4892314971084</v>
      </c>
      <c r="Y66" s="67">
        <f t="shared" si="11"/>
        <v>-39321.489231497108</v>
      </c>
      <c r="Z66" s="67">
        <f t="shared" si="12"/>
        <v>-15321.489231497108</v>
      </c>
      <c r="AA66" s="68">
        <f t="shared" si="13"/>
        <v>-15321.489231497108</v>
      </c>
      <c r="AB66" s="68">
        <f t="shared" si="14"/>
        <v>-21321.489231497108</v>
      </c>
      <c r="AC66" s="69">
        <f t="shared" si="15"/>
        <v>93067.762682395696</v>
      </c>
      <c r="AD66" s="69">
        <f t="shared" si="16"/>
        <v>117067.7626823957</v>
      </c>
      <c r="AE66" s="69">
        <f t="shared" si="17"/>
        <v>117067.7626823957</v>
      </c>
      <c r="AF66" s="69">
        <f t="shared" si="18"/>
        <v>111067.7626823957</v>
      </c>
    </row>
    <row r="67" spans="1:32">
      <c r="A67" s="50" t="s">
        <v>166</v>
      </c>
      <c r="B67" s="50" t="s">
        <v>163</v>
      </c>
      <c r="C67" s="50" t="s">
        <v>94</v>
      </c>
      <c r="D67" s="50">
        <v>2</v>
      </c>
      <c r="E67" s="50">
        <v>3200</v>
      </c>
      <c r="F67" s="51">
        <v>0.71509999999999996</v>
      </c>
      <c r="G67" s="4">
        <f t="shared" si="0"/>
        <v>27459.84</v>
      </c>
      <c r="H67" s="50">
        <v>1265</v>
      </c>
      <c r="I67" s="51">
        <v>0.71509999999999996</v>
      </c>
      <c r="J67" s="50">
        <v>450</v>
      </c>
      <c r="K67" s="50">
        <v>2699</v>
      </c>
      <c r="L67">
        <f t="shared" si="1"/>
        <v>2249</v>
      </c>
      <c r="M67">
        <f t="shared" si="2"/>
        <v>815</v>
      </c>
      <c r="N67" s="52">
        <f t="shared" si="3"/>
        <v>0.38990662516674079</v>
      </c>
      <c r="O67" s="53">
        <f t="shared" si="4"/>
        <v>0.71509999999999996</v>
      </c>
      <c r="P67" s="54">
        <v>1594.8062910966651</v>
      </c>
      <c r="Q67" s="55">
        <f t="shared" si="5"/>
        <v>0.50722322493434069</v>
      </c>
      <c r="R67" s="55">
        <f t="shared" si="6"/>
        <v>0.44918353978696279</v>
      </c>
      <c r="S67" s="54">
        <f t="shared" si="7"/>
        <v>261471.66831490086</v>
      </c>
      <c r="T67" s="56">
        <f t="shared" si="19"/>
        <v>183030.16782043059</v>
      </c>
      <c r="U67" s="66">
        <f t="shared" si="8"/>
        <v>27459.84</v>
      </c>
      <c r="V67" s="54">
        <f t="shared" si="9"/>
        <v>155570.3278204306</v>
      </c>
      <c r="X67" s="67">
        <f t="shared" si="10"/>
        <v>5465.0664007413807</v>
      </c>
      <c r="Y67" s="67">
        <f t="shared" si="11"/>
        <v>-39065.06640074138</v>
      </c>
      <c r="Z67" s="67">
        <f t="shared" si="12"/>
        <v>-15065.06640074138</v>
      </c>
      <c r="AA67" s="68">
        <f t="shared" si="13"/>
        <v>-15065.06640074138</v>
      </c>
      <c r="AB67" s="68">
        <f t="shared" si="14"/>
        <v>-21065.06640074138</v>
      </c>
      <c r="AC67" s="69">
        <f t="shared" si="15"/>
        <v>116505.26141968922</v>
      </c>
      <c r="AD67" s="69">
        <f t="shared" si="16"/>
        <v>140505.26141968922</v>
      </c>
      <c r="AE67" s="69">
        <f t="shared" si="17"/>
        <v>140505.26141968922</v>
      </c>
      <c r="AF67" s="69">
        <f t="shared" si="18"/>
        <v>134505.26141968922</v>
      </c>
    </row>
    <row r="68" spans="1:32">
      <c r="A68" s="50" t="s">
        <v>167</v>
      </c>
      <c r="B68" s="50" t="s">
        <v>168</v>
      </c>
      <c r="C68" s="50" t="s">
        <v>85</v>
      </c>
      <c r="D68" s="50">
        <v>1</v>
      </c>
      <c r="E68" s="50">
        <v>1300</v>
      </c>
      <c r="F68" s="51">
        <v>0.52049999999999996</v>
      </c>
      <c r="G68" s="4">
        <f t="shared" si="0"/>
        <v>8119.7999999999993</v>
      </c>
      <c r="H68" s="50">
        <v>328</v>
      </c>
      <c r="I68" s="51">
        <v>0.52049999999999996</v>
      </c>
      <c r="J68" s="50">
        <v>291</v>
      </c>
      <c r="K68" s="50">
        <v>387</v>
      </c>
      <c r="L68">
        <f t="shared" si="1"/>
        <v>96</v>
      </c>
      <c r="M68">
        <f t="shared" si="2"/>
        <v>37</v>
      </c>
      <c r="N68" s="52">
        <f t="shared" si="3"/>
        <v>0.40833333333333333</v>
      </c>
      <c r="O68" s="53">
        <f t="shared" si="4"/>
        <v>0.52049999999999996</v>
      </c>
      <c r="P68" s="54">
        <v>291</v>
      </c>
      <c r="Q68" s="55">
        <f t="shared" si="5"/>
        <v>0.1</v>
      </c>
      <c r="R68" s="55">
        <f t="shared" si="6"/>
        <v>0.77146000000000003</v>
      </c>
      <c r="S68" s="54">
        <f t="shared" si="7"/>
        <v>81940.623900000006</v>
      </c>
      <c r="T68" s="56">
        <f t="shared" si="19"/>
        <v>57358.436730000001</v>
      </c>
      <c r="U68" s="66">
        <f t="shared" si="8"/>
        <v>8119.7999999999993</v>
      </c>
      <c r="V68" s="54">
        <f t="shared" si="9"/>
        <v>49238.636729999998</v>
      </c>
      <c r="X68" s="67">
        <f t="shared" si="10"/>
        <v>9386.0966666666664</v>
      </c>
      <c r="Y68" s="67">
        <f t="shared" si="11"/>
        <v>-42986.096666666665</v>
      </c>
      <c r="Z68" s="67">
        <f t="shared" si="12"/>
        <v>-18986.096666666665</v>
      </c>
      <c r="AA68" s="68">
        <f t="shared" si="13"/>
        <v>-18986.096666666665</v>
      </c>
      <c r="AB68" s="68">
        <f t="shared" si="14"/>
        <v>-24986.096666666665</v>
      </c>
      <c r="AC68" s="69">
        <f t="shared" si="15"/>
        <v>6252.5400633333338</v>
      </c>
      <c r="AD68" s="69">
        <f t="shared" si="16"/>
        <v>30252.540063333334</v>
      </c>
      <c r="AE68" s="69">
        <f t="shared" si="17"/>
        <v>30252.540063333334</v>
      </c>
      <c r="AF68" s="69">
        <f t="shared" si="18"/>
        <v>24252.540063333334</v>
      </c>
    </row>
    <row r="69" spans="1:32">
      <c r="A69" s="50" t="s">
        <v>169</v>
      </c>
      <c r="B69" s="50" t="s">
        <v>168</v>
      </c>
      <c r="C69" s="50" t="s">
        <v>85</v>
      </c>
      <c r="D69" s="50">
        <v>2</v>
      </c>
      <c r="E69" s="50">
        <v>1700</v>
      </c>
      <c r="F69" s="51">
        <v>0.15890000000000001</v>
      </c>
      <c r="G69" s="4">
        <f t="shared" ref="G69:G132" si="20">(E69*12)*F69</f>
        <v>3241.5600000000004</v>
      </c>
      <c r="H69" s="50">
        <v>246</v>
      </c>
      <c r="I69" s="51">
        <v>0.15890000000000001</v>
      </c>
      <c r="J69" s="50">
        <v>203</v>
      </c>
      <c r="K69" s="50">
        <v>318</v>
      </c>
      <c r="L69">
        <f t="shared" ref="L69:L132" si="21">K69-J69</f>
        <v>115</v>
      </c>
      <c r="M69">
        <f t="shared" ref="M69:M132" si="22">H69-J69</f>
        <v>43</v>
      </c>
      <c r="N69" s="52">
        <f t="shared" ref="N69:N132" si="23">((0.8*M69))/(L69)+0.1</f>
        <v>0.39913043478260868</v>
      </c>
      <c r="O69" s="53">
        <f t="shared" ref="O69:O132" si="24">I69</f>
        <v>0.15890000000000001</v>
      </c>
      <c r="P69" s="54">
        <v>203</v>
      </c>
      <c r="Q69" s="55">
        <f t="shared" ref="Q69:Q132" si="25">0.1+0.8*(P69-J69)/(K69-J69)</f>
        <v>0.1</v>
      </c>
      <c r="R69" s="55">
        <f t="shared" ref="R69:R132" si="26">($Q$2*Q69)+$R$2</f>
        <v>0.77146000000000003</v>
      </c>
      <c r="S69" s="54">
        <f t="shared" ref="S69:S132" si="27">365*P69*R69</f>
        <v>57161.328700000005</v>
      </c>
      <c r="T69" s="56">
        <f t="shared" si="19"/>
        <v>40012.930090000002</v>
      </c>
      <c r="U69" s="66">
        <f t="shared" ref="U69:U132" si="28">E69*12*F69</f>
        <v>3241.5600000000004</v>
      </c>
      <c r="V69" s="54">
        <f t="shared" ref="V69:V132" si="29">T69-U69</f>
        <v>36771.370090000004</v>
      </c>
      <c r="X69" s="67">
        <f t="shared" ref="X69:X132" si="30">(R69)*(365/$W$23)*($W$21)</f>
        <v>9386.0966666666664</v>
      </c>
      <c r="Y69" s="67">
        <f t="shared" ref="Y69:Y132" si="31">-($W$7)-$W$13-(X69)</f>
        <v>-42986.096666666665</v>
      </c>
      <c r="Z69" s="67">
        <f t="shared" ref="Z69:Z132" si="32">-($W$13)-X69-$W$18</f>
        <v>-18986.096666666665</v>
      </c>
      <c r="AA69" s="68">
        <f t="shared" ref="AA69:AA132" si="33">-(($W$7)/($W$9))-$W$13-X69</f>
        <v>-18986.096666666665</v>
      </c>
      <c r="AB69" s="68">
        <f t="shared" ref="AB69:AB132" si="34">-(($W$7)/($W$9))-($W$13)-X69-$W$18</f>
        <v>-24986.096666666665</v>
      </c>
      <c r="AC69" s="69">
        <f t="shared" ref="AC69:AC132" si="35">(V69)+Y69</f>
        <v>-6214.7265766666605</v>
      </c>
      <c r="AD69" s="69">
        <f t="shared" ref="AD69:AD132" si="36">(V69)+(Z69)</f>
        <v>17785.273423333339</v>
      </c>
      <c r="AE69" s="69">
        <f t="shared" ref="AE69:AE132" si="37">(V69)+(AA69)</f>
        <v>17785.273423333339</v>
      </c>
      <c r="AF69" s="69">
        <f t="shared" ref="AF69:AF132" si="38">(V69)+(AB69)</f>
        <v>11785.273423333339</v>
      </c>
    </row>
    <row r="70" spans="1:32">
      <c r="A70" s="50" t="s">
        <v>170</v>
      </c>
      <c r="B70" s="50" t="s">
        <v>168</v>
      </c>
      <c r="C70" s="50" t="s">
        <v>94</v>
      </c>
      <c r="D70" s="50">
        <v>1</v>
      </c>
      <c r="E70" s="50">
        <v>1400</v>
      </c>
      <c r="F70" s="51">
        <v>0.54520000000000002</v>
      </c>
      <c r="G70" s="4">
        <f t="shared" si="20"/>
        <v>9159.36</v>
      </c>
      <c r="H70" s="50">
        <v>325</v>
      </c>
      <c r="I70" s="51">
        <v>0.54520000000000002</v>
      </c>
      <c r="J70" s="50">
        <v>287</v>
      </c>
      <c r="K70" s="50">
        <v>395</v>
      </c>
      <c r="L70">
        <f t="shared" si="21"/>
        <v>108</v>
      </c>
      <c r="M70">
        <f t="shared" si="22"/>
        <v>38</v>
      </c>
      <c r="N70" s="52">
        <f t="shared" si="23"/>
        <v>0.38148148148148153</v>
      </c>
      <c r="O70" s="53">
        <f t="shared" si="24"/>
        <v>0.54520000000000002</v>
      </c>
      <c r="P70" s="54">
        <v>287</v>
      </c>
      <c r="Q70" s="55">
        <f t="shared" si="25"/>
        <v>0.1</v>
      </c>
      <c r="R70" s="55">
        <f t="shared" si="26"/>
        <v>0.77146000000000003</v>
      </c>
      <c r="S70" s="54">
        <f t="shared" si="27"/>
        <v>80814.292300000001</v>
      </c>
      <c r="T70" s="56">
        <f t="shared" si="19"/>
        <v>56570.004609999996</v>
      </c>
      <c r="U70" s="66">
        <f t="shared" si="28"/>
        <v>9159.36</v>
      </c>
      <c r="V70" s="54">
        <f t="shared" si="29"/>
        <v>47410.644609999996</v>
      </c>
      <c r="X70" s="67">
        <f t="shared" si="30"/>
        <v>9386.0966666666664</v>
      </c>
      <c r="Y70" s="67">
        <f t="shared" si="31"/>
        <v>-42986.096666666665</v>
      </c>
      <c r="Z70" s="67">
        <f t="shared" si="32"/>
        <v>-18986.096666666665</v>
      </c>
      <c r="AA70" s="68">
        <f t="shared" si="33"/>
        <v>-18986.096666666665</v>
      </c>
      <c r="AB70" s="68">
        <f t="shared" si="34"/>
        <v>-24986.096666666665</v>
      </c>
      <c r="AC70" s="69">
        <f t="shared" si="35"/>
        <v>4424.5479433333312</v>
      </c>
      <c r="AD70" s="69">
        <f t="shared" si="36"/>
        <v>28424.547943333331</v>
      </c>
      <c r="AE70" s="69">
        <f t="shared" si="37"/>
        <v>28424.547943333331</v>
      </c>
      <c r="AF70" s="69">
        <f t="shared" si="38"/>
        <v>22424.547943333331</v>
      </c>
    </row>
    <row r="71" spans="1:32">
      <c r="A71" s="50" t="s">
        <v>171</v>
      </c>
      <c r="B71" s="50" t="s">
        <v>131</v>
      </c>
      <c r="C71" s="50" t="s">
        <v>85</v>
      </c>
      <c r="D71" s="50">
        <v>1</v>
      </c>
      <c r="E71" s="50">
        <v>750</v>
      </c>
      <c r="F71" s="51">
        <v>0.47949999999999998</v>
      </c>
      <c r="G71" s="4">
        <f t="shared" si="20"/>
        <v>4315.5</v>
      </c>
      <c r="H71" s="50">
        <v>94</v>
      </c>
      <c r="I71" s="51">
        <v>0.47949999999999998</v>
      </c>
      <c r="J71" s="50">
        <v>51</v>
      </c>
      <c r="K71" s="50">
        <v>179</v>
      </c>
      <c r="L71">
        <f t="shared" si="21"/>
        <v>128</v>
      </c>
      <c r="M71">
        <f t="shared" si="22"/>
        <v>43</v>
      </c>
      <c r="N71" s="52">
        <f t="shared" si="23"/>
        <v>0.36875000000000002</v>
      </c>
      <c r="O71" s="53">
        <f t="shared" si="24"/>
        <v>0.47949999999999998</v>
      </c>
      <c r="P71" s="54">
        <v>103.46140735098844</v>
      </c>
      <c r="Q71" s="55">
        <f t="shared" si="25"/>
        <v>0.42788379594367776</v>
      </c>
      <c r="R71" s="55">
        <f t="shared" si="26"/>
        <v>0.51197276389017343</v>
      </c>
      <c r="S71" s="54">
        <f t="shared" si="27"/>
        <v>19333.839277270221</v>
      </c>
      <c r="T71" s="56">
        <f t="shared" si="19"/>
        <v>13533.687494089154</v>
      </c>
      <c r="U71" s="66">
        <f t="shared" si="28"/>
        <v>4315.5</v>
      </c>
      <c r="V71" s="54">
        <f t="shared" si="29"/>
        <v>9218.1874940891539</v>
      </c>
      <c r="X71" s="67">
        <f t="shared" si="30"/>
        <v>6229.001960663777</v>
      </c>
      <c r="Y71" s="67">
        <f t="shared" si="31"/>
        <v>-39829.00196066378</v>
      </c>
      <c r="Z71" s="67">
        <f t="shared" si="32"/>
        <v>-15829.001960663776</v>
      </c>
      <c r="AA71" s="68">
        <f t="shared" si="33"/>
        <v>-15829.001960663776</v>
      </c>
      <c r="AB71" s="68">
        <f t="shared" si="34"/>
        <v>-21829.001960663776</v>
      </c>
      <c r="AC71" s="69">
        <f t="shared" si="35"/>
        <v>-30610.814466574626</v>
      </c>
      <c r="AD71" s="69">
        <f t="shared" si="36"/>
        <v>-6610.8144665746222</v>
      </c>
      <c r="AE71" s="69">
        <f t="shared" si="37"/>
        <v>-6610.8144665746222</v>
      </c>
      <c r="AF71" s="69">
        <f t="shared" si="38"/>
        <v>-12610.814466574622</v>
      </c>
    </row>
    <row r="72" spans="1:32">
      <c r="A72" s="50" t="s">
        <v>172</v>
      </c>
      <c r="B72" s="50" t="s">
        <v>168</v>
      </c>
      <c r="C72" s="50" t="s">
        <v>94</v>
      </c>
      <c r="D72" s="50">
        <v>2</v>
      </c>
      <c r="E72" s="50">
        <v>1900</v>
      </c>
      <c r="F72" s="51">
        <v>0.58630000000000004</v>
      </c>
      <c r="G72" s="4">
        <f t="shared" si="20"/>
        <v>13367.640000000001</v>
      </c>
      <c r="H72" s="50">
        <v>428</v>
      </c>
      <c r="I72" s="51">
        <v>0.58630000000000004</v>
      </c>
      <c r="J72" s="50">
        <v>376</v>
      </c>
      <c r="K72" s="50">
        <v>502</v>
      </c>
      <c r="L72">
        <f t="shared" si="21"/>
        <v>126</v>
      </c>
      <c r="M72">
        <f t="shared" si="22"/>
        <v>52</v>
      </c>
      <c r="N72" s="52">
        <f t="shared" si="23"/>
        <v>0.43015873015873018</v>
      </c>
      <c r="O72" s="53">
        <f t="shared" si="24"/>
        <v>0.58630000000000004</v>
      </c>
      <c r="P72" s="54">
        <v>376</v>
      </c>
      <c r="Q72" s="55">
        <f t="shared" si="25"/>
        <v>0.1</v>
      </c>
      <c r="R72" s="55">
        <f t="shared" si="26"/>
        <v>0.77146000000000003</v>
      </c>
      <c r="S72" s="54">
        <f t="shared" si="27"/>
        <v>105875.1704</v>
      </c>
      <c r="T72" s="56">
        <f t="shared" si="19"/>
        <v>74112.619279999999</v>
      </c>
      <c r="U72" s="66">
        <f t="shared" si="28"/>
        <v>13367.640000000001</v>
      </c>
      <c r="V72" s="54">
        <f t="shared" si="29"/>
        <v>60744.97928</v>
      </c>
      <c r="X72" s="67">
        <f t="shared" si="30"/>
        <v>9386.0966666666664</v>
      </c>
      <c r="Y72" s="67">
        <f t="shared" si="31"/>
        <v>-42986.096666666665</v>
      </c>
      <c r="Z72" s="67">
        <f t="shared" si="32"/>
        <v>-18986.096666666665</v>
      </c>
      <c r="AA72" s="68">
        <f t="shared" si="33"/>
        <v>-18986.096666666665</v>
      </c>
      <c r="AB72" s="68">
        <f t="shared" si="34"/>
        <v>-24986.096666666665</v>
      </c>
      <c r="AC72" s="69">
        <f t="shared" si="35"/>
        <v>17758.882613333335</v>
      </c>
      <c r="AD72" s="69">
        <f t="shared" si="36"/>
        <v>41758.882613333335</v>
      </c>
      <c r="AE72" s="69">
        <f t="shared" si="37"/>
        <v>41758.882613333335</v>
      </c>
      <c r="AF72" s="69">
        <f t="shared" si="38"/>
        <v>35758.882613333335</v>
      </c>
    </row>
    <row r="73" spans="1:32">
      <c r="A73" s="50" t="s">
        <v>173</v>
      </c>
      <c r="B73" s="50" t="s">
        <v>174</v>
      </c>
      <c r="C73" s="50" t="s">
        <v>85</v>
      </c>
      <c r="D73" s="50">
        <v>1</v>
      </c>
      <c r="E73" s="50">
        <v>1600</v>
      </c>
      <c r="F73" s="51">
        <v>0.67949999999999999</v>
      </c>
      <c r="G73" s="4">
        <f t="shared" si="20"/>
        <v>13046.4</v>
      </c>
      <c r="H73" s="50">
        <v>188</v>
      </c>
      <c r="I73" s="51">
        <v>0.67949999999999999</v>
      </c>
      <c r="J73" s="50">
        <v>126</v>
      </c>
      <c r="K73" s="50">
        <v>352</v>
      </c>
      <c r="L73">
        <f t="shared" si="21"/>
        <v>226</v>
      </c>
      <c r="M73">
        <f t="shared" si="22"/>
        <v>62</v>
      </c>
      <c r="N73" s="52">
        <f t="shared" si="23"/>
        <v>0.3194690265486726</v>
      </c>
      <c r="O73" s="53">
        <f t="shared" si="24"/>
        <v>0.67949999999999999</v>
      </c>
      <c r="P73" s="54">
        <v>200.65060985408903</v>
      </c>
      <c r="Q73" s="55">
        <f t="shared" si="25"/>
        <v>0.36424994638615582</v>
      </c>
      <c r="R73" s="55">
        <f t="shared" si="26"/>
        <v>0.56233259242999634</v>
      </c>
      <c r="S73" s="54">
        <f t="shared" si="27"/>
        <v>41183.817828347019</v>
      </c>
      <c r="T73" s="56">
        <f t="shared" ref="T73:T136" si="39">S73*(1-$T$1)</f>
        <v>28828.67247984291</v>
      </c>
      <c r="U73" s="66">
        <f t="shared" si="28"/>
        <v>13046.4</v>
      </c>
      <c r="V73" s="54">
        <f t="shared" si="29"/>
        <v>15782.27247984291</v>
      </c>
      <c r="X73" s="67">
        <f t="shared" si="30"/>
        <v>6841.7132078982886</v>
      </c>
      <c r="Y73" s="67">
        <f t="shared" si="31"/>
        <v>-40441.71320789829</v>
      </c>
      <c r="Z73" s="67">
        <f t="shared" si="32"/>
        <v>-16441.71320789829</v>
      </c>
      <c r="AA73" s="68">
        <f t="shared" si="33"/>
        <v>-16441.71320789829</v>
      </c>
      <c r="AB73" s="68">
        <f t="shared" si="34"/>
        <v>-22441.71320789829</v>
      </c>
      <c r="AC73" s="69">
        <f t="shared" si="35"/>
        <v>-24659.440728055379</v>
      </c>
      <c r="AD73" s="69">
        <f t="shared" si="36"/>
        <v>-659.44072805538053</v>
      </c>
      <c r="AE73" s="69">
        <f t="shared" si="37"/>
        <v>-659.44072805538053</v>
      </c>
      <c r="AF73" s="69">
        <f t="shared" si="38"/>
        <v>-6659.4407280553805</v>
      </c>
    </row>
    <row r="74" spans="1:32">
      <c r="A74" s="50" t="s">
        <v>175</v>
      </c>
      <c r="B74" s="50" t="s">
        <v>174</v>
      </c>
      <c r="C74" s="50" t="s">
        <v>85</v>
      </c>
      <c r="D74" s="50">
        <v>2</v>
      </c>
      <c r="E74" s="50">
        <v>2200</v>
      </c>
      <c r="F74" s="51">
        <v>0.57809999999999995</v>
      </c>
      <c r="G74" s="4">
        <f t="shared" si="20"/>
        <v>15261.839999999998</v>
      </c>
      <c r="H74" s="50">
        <v>274</v>
      </c>
      <c r="I74" s="51">
        <v>0.57809999999999995</v>
      </c>
      <c r="J74" s="50">
        <v>119</v>
      </c>
      <c r="K74" s="50">
        <v>505</v>
      </c>
      <c r="L74">
        <f t="shared" si="21"/>
        <v>386</v>
      </c>
      <c r="M74">
        <f t="shared" si="22"/>
        <v>155</v>
      </c>
      <c r="N74" s="52">
        <f t="shared" si="23"/>
        <v>0.42124352331606219</v>
      </c>
      <c r="O74" s="53">
        <f t="shared" si="24"/>
        <v>0.57809999999999995</v>
      </c>
      <c r="P74" s="54">
        <v>294.60236904282459</v>
      </c>
      <c r="Q74" s="55">
        <f t="shared" si="25"/>
        <v>0.46394273376751205</v>
      </c>
      <c r="R74" s="55">
        <f t="shared" si="26"/>
        <v>0.483435720496391</v>
      </c>
      <c r="S74" s="54">
        <f t="shared" si="27"/>
        <v>51983.777616428975</v>
      </c>
      <c r="T74" s="56">
        <f t="shared" si="39"/>
        <v>36388.644331500283</v>
      </c>
      <c r="U74" s="66">
        <f t="shared" si="28"/>
        <v>15261.839999999998</v>
      </c>
      <c r="V74" s="54">
        <f t="shared" si="29"/>
        <v>21126.804331500287</v>
      </c>
      <c r="X74" s="67">
        <f t="shared" si="30"/>
        <v>5881.8012660394243</v>
      </c>
      <c r="Y74" s="67">
        <f t="shared" si="31"/>
        <v>-39481.801266039423</v>
      </c>
      <c r="Z74" s="67">
        <f t="shared" si="32"/>
        <v>-15481.801266039423</v>
      </c>
      <c r="AA74" s="68">
        <f t="shared" si="33"/>
        <v>-15481.801266039423</v>
      </c>
      <c r="AB74" s="68">
        <f t="shared" si="34"/>
        <v>-21481.801266039423</v>
      </c>
      <c r="AC74" s="69">
        <f t="shared" si="35"/>
        <v>-18354.996934539136</v>
      </c>
      <c r="AD74" s="69">
        <f t="shared" si="36"/>
        <v>5645.0030654608636</v>
      </c>
      <c r="AE74" s="69">
        <f t="shared" si="37"/>
        <v>5645.0030654608636</v>
      </c>
      <c r="AF74" s="69">
        <f t="shared" si="38"/>
        <v>-354.99693453913642</v>
      </c>
    </row>
    <row r="75" spans="1:32">
      <c r="A75" s="50" t="s">
        <v>176</v>
      </c>
      <c r="B75" s="50" t="s">
        <v>174</v>
      </c>
      <c r="C75" s="50" t="s">
        <v>94</v>
      </c>
      <c r="D75" s="50">
        <v>1</v>
      </c>
      <c r="E75" s="50">
        <v>1500</v>
      </c>
      <c r="F75" s="51">
        <v>0.41099999999999998</v>
      </c>
      <c r="G75" s="4">
        <f t="shared" si="20"/>
        <v>7398</v>
      </c>
      <c r="H75" s="50">
        <v>860</v>
      </c>
      <c r="I75" s="51">
        <v>0.41099999999999998</v>
      </c>
      <c r="J75" s="50">
        <v>486</v>
      </c>
      <c r="K75" s="50">
        <v>1215</v>
      </c>
      <c r="L75">
        <f t="shared" si="21"/>
        <v>729</v>
      </c>
      <c r="M75">
        <f t="shared" si="22"/>
        <v>374</v>
      </c>
      <c r="N75" s="52">
        <f t="shared" si="23"/>
        <v>0.51042524005486967</v>
      </c>
      <c r="O75" s="53">
        <f t="shared" si="24"/>
        <v>0.41099999999999998</v>
      </c>
      <c r="P75" s="54">
        <v>687.01457799558727</v>
      </c>
      <c r="Q75" s="55">
        <f t="shared" si="25"/>
        <v>0.32059212948761295</v>
      </c>
      <c r="R75" s="55">
        <f t="shared" si="26"/>
        <v>0.59688338872350322</v>
      </c>
      <c r="S75" s="54">
        <f t="shared" si="27"/>
        <v>149674.6701370056</v>
      </c>
      <c r="T75" s="56">
        <f t="shared" si="39"/>
        <v>104772.26909590392</v>
      </c>
      <c r="U75" s="66">
        <f t="shared" si="28"/>
        <v>7398</v>
      </c>
      <c r="V75" s="54">
        <f t="shared" si="29"/>
        <v>97374.269095903917</v>
      </c>
      <c r="X75" s="67">
        <f t="shared" si="30"/>
        <v>7262.0812294692896</v>
      </c>
      <c r="Y75" s="67">
        <f t="shared" si="31"/>
        <v>-40862.081229469288</v>
      </c>
      <c r="Z75" s="67">
        <f t="shared" si="32"/>
        <v>-16862.081229469288</v>
      </c>
      <c r="AA75" s="68">
        <f t="shared" si="33"/>
        <v>-16862.081229469288</v>
      </c>
      <c r="AB75" s="68">
        <f t="shared" si="34"/>
        <v>-22862.081229469288</v>
      </c>
      <c r="AC75" s="69">
        <f t="shared" si="35"/>
        <v>56512.18786643463</v>
      </c>
      <c r="AD75" s="69">
        <f t="shared" si="36"/>
        <v>80512.18786643463</v>
      </c>
      <c r="AE75" s="69">
        <f t="shared" si="37"/>
        <v>80512.18786643463</v>
      </c>
      <c r="AF75" s="69">
        <f t="shared" si="38"/>
        <v>74512.18786643463</v>
      </c>
    </row>
    <row r="76" spans="1:32">
      <c r="A76" s="50" t="s">
        <v>177</v>
      </c>
      <c r="B76" s="50" t="s">
        <v>174</v>
      </c>
      <c r="C76" s="50" t="s">
        <v>94</v>
      </c>
      <c r="D76" s="50">
        <v>2</v>
      </c>
      <c r="E76" s="50">
        <v>2400</v>
      </c>
      <c r="F76" s="51">
        <v>0.68220000000000003</v>
      </c>
      <c r="G76" s="4">
        <f t="shared" si="20"/>
        <v>19647.36</v>
      </c>
      <c r="H76" s="50">
        <v>729</v>
      </c>
      <c r="I76" s="51">
        <v>0.68220000000000003</v>
      </c>
      <c r="J76" s="50">
        <v>516</v>
      </c>
      <c r="K76" s="50">
        <v>1650</v>
      </c>
      <c r="L76">
        <f t="shared" si="21"/>
        <v>1134</v>
      </c>
      <c r="M76">
        <f t="shared" si="22"/>
        <v>213</v>
      </c>
      <c r="N76" s="52">
        <f t="shared" si="23"/>
        <v>0.2502645502645503</v>
      </c>
      <c r="O76" s="53">
        <f t="shared" si="24"/>
        <v>0.68220000000000003</v>
      </c>
      <c r="P76" s="54">
        <v>948.68934325016335</v>
      </c>
      <c r="Q76" s="55">
        <f t="shared" si="25"/>
        <v>0.40524821393309585</v>
      </c>
      <c r="R76" s="55">
        <f t="shared" si="26"/>
        <v>0.52988656349334795</v>
      </c>
      <c r="S76" s="54">
        <f t="shared" si="27"/>
        <v>183484.67360992043</v>
      </c>
      <c r="T76" s="56">
        <f t="shared" si="39"/>
        <v>128439.27152694429</v>
      </c>
      <c r="U76" s="66">
        <f t="shared" si="28"/>
        <v>19647.36</v>
      </c>
      <c r="V76" s="54">
        <f t="shared" si="29"/>
        <v>108791.91152694428</v>
      </c>
      <c r="X76" s="67">
        <f t="shared" si="30"/>
        <v>6446.9531891690667</v>
      </c>
      <c r="Y76" s="67">
        <f t="shared" si="31"/>
        <v>-40046.953189169064</v>
      </c>
      <c r="Z76" s="67">
        <f t="shared" si="32"/>
        <v>-16046.953189169068</v>
      </c>
      <c r="AA76" s="68">
        <f t="shared" si="33"/>
        <v>-16046.953189169068</v>
      </c>
      <c r="AB76" s="68">
        <f t="shared" si="34"/>
        <v>-22046.953189169068</v>
      </c>
      <c r="AC76" s="69">
        <f t="shared" si="35"/>
        <v>68744.958337775228</v>
      </c>
      <c r="AD76" s="69">
        <f t="shared" si="36"/>
        <v>92744.958337775213</v>
      </c>
      <c r="AE76" s="69">
        <f t="shared" si="37"/>
        <v>92744.958337775213</v>
      </c>
      <c r="AF76" s="69">
        <f t="shared" si="38"/>
        <v>86744.958337775213</v>
      </c>
    </row>
    <row r="77" spans="1:32">
      <c r="A77" s="50" t="s">
        <v>178</v>
      </c>
      <c r="B77" s="50" t="s">
        <v>179</v>
      </c>
      <c r="C77" s="50" t="s">
        <v>85</v>
      </c>
      <c r="D77" s="50">
        <v>1</v>
      </c>
      <c r="E77" s="50">
        <v>1600</v>
      </c>
      <c r="F77" s="51">
        <v>0.82469999999999999</v>
      </c>
      <c r="G77" s="4">
        <f t="shared" si="20"/>
        <v>15834.24</v>
      </c>
      <c r="H77" s="50">
        <v>174</v>
      </c>
      <c r="I77" s="51">
        <v>0.82469999999999999</v>
      </c>
      <c r="J77" s="50">
        <v>160</v>
      </c>
      <c r="K77" s="50">
        <v>321</v>
      </c>
      <c r="L77">
        <f t="shared" si="21"/>
        <v>161</v>
      </c>
      <c r="M77">
        <f t="shared" si="22"/>
        <v>14</v>
      </c>
      <c r="N77" s="52">
        <f t="shared" si="23"/>
        <v>0.16956521739130437</v>
      </c>
      <c r="O77" s="53">
        <f t="shared" si="24"/>
        <v>0.82469999999999999</v>
      </c>
      <c r="P77" s="54">
        <v>178.06083268464178</v>
      </c>
      <c r="Q77" s="55">
        <f t="shared" si="25"/>
        <v>0.18974326799822006</v>
      </c>
      <c r="R77" s="55">
        <f t="shared" si="26"/>
        <v>0.70043717770620861</v>
      </c>
      <c r="S77" s="54">
        <f t="shared" si="27"/>
        <v>45522.955893561484</v>
      </c>
      <c r="T77" s="56">
        <f t="shared" si="39"/>
        <v>31866.069125493035</v>
      </c>
      <c r="U77" s="66">
        <f t="shared" si="28"/>
        <v>15834.24</v>
      </c>
      <c r="V77" s="54">
        <f t="shared" si="29"/>
        <v>16031.829125493035</v>
      </c>
      <c r="X77" s="67">
        <f t="shared" si="30"/>
        <v>8521.9856620922037</v>
      </c>
      <c r="Y77" s="67">
        <f t="shared" si="31"/>
        <v>-42121.985662092207</v>
      </c>
      <c r="Z77" s="67">
        <f t="shared" si="32"/>
        <v>-18121.985662092204</v>
      </c>
      <c r="AA77" s="68">
        <f t="shared" si="33"/>
        <v>-18121.985662092204</v>
      </c>
      <c r="AB77" s="68">
        <f t="shared" si="34"/>
        <v>-24121.985662092204</v>
      </c>
      <c r="AC77" s="69">
        <f t="shared" si="35"/>
        <v>-26090.15653659917</v>
      </c>
      <c r="AD77" s="69">
        <f t="shared" si="36"/>
        <v>-2090.1565365991682</v>
      </c>
      <c r="AE77" s="69">
        <f t="shared" si="37"/>
        <v>-2090.1565365991682</v>
      </c>
      <c r="AF77" s="69">
        <f t="shared" si="38"/>
        <v>-8090.1565365991682</v>
      </c>
    </row>
    <row r="78" spans="1:32">
      <c r="A78" s="50" t="s">
        <v>180</v>
      </c>
      <c r="B78" s="50" t="s">
        <v>179</v>
      </c>
      <c r="C78" s="50" t="s">
        <v>85</v>
      </c>
      <c r="D78" s="50">
        <v>2</v>
      </c>
      <c r="E78" s="50">
        <v>1900</v>
      </c>
      <c r="F78" s="51">
        <v>0.21640000000000001</v>
      </c>
      <c r="G78" s="4">
        <f t="shared" si="20"/>
        <v>4933.92</v>
      </c>
      <c r="H78" s="50">
        <v>308</v>
      </c>
      <c r="I78" s="51">
        <v>0.21640000000000001</v>
      </c>
      <c r="J78" s="50">
        <v>168</v>
      </c>
      <c r="K78" s="50">
        <v>364</v>
      </c>
      <c r="L78">
        <f t="shared" si="21"/>
        <v>196</v>
      </c>
      <c r="M78">
        <f t="shared" si="22"/>
        <v>140</v>
      </c>
      <c r="N78" s="52">
        <f t="shared" si="23"/>
        <v>0.67142857142857137</v>
      </c>
      <c r="O78" s="53">
        <f t="shared" si="24"/>
        <v>0.21640000000000001</v>
      </c>
      <c r="P78" s="54">
        <v>203.37840500620115</v>
      </c>
      <c r="Q78" s="55">
        <f t="shared" si="25"/>
        <v>0.24440165308653533</v>
      </c>
      <c r="R78" s="55">
        <f t="shared" si="26"/>
        <v>0.65718053174731594</v>
      </c>
      <c r="S78" s="54">
        <f t="shared" si="27"/>
        <v>48784.559846982127</v>
      </c>
      <c r="T78" s="56">
        <f t="shared" si="39"/>
        <v>34149.191892887487</v>
      </c>
      <c r="U78" s="66">
        <f t="shared" si="28"/>
        <v>4933.92</v>
      </c>
      <c r="V78" s="54">
        <f t="shared" si="29"/>
        <v>29215.271892887489</v>
      </c>
      <c r="X78" s="67">
        <f t="shared" si="30"/>
        <v>7995.6964695923443</v>
      </c>
      <c r="Y78" s="67">
        <f t="shared" si="31"/>
        <v>-41595.696469592345</v>
      </c>
      <c r="Z78" s="67">
        <f t="shared" si="32"/>
        <v>-17595.696469592345</v>
      </c>
      <c r="AA78" s="68">
        <f t="shared" si="33"/>
        <v>-17595.696469592345</v>
      </c>
      <c r="AB78" s="68">
        <f t="shared" si="34"/>
        <v>-23595.696469592345</v>
      </c>
      <c r="AC78" s="69">
        <f t="shared" si="35"/>
        <v>-12380.424576704856</v>
      </c>
      <c r="AD78" s="69">
        <f t="shared" si="36"/>
        <v>11619.575423295144</v>
      </c>
      <c r="AE78" s="69">
        <f t="shared" si="37"/>
        <v>11619.575423295144</v>
      </c>
      <c r="AF78" s="69">
        <f t="shared" si="38"/>
        <v>5619.575423295144</v>
      </c>
    </row>
    <row r="79" spans="1:32">
      <c r="A79" s="50" t="s">
        <v>181</v>
      </c>
      <c r="B79" s="50" t="s">
        <v>179</v>
      </c>
      <c r="C79" s="50" t="s">
        <v>94</v>
      </c>
      <c r="D79" s="50">
        <v>1</v>
      </c>
      <c r="E79" s="50">
        <v>1400</v>
      </c>
      <c r="F79" s="51">
        <v>0.6</v>
      </c>
      <c r="G79" s="4">
        <f t="shared" si="20"/>
        <v>10080</v>
      </c>
      <c r="H79" s="50">
        <v>308</v>
      </c>
      <c r="I79" s="51">
        <v>0.6</v>
      </c>
      <c r="J79" s="50">
        <v>226</v>
      </c>
      <c r="K79" s="50">
        <v>368</v>
      </c>
      <c r="L79">
        <f t="shared" si="21"/>
        <v>142</v>
      </c>
      <c r="M79">
        <f t="shared" si="22"/>
        <v>82</v>
      </c>
      <c r="N79" s="52">
        <f t="shared" si="23"/>
        <v>0.56197183098591552</v>
      </c>
      <c r="O79" s="53">
        <f t="shared" si="24"/>
        <v>0.6</v>
      </c>
      <c r="P79" s="54">
        <v>226</v>
      </c>
      <c r="Q79" s="55">
        <f t="shared" si="25"/>
        <v>0.1</v>
      </c>
      <c r="R79" s="55">
        <f t="shared" si="26"/>
        <v>0.77146000000000003</v>
      </c>
      <c r="S79" s="54">
        <f t="shared" si="27"/>
        <v>63637.735400000005</v>
      </c>
      <c r="T79" s="56">
        <f t="shared" si="39"/>
        <v>44546.414779999999</v>
      </c>
      <c r="U79" s="66">
        <f t="shared" si="28"/>
        <v>10080</v>
      </c>
      <c r="V79" s="54">
        <f t="shared" si="29"/>
        <v>34466.414779999999</v>
      </c>
      <c r="X79" s="67">
        <f t="shared" si="30"/>
        <v>9386.0966666666664</v>
      </c>
      <c r="Y79" s="67">
        <f t="shared" si="31"/>
        <v>-42986.096666666665</v>
      </c>
      <c r="Z79" s="67">
        <f t="shared" si="32"/>
        <v>-18986.096666666665</v>
      </c>
      <c r="AA79" s="68">
        <f t="shared" si="33"/>
        <v>-18986.096666666665</v>
      </c>
      <c r="AB79" s="68">
        <f t="shared" si="34"/>
        <v>-24986.096666666665</v>
      </c>
      <c r="AC79" s="69">
        <f t="shared" si="35"/>
        <v>-8519.6818866666654</v>
      </c>
      <c r="AD79" s="69">
        <f t="shared" si="36"/>
        <v>15480.318113333335</v>
      </c>
      <c r="AE79" s="69">
        <f t="shared" si="37"/>
        <v>15480.318113333335</v>
      </c>
      <c r="AF79" s="69">
        <f t="shared" si="38"/>
        <v>9480.3181133333346</v>
      </c>
    </row>
    <row r="80" spans="1:32">
      <c r="A80" s="50" t="s">
        <v>182</v>
      </c>
      <c r="B80" s="50" t="s">
        <v>179</v>
      </c>
      <c r="C80" s="50" t="s">
        <v>94</v>
      </c>
      <c r="D80" s="50">
        <v>2</v>
      </c>
      <c r="E80" s="50">
        <v>2000</v>
      </c>
      <c r="F80" s="51">
        <v>0.39179999999999998</v>
      </c>
      <c r="G80" s="4">
        <f t="shared" si="20"/>
        <v>9403.1999999999989</v>
      </c>
      <c r="H80" s="50">
        <v>342</v>
      </c>
      <c r="I80" s="51">
        <v>0.39179999999999998</v>
      </c>
      <c r="J80" s="50">
        <v>285</v>
      </c>
      <c r="K80" s="50">
        <v>428</v>
      </c>
      <c r="L80">
        <f t="shared" si="21"/>
        <v>143</v>
      </c>
      <c r="M80">
        <f t="shared" si="22"/>
        <v>57</v>
      </c>
      <c r="N80" s="52">
        <f t="shared" si="23"/>
        <v>0.4188811188811189</v>
      </c>
      <c r="O80" s="53">
        <f t="shared" si="24"/>
        <v>0.39179999999999998</v>
      </c>
      <c r="P80" s="54">
        <v>285</v>
      </c>
      <c r="Q80" s="55">
        <f t="shared" si="25"/>
        <v>0.1</v>
      </c>
      <c r="R80" s="55">
        <f t="shared" si="26"/>
        <v>0.77146000000000003</v>
      </c>
      <c r="S80" s="54">
        <f t="shared" si="27"/>
        <v>80251.126499999998</v>
      </c>
      <c r="T80" s="56">
        <f t="shared" si="39"/>
        <v>56175.788549999997</v>
      </c>
      <c r="U80" s="66">
        <f t="shared" si="28"/>
        <v>9403.1999999999989</v>
      </c>
      <c r="V80" s="54">
        <f t="shared" si="29"/>
        <v>46772.58855</v>
      </c>
      <c r="X80" s="67">
        <f t="shared" si="30"/>
        <v>9386.0966666666664</v>
      </c>
      <c r="Y80" s="67">
        <f t="shared" si="31"/>
        <v>-42986.096666666665</v>
      </c>
      <c r="Z80" s="67">
        <f t="shared" si="32"/>
        <v>-18986.096666666665</v>
      </c>
      <c r="AA80" s="68">
        <f t="shared" si="33"/>
        <v>-18986.096666666665</v>
      </c>
      <c r="AB80" s="68">
        <f t="shared" si="34"/>
        <v>-24986.096666666665</v>
      </c>
      <c r="AC80" s="69">
        <f t="shared" si="35"/>
        <v>3786.4918833333359</v>
      </c>
      <c r="AD80" s="69">
        <f t="shared" si="36"/>
        <v>27786.491883333336</v>
      </c>
      <c r="AE80" s="69">
        <f t="shared" si="37"/>
        <v>27786.491883333336</v>
      </c>
      <c r="AF80" s="69">
        <f t="shared" si="38"/>
        <v>21786.491883333336</v>
      </c>
    </row>
    <row r="81" spans="1:32">
      <c r="A81" s="50" t="s">
        <v>183</v>
      </c>
      <c r="B81" s="50" t="s">
        <v>184</v>
      </c>
      <c r="C81" s="50" t="s">
        <v>85</v>
      </c>
      <c r="D81" s="50">
        <v>1</v>
      </c>
      <c r="E81" s="50">
        <v>1000</v>
      </c>
      <c r="F81" s="51">
        <v>0.58899999999999997</v>
      </c>
      <c r="G81" s="4">
        <f t="shared" si="20"/>
        <v>7068</v>
      </c>
      <c r="H81" s="50">
        <v>229</v>
      </c>
      <c r="I81" s="51">
        <v>0.58899999999999997</v>
      </c>
      <c r="J81" s="50">
        <v>91</v>
      </c>
      <c r="K81" s="50">
        <v>342</v>
      </c>
      <c r="L81">
        <f t="shared" si="21"/>
        <v>251</v>
      </c>
      <c r="M81">
        <f t="shared" si="22"/>
        <v>138</v>
      </c>
      <c r="N81" s="52">
        <f t="shared" si="23"/>
        <v>0.53984063745019928</v>
      </c>
      <c r="O81" s="53">
        <f t="shared" si="24"/>
        <v>0.58899999999999997</v>
      </c>
      <c r="P81" s="54">
        <v>198.3774469773289</v>
      </c>
      <c r="Q81" s="55">
        <f t="shared" si="25"/>
        <v>0.44223887482813995</v>
      </c>
      <c r="R81" s="55">
        <f t="shared" si="26"/>
        <v>0.50061215446101004</v>
      </c>
      <c r="S81" s="54">
        <f t="shared" si="27"/>
        <v>36248.208811645323</v>
      </c>
      <c r="T81" s="56">
        <f t="shared" si="39"/>
        <v>25373.746168151723</v>
      </c>
      <c r="U81" s="66">
        <f t="shared" si="28"/>
        <v>7068</v>
      </c>
      <c r="V81" s="54">
        <f t="shared" si="29"/>
        <v>18305.746168151723</v>
      </c>
      <c r="X81" s="67">
        <f t="shared" si="30"/>
        <v>6090.7812126089557</v>
      </c>
      <c r="Y81" s="67">
        <f t="shared" si="31"/>
        <v>-39690.781212608956</v>
      </c>
      <c r="Z81" s="67">
        <f t="shared" si="32"/>
        <v>-15690.781212608956</v>
      </c>
      <c r="AA81" s="68">
        <f t="shared" si="33"/>
        <v>-15690.781212608956</v>
      </c>
      <c r="AB81" s="68">
        <f t="shared" si="34"/>
        <v>-21690.781212608956</v>
      </c>
      <c r="AC81" s="69">
        <f t="shared" si="35"/>
        <v>-21385.035044457232</v>
      </c>
      <c r="AD81" s="69">
        <f t="shared" si="36"/>
        <v>2614.9649555427677</v>
      </c>
      <c r="AE81" s="69">
        <f t="shared" si="37"/>
        <v>2614.9649555427677</v>
      </c>
      <c r="AF81" s="69">
        <f t="shared" si="38"/>
        <v>-3385.0350444572323</v>
      </c>
    </row>
    <row r="82" spans="1:32">
      <c r="A82" s="50" t="s">
        <v>185</v>
      </c>
      <c r="B82" s="50" t="s">
        <v>186</v>
      </c>
      <c r="C82" s="50" t="s">
        <v>85</v>
      </c>
      <c r="D82" s="50">
        <v>2</v>
      </c>
      <c r="E82" s="50">
        <v>2500</v>
      </c>
      <c r="F82" s="51">
        <v>0.29320000000000002</v>
      </c>
      <c r="G82" s="4">
        <f t="shared" si="20"/>
        <v>8796</v>
      </c>
      <c r="H82" s="50">
        <v>392</v>
      </c>
      <c r="I82" s="51">
        <v>0.29320000000000002</v>
      </c>
      <c r="J82" s="50">
        <v>173</v>
      </c>
      <c r="K82" s="50">
        <v>581</v>
      </c>
      <c r="L82">
        <f t="shared" si="21"/>
        <v>408</v>
      </c>
      <c r="M82">
        <f t="shared" si="22"/>
        <v>219</v>
      </c>
      <c r="N82" s="52">
        <f t="shared" si="23"/>
        <v>0.52941176470588236</v>
      </c>
      <c r="O82" s="53">
        <f t="shared" si="24"/>
        <v>0.29320000000000002</v>
      </c>
      <c r="P82" s="54">
        <v>335.00198593127573</v>
      </c>
      <c r="Q82" s="55">
        <f t="shared" si="25"/>
        <v>0.41765095280642306</v>
      </c>
      <c r="R82" s="55">
        <f t="shared" si="26"/>
        <v>0.52007103594899684</v>
      </c>
      <c r="S82" s="54">
        <f t="shared" si="27"/>
        <v>63592.062901911188</v>
      </c>
      <c r="T82" s="56">
        <f t="shared" si="39"/>
        <v>44514.444031337829</v>
      </c>
      <c r="U82" s="66">
        <f t="shared" si="28"/>
        <v>8796</v>
      </c>
      <c r="V82" s="54">
        <f t="shared" si="29"/>
        <v>35718.444031337829</v>
      </c>
      <c r="X82" s="67">
        <f t="shared" si="30"/>
        <v>6327.5309373794616</v>
      </c>
      <c r="Y82" s="67">
        <f t="shared" si="31"/>
        <v>-39927.530937379459</v>
      </c>
      <c r="Z82" s="67">
        <f t="shared" si="32"/>
        <v>-15927.530937379463</v>
      </c>
      <c r="AA82" s="68">
        <f t="shared" si="33"/>
        <v>-15927.530937379463</v>
      </c>
      <c r="AB82" s="68">
        <f t="shared" si="34"/>
        <v>-21927.530937379463</v>
      </c>
      <c r="AC82" s="69">
        <f t="shared" si="35"/>
        <v>-4209.0869060416298</v>
      </c>
      <c r="AD82" s="69">
        <f t="shared" si="36"/>
        <v>19790.913093958367</v>
      </c>
      <c r="AE82" s="69">
        <f t="shared" si="37"/>
        <v>19790.913093958367</v>
      </c>
      <c r="AF82" s="69">
        <f t="shared" si="38"/>
        <v>13790.913093958367</v>
      </c>
    </row>
    <row r="83" spans="1:32">
      <c r="A83" s="50" t="s">
        <v>187</v>
      </c>
      <c r="B83" s="50" t="s">
        <v>184</v>
      </c>
      <c r="C83" s="50" t="s">
        <v>85</v>
      </c>
      <c r="D83" s="50">
        <v>2</v>
      </c>
      <c r="E83" s="50">
        <v>1400</v>
      </c>
      <c r="F83" s="51">
        <v>0.2712</v>
      </c>
      <c r="G83" s="4">
        <f t="shared" si="20"/>
        <v>4556.16</v>
      </c>
      <c r="H83" s="50">
        <v>322</v>
      </c>
      <c r="I83" s="51">
        <v>0.2712</v>
      </c>
      <c r="J83" s="50">
        <v>168</v>
      </c>
      <c r="K83" s="50">
        <v>392</v>
      </c>
      <c r="L83">
        <f t="shared" si="21"/>
        <v>224</v>
      </c>
      <c r="M83">
        <f t="shared" si="22"/>
        <v>154</v>
      </c>
      <c r="N83" s="52">
        <f t="shared" si="23"/>
        <v>0.65</v>
      </c>
      <c r="O83" s="53">
        <f t="shared" si="24"/>
        <v>0.2712</v>
      </c>
      <c r="P83" s="54">
        <v>220.43246287985474</v>
      </c>
      <c r="Q83" s="55">
        <f t="shared" si="25"/>
        <v>0.28725879599948123</v>
      </c>
      <c r="R83" s="55">
        <f t="shared" si="26"/>
        <v>0.62326338884601062</v>
      </c>
      <c r="S83" s="54">
        <f t="shared" si="27"/>
        <v>50146.431596552313</v>
      </c>
      <c r="T83" s="56">
        <f t="shared" si="39"/>
        <v>35102.502117586613</v>
      </c>
      <c r="U83" s="66">
        <f t="shared" si="28"/>
        <v>4556.16</v>
      </c>
      <c r="V83" s="54">
        <f t="shared" si="29"/>
        <v>30546.342117586613</v>
      </c>
      <c r="X83" s="67">
        <f t="shared" si="30"/>
        <v>7583.0378976264628</v>
      </c>
      <c r="Y83" s="67">
        <f t="shared" si="31"/>
        <v>-41183.037897626462</v>
      </c>
      <c r="Z83" s="67">
        <f t="shared" si="32"/>
        <v>-17183.037897626462</v>
      </c>
      <c r="AA83" s="68">
        <f t="shared" si="33"/>
        <v>-17183.037897626462</v>
      </c>
      <c r="AB83" s="68">
        <f t="shared" si="34"/>
        <v>-23183.037897626462</v>
      </c>
      <c r="AC83" s="69">
        <f t="shared" si="35"/>
        <v>-10636.695780039849</v>
      </c>
      <c r="AD83" s="69">
        <f t="shared" si="36"/>
        <v>13363.304219960151</v>
      </c>
      <c r="AE83" s="69">
        <f t="shared" si="37"/>
        <v>13363.304219960151</v>
      </c>
      <c r="AF83" s="69">
        <f t="shared" si="38"/>
        <v>7363.3042199601514</v>
      </c>
    </row>
    <row r="84" spans="1:32">
      <c r="A84" s="50" t="s">
        <v>188</v>
      </c>
      <c r="B84" s="50" t="s">
        <v>184</v>
      </c>
      <c r="C84" s="50" t="s">
        <v>94</v>
      </c>
      <c r="D84" s="50">
        <v>1</v>
      </c>
      <c r="E84" s="50">
        <v>1300</v>
      </c>
      <c r="F84" s="51">
        <v>0.55069999999999997</v>
      </c>
      <c r="G84" s="4">
        <f t="shared" si="20"/>
        <v>8590.92</v>
      </c>
      <c r="H84" s="50">
        <v>257</v>
      </c>
      <c r="I84" s="51">
        <v>0.55069999999999997</v>
      </c>
      <c r="J84" s="50">
        <v>155</v>
      </c>
      <c r="K84" s="50">
        <v>494</v>
      </c>
      <c r="L84">
        <f t="shared" si="21"/>
        <v>339</v>
      </c>
      <c r="M84">
        <f t="shared" si="22"/>
        <v>102</v>
      </c>
      <c r="N84" s="52">
        <f t="shared" si="23"/>
        <v>0.34070796460176994</v>
      </c>
      <c r="O84" s="53">
        <f t="shared" si="24"/>
        <v>0.55069999999999997</v>
      </c>
      <c r="P84" s="54">
        <v>283.97591478113355</v>
      </c>
      <c r="Q84" s="55">
        <f t="shared" si="25"/>
        <v>0.40436794048645086</v>
      </c>
      <c r="R84" s="55">
        <f t="shared" si="26"/>
        <v>0.5305832118990228</v>
      </c>
      <c r="S84" s="54">
        <f t="shared" si="27"/>
        <v>54995.591332786011</v>
      </c>
      <c r="T84" s="56">
        <f t="shared" si="39"/>
        <v>38496.913932950207</v>
      </c>
      <c r="U84" s="66">
        <f t="shared" si="28"/>
        <v>8590.92</v>
      </c>
      <c r="V84" s="54">
        <f t="shared" si="29"/>
        <v>29905.993932950209</v>
      </c>
      <c r="X84" s="67">
        <f t="shared" si="30"/>
        <v>6455.4290781047785</v>
      </c>
      <c r="Y84" s="67">
        <f t="shared" si="31"/>
        <v>-40055.429078104775</v>
      </c>
      <c r="Z84" s="67">
        <f t="shared" si="32"/>
        <v>-16055.429078104778</v>
      </c>
      <c r="AA84" s="68">
        <f t="shared" si="33"/>
        <v>-16055.429078104778</v>
      </c>
      <c r="AB84" s="68">
        <f t="shared" si="34"/>
        <v>-22055.429078104778</v>
      </c>
      <c r="AC84" s="69">
        <f t="shared" si="35"/>
        <v>-10149.435145154566</v>
      </c>
      <c r="AD84" s="69">
        <f t="shared" si="36"/>
        <v>13850.56485484543</v>
      </c>
      <c r="AE84" s="69">
        <f t="shared" si="37"/>
        <v>13850.56485484543</v>
      </c>
      <c r="AF84" s="69">
        <f t="shared" si="38"/>
        <v>7850.5648548454301</v>
      </c>
    </row>
    <row r="85" spans="1:32">
      <c r="A85" s="50" t="s">
        <v>189</v>
      </c>
      <c r="B85" s="50" t="s">
        <v>184</v>
      </c>
      <c r="C85" s="50" t="s">
        <v>94</v>
      </c>
      <c r="D85" s="50">
        <v>2</v>
      </c>
      <c r="E85" s="50">
        <v>1800</v>
      </c>
      <c r="F85" s="51">
        <v>0.4521</v>
      </c>
      <c r="G85" s="4">
        <f t="shared" si="20"/>
        <v>9765.36</v>
      </c>
      <c r="H85" s="50">
        <v>286</v>
      </c>
      <c r="I85" s="51">
        <v>0.4521</v>
      </c>
      <c r="J85" s="50">
        <v>151</v>
      </c>
      <c r="K85" s="50">
        <v>391</v>
      </c>
      <c r="L85">
        <f t="shared" si="21"/>
        <v>240</v>
      </c>
      <c r="M85">
        <f t="shared" si="22"/>
        <v>135</v>
      </c>
      <c r="N85" s="52">
        <f t="shared" si="23"/>
        <v>0.55000000000000004</v>
      </c>
      <c r="O85" s="53">
        <f t="shared" si="24"/>
        <v>0.4521</v>
      </c>
      <c r="P85" s="54">
        <v>221.67763878310339</v>
      </c>
      <c r="Q85" s="55">
        <f t="shared" si="25"/>
        <v>0.33559212927701132</v>
      </c>
      <c r="R85" s="55">
        <f t="shared" si="26"/>
        <v>0.58501238889017326</v>
      </c>
      <c r="S85" s="54">
        <f t="shared" si="27"/>
        <v>47334.720235233224</v>
      </c>
      <c r="T85" s="56">
        <f t="shared" si="39"/>
        <v>33134.304164663256</v>
      </c>
      <c r="U85" s="66">
        <f t="shared" si="28"/>
        <v>9765.36</v>
      </c>
      <c r="V85" s="54">
        <f t="shared" si="29"/>
        <v>23368.944164663255</v>
      </c>
      <c r="X85" s="67">
        <f t="shared" si="30"/>
        <v>7117.6507314971086</v>
      </c>
      <c r="Y85" s="67">
        <f t="shared" si="31"/>
        <v>-40717.65073149711</v>
      </c>
      <c r="Z85" s="67">
        <f t="shared" si="32"/>
        <v>-16717.65073149711</v>
      </c>
      <c r="AA85" s="68">
        <f t="shared" si="33"/>
        <v>-16717.65073149711</v>
      </c>
      <c r="AB85" s="68">
        <f t="shared" si="34"/>
        <v>-22717.65073149711</v>
      </c>
      <c r="AC85" s="69">
        <f t="shared" si="35"/>
        <v>-17348.706566833855</v>
      </c>
      <c r="AD85" s="69">
        <f t="shared" si="36"/>
        <v>6651.2934331661454</v>
      </c>
      <c r="AE85" s="69">
        <f t="shared" si="37"/>
        <v>6651.2934331661454</v>
      </c>
      <c r="AF85" s="69">
        <f t="shared" si="38"/>
        <v>651.29343316614541</v>
      </c>
    </row>
    <row r="86" spans="1:32">
      <c r="A86" s="50" t="s">
        <v>190</v>
      </c>
      <c r="B86" s="50" t="s">
        <v>191</v>
      </c>
      <c r="C86" s="50" t="s">
        <v>85</v>
      </c>
      <c r="D86" s="50">
        <v>1</v>
      </c>
      <c r="E86" s="50">
        <v>700</v>
      </c>
      <c r="F86" s="51">
        <v>0.51780000000000004</v>
      </c>
      <c r="G86" s="4">
        <f t="shared" si="20"/>
        <v>4349.5200000000004</v>
      </c>
      <c r="H86" s="50">
        <v>180</v>
      </c>
      <c r="I86" s="51">
        <v>0.51780000000000004</v>
      </c>
      <c r="J86" s="50">
        <v>99</v>
      </c>
      <c r="K86" s="50">
        <v>265</v>
      </c>
      <c r="L86">
        <f t="shared" si="21"/>
        <v>166</v>
      </c>
      <c r="M86">
        <f t="shared" si="22"/>
        <v>81</v>
      </c>
      <c r="N86" s="52">
        <f t="shared" si="23"/>
        <v>0.49036144578313257</v>
      </c>
      <c r="O86" s="53">
        <f t="shared" si="24"/>
        <v>0.51780000000000004</v>
      </c>
      <c r="P86" s="54">
        <v>150.60620015831319</v>
      </c>
      <c r="Q86" s="55">
        <f t="shared" si="25"/>
        <v>0.34870457907620817</v>
      </c>
      <c r="R86" s="55">
        <f t="shared" si="26"/>
        <v>0.57463519611908886</v>
      </c>
      <c r="S86" s="54">
        <f t="shared" si="27"/>
        <v>31588.422528123916</v>
      </c>
      <c r="T86" s="56">
        <f t="shared" si="39"/>
        <v>22111.89576968674</v>
      </c>
      <c r="U86" s="66">
        <f t="shared" si="28"/>
        <v>4349.5200000000004</v>
      </c>
      <c r="V86" s="54">
        <f t="shared" si="29"/>
        <v>17762.37576968674</v>
      </c>
      <c r="X86" s="67">
        <f t="shared" si="30"/>
        <v>6991.3948861155814</v>
      </c>
      <c r="Y86" s="67">
        <f t="shared" si="31"/>
        <v>-40591.39488611558</v>
      </c>
      <c r="Z86" s="67">
        <f t="shared" si="32"/>
        <v>-16591.39488611558</v>
      </c>
      <c r="AA86" s="68">
        <f t="shared" si="33"/>
        <v>-16591.39488611558</v>
      </c>
      <c r="AB86" s="68">
        <f t="shared" si="34"/>
        <v>-22591.39488611558</v>
      </c>
      <c r="AC86" s="69">
        <f t="shared" si="35"/>
        <v>-22829.019116428841</v>
      </c>
      <c r="AD86" s="69">
        <f t="shared" si="36"/>
        <v>1170.9808835711592</v>
      </c>
      <c r="AE86" s="69">
        <f t="shared" si="37"/>
        <v>1170.9808835711592</v>
      </c>
      <c r="AF86" s="69">
        <f t="shared" si="38"/>
        <v>-4829.0191164288408</v>
      </c>
    </row>
    <row r="87" spans="1:32">
      <c r="A87" s="50" t="s">
        <v>192</v>
      </c>
      <c r="B87" s="50" t="s">
        <v>191</v>
      </c>
      <c r="C87" s="50" t="s">
        <v>85</v>
      </c>
      <c r="D87" s="50">
        <v>2</v>
      </c>
      <c r="E87" s="50">
        <v>900</v>
      </c>
      <c r="F87" s="51">
        <v>0.52049999999999996</v>
      </c>
      <c r="G87" s="4">
        <f t="shared" si="20"/>
        <v>5621.4</v>
      </c>
      <c r="H87" s="50">
        <v>230</v>
      </c>
      <c r="I87" s="51">
        <v>0.52049999999999996</v>
      </c>
      <c r="J87" s="50">
        <v>154</v>
      </c>
      <c r="K87" s="50">
        <v>286</v>
      </c>
      <c r="L87">
        <f t="shared" si="21"/>
        <v>132</v>
      </c>
      <c r="M87">
        <f t="shared" si="22"/>
        <v>76</v>
      </c>
      <c r="N87" s="52">
        <f t="shared" si="23"/>
        <v>0.56060606060606066</v>
      </c>
      <c r="O87" s="53">
        <f t="shared" si="24"/>
        <v>0.52049999999999996</v>
      </c>
      <c r="P87" s="54">
        <v>157.39770120137916</v>
      </c>
      <c r="Q87" s="55">
        <f t="shared" si="25"/>
        <v>0.12059212849320707</v>
      </c>
      <c r="R87" s="55">
        <f t="shared" si="26"/>
        <v>0.7551633895104759</v>
      </c>
      <c r="S87" s="54">
        <f t="shared" si="27"/>
        <v>43384.258262242569</v>
      </c>
      <c r="T87" s="56">
        <f t="shared" si="39"/>
        <v>30368.980783569797</v>
      </c>
      <c r="U87" s="66">
        <f t="shared" si="28"/>
        <v>5621.4</v>
      </c>
      <c r="V87" s="54">
        <f t="shared" si="29"/>
        <v>24747.5807835698</v>
      </c>
      <c r="X87" s="67">
        <f t="shared" si="30"/>
        <v>9187.821239044124</v>
      </c>
      <c r="Y87" s="67">
        <f t="shared" si="31"/>
        <v>-42787.821239044126</v>
      </c>
      <c r="Z87" s="67">
        <f t="shared" si="32"/>
        <v>-18787.821239044126</v>
      </c>
      <c r="AA87" s="68">
        <f t="shared" si="33"/>
        <v>-18787.821239044126</v>
      </c>
      <c r="AB87" s="68">
        <f t="shared" si="34"/>
        <v>-24787.821239044126</v>
      </c>
      <c r="AC87" s="69">
        <f t="shared" si="35"/>
        <v>-18040.240455474326</v>
      </c>
      <c r="AD87" s="69">
        <f t="shared" si="36"/>
        <v>5959.7595445256738</v>
      </c>
      <c r="AE87" s="69">
        <f t="shared" si="37"/>
        <v>5959.7595445256738</v>
      </c>
      <c r="AF87" s="69">
        <f t="shared" si="38"/>
        <v>-40.240455474326154</v>
      </c>
    </row>
    <row r="88" spans="1:32">
      <c r="A88" s="50" t="s">
        <v>193</v>
      </c>
      <c r="B88" s="50" t="s">
        <v>191</v>
      </c>
      <c r="C88" s="50" t="s">
        <v>94</v>
      </c>
      <c r="D88" s="50">
        <v>1</v>
      </c>
      <c r="E88" s="50">
        <v>1000</v>
      </c>
      <c r="F88" s="51">
        <v>0.63009999999999999</v>
      </c>
      <c r="G88" s="4">
        <f t="shared" si="20"/>
        <v>7561.2</v>
      </c>
      <c r="H88" s="50">
        <v>221</v>
      </c>
      <c r="I88" s="51">
        <v>0.63009999999999999</v>
      </c>
      <c r="J88" s="50">
        <v>190</v>
      </c>
      <c r="K88" s="50">
        <v>462</v>
      </c>
      <c r="L88">
        <f t="shared" si="21"/>
        <v>272</v>
      </c>
      <c r="M88">
        <f t="shared" si="22"/>
        <v>31</v>
      </c>
      <c r="N88" s="52">
        <f t="shared" si="23"/>
        <v>0.19117647058823531</v>
      </c>
      <c r="O88" s="53">
        <f t="shared" si="24"/>
        <v>0.63009999999999999</v>
      </c>
      <c r="P88" s="54">
        <v>260.66799062085039</v>
      </c>
      <c r="Q88" s="55">
        <f t="shared" si="25"/>
        <v>0.30784703123779528</v>
      </c>
      <c r="R88" s="55">
        <f t="shared" si="26"/>
        <v>0.60696985947840887</v>
      </c>
      <c r="S88" s="54">
        <f t="shared" si="27"/>
        <v>57749.428977744719</v>
      </c>
      <c r="T88" s="56">
        <f t="shared" si="39"/>
        <v>40424.6002844213</v>
      </c>
      <c r="U88" s="66">
        <f t="shared" si="28"/>
        <v>7561.2</v>
      </c>
      <c r="V88" s="54">
        <f t="shared" si="29"/>
        <v>32863.400284421303</v>
      </c>
      <c r="X88" s="67">
        <f t="shared" si="30"/>
        <v>7384.7999569873082</v>
      </c>
      <c r="Y88" s="67">
        <f t="shared" si="31"/>
        <v>-40984.799956987306</v>
      </c>
      <c r="Z88" s="67">
        <f t="shared" si="32"/>
        <v>-16984.799956987306</v>
      </c>
      <c r="AA88" s="68">
        <f t="shared" si="33"/>
        <v>-16984.799956987306</v>
      </c>
      <c r="AB88" s="68">
        <f t="shared" si="34"/>
        <v>-22984.799956987306</v>
      </c>
      <c r="AC88" s="69">
        <f t="shared" si="35"/>
        <v>-8121.3996725660036</v>
      </c>
      <c r="AD88" s="69">
        <f t="shared" si="36"/>
        <v>15878.600327433996</v>
      </c>
      <c r="AE88" s="69">
        <f t="shared" si="37"/>
        <v>15878.600327433996</v>
      </c>
      <c r="AF88" s="69">
        <f t="shared" si="38"/>
        <v>9878.6003274339964</v>
      </c>
    </row>
    <row r="89" spans="1:32">
      <c r="A89" s="50" t="s">
        <v>194</v>
      </c>
      <c r="B89" s="50" t="s">
        <v>191</v>
      </c>
      <c r="C89" s="50" t="s">
        <v>94</v>
      </c>
      <c r="D89" s="50">
        <v>2</v>
      </c>
      <c r="E89" s="50">
        <v>1200</v>
      </c>
      <c r="F89" s="51">
        <v>0.36990000000000001</v>
      </c>
      <c r="G89" s="4">
        <f t="shared" si="20"/>
        <v>5326.56</v>
      </c>
      <c r="H89" s="50">
        <v>316</v>
      </c>
      <c r="I89" s="51">
        <v>0.36990000000000001</v>
      </c>
      <c r="J89" s="50">
        <v>205</v>
      </c>
      <c r="K89" s="50">
        <v>411</v>
      </c>
      <c r="L89">
        <f t="shared" si="21"/>
        <v>206</v>
      </c>
      <c r="M89">
        <f t="shared" si="22"/>
        <v>111</v>
      </c>
      <c r="N89" s="52">
        <f t="shared" si="23"/>
        <v>0.53106796116504862</v>
      </c>
      <c r="O89" s="53">
        <f t="shared" si="24"/>
        <v>0.36990000000000001</v>
      </c>
      <c r="P89" s="54">
        <v>227.96913995549704</v>
      </c>
      <c r="Q89" s="55">
        <f t="shared" si="25"/>
        <v>0.1892005435164934</v>
      </c>
      <c r="R89" s="55">
        <f t="shared" si="26"/>
        <v>0.70086668986104717</v>
      </c>
      <c r="S89" s="54">
        <f t="shared" si="27"/>
        <v>58318.231426543833</v>
      </c>
      <c r="T89" s="56">
        <f t="shared" si="39"/>
        <v>40822.761998580681</v>
      </c>
      <c r="U89" s="66">
        <f t="shared" si="28"/>
        <v>5326.56</v>
      </c>
      <c r="V89" s="54">
        <f t="shared" si="29"/>
        <v>35496.201998580684</v>
      </c>
      <c r="X89" s="67">
        <f t="shared" si="30"/>
        <v>8527.2113933094079</v>
      </c>
      <c r="Y89" s="67">
        <f t="shared" si="31"/>
        <v>-42127.211393309408</v>
      </c>
      <c r="Z89" s="67">
        <f t="shared" si="32"/>
        <v>-18127.211393309408</v>
      </c>
      <c r="AA89" s="68">
        <f t="shared" si="33"/>
        <v>-18127.211393309408</v>
      </c>
      <c r="AB89" s="68">
        <f t="shared" si="34"/>
        <v>-24127.211393309408</v>
      </c>
      <c r="AC89" s="69">
        <f t="shared" si="35"/>
        <v>-6631.0093947287241</v>
      </c>
      <c r="AD89" s="69">
        <f t="shared" si="36"/>
        <v>17368.990605271276</v>
      </c>
      <c r="AE89" s="69">
        <f t="shared" si="37"/>
        <v>17368.990605271276</v>
      </c>
      <c r="AF89" s="69">
        <f t="shared" si="38"/>
        <v>11368.990605271276</v>
      </c>
    </row>
    <row r="90" spans="1:32">
      <c r="A90" s="50" t="s">
        <v>195</v>
      </c>
      <c r="B90" s="50" t="s">
        <v>196</v>
      </c>
      <c r="C90" s="50" t="s">
        <v>85</v>
      </c>
      <c r="D90" s="50">
        <v>1</v>
      </c>
      <c r="E90" s="50">
        <v>700</v>
      </c>
      <c r="F90" s="51">
        <v>0.56989999999999996</v>
      </c>
      <c r="G90" s="4">
        <f t="shared" si="20"/>
        <v>4787.16</v>
      </c>
      <c r="H90" s="50">
        <v>245</v>
      </c>
      <c r="I90" s="51">
        <v>0.56989999999999996</v>
      </c>
      <c r="J90" s="50">
        <v>192</v>
      </c>
      <c r="K90" s="50">
        <v>313</v>
      </c>
      <c r="L90">
        <f t="shared" si="21"/>
        <v>121</v>
      </c>
      <c r="M90">
        <f t="shared" si="22"/>
        <v>53</v>
      </c>
      <c r="N90" s="52">
        <f t="shared" si="23"/>
        <v>0.45041322314049592</v>
      </c>
      <c r="O90" s="53">
        <f t="shared" si="24"/>
        <v>0.56989999999999996</v>
      </c>
      <c r="P90" s="54">
        <v>192</v>
      </c>
      <c r="Q90" s="55">
        <f t="shared" si="25"/>
        <v>0.1</v>
      </c>
      <c r="R90" s="55">
        <f t="shared" si="26"/>
        <v>0.77146000000000003</v>
      </c>
      <c r="S90" s="54">
        <f t="shared" si="27"/>
        <v>54063.916799999999</v>
      </c>
      <c r="T90" s="56">
        <f t="shared" si="39"/>
        <v>37844.741759999997</v>
      </c>
      <c r="U90" s="66">
        <f t="shared" si="28"/>
        <v>4787.16</v>
      </c>
      <c r="V90" s="54">
        <f t="shared" si="29"/>
        <v>33057.581760000001</v>
      </c>
      <c r="X90" s="67">
        <f t="shared" si="30"/>
        <v>9386.0966666666664</v>
      </c>
      <c r="Y90" s="67">
        <f t="shared" si="31"/>
        <v>-42986.096666666665</v>
      </c>
      <c r="Z90" s="67">
        <f t="shared" si="32"/>
        <v>-18986.096666666665</v>
      </c>
      <c r="AA90" s="68">
        <f t="shared" si="33"/>
        <v>-18986.096666666665</v>
      </c>
      <c r="AB90" s="68">
        <f t="shared" si="34"/>
        <v>-24986.096666666665</v>
      </c>
      <c r="AC90" s="69">
        <f t="shared" si="35"/>
        <v>-9928.5149066666636</v>
      </c>
      <c r="AD90" s="69">
        <f t="shared" si="36"/>
        <v>14071.485093333336</v>
      </c>
      <c r="AE90" s="69">
        <f t="shared" si="37"/>
        <v>14071.485093333336</v>
      </c>
      <c r="AF90" s="69">
        <f t="shared" si="38"/>
        <v>8071.4850933333364</v>
      </c>
    </row>
    <row r="91" spans="1:32">
      <c r="A91" s="50" t="s">
        <v>197</v>
      </c>
      <c r="B91" s="50" t="s">
        <v>196</v>
      </c>
      <c r="C91" s="50" t="s">
        <v>85</v>
      </c>
      <c r="D91" s="50">
        <v>2</v>
      </c>
      <c r="E91" s="50">
        <v>1000</v>
      </c>
      <c r="F91" s="51">
        <v>0.41920000000000002</v>
      </c>
      <c r="G91" s="4">
        <f t="shared" si="20"/>
        <v>5030.4000000000005</v>
      </c>
      <c r="H91" s="50">
        <v>266</v>
      </c>
      <c r="I91" s="51">
        <v>0.41920000000000002</v>
      </c>
      <c r="J91" s="50">
        <v>192</v>
      </c>
      <c r="K91" s="50">
        <v>357</v>
      </c>
      <c r="L91">
        <f t="shared" si="21"/>
        <v>165</v>
      </c>
      <c r="M91">
        <f t="shared" si="22"/>
        <v>74</v>
      </c>
      <c r="N91" s="52">
        <f t="shared" si="23"/>
        <v>0.45878787878787886</v>
      </c>
      <c r="O91" s="53">
        <f t="shared" si="24"/>
        <v>0.41920000000000002</v>
      </c>
      <c r="P91" s="54">
        <v>196.49712666338334</v>
      </c>
      <c r="Q91" s="55">
        <f t="shared" si="25"/>
        <v>0.12180425048913135</v>
      </c>
      <c r="R91" s="55">
        <f t="shared" si="26"/>
        <v>0.75420411616290151</v>
      </c>
      <c r="S91" s="54">
        <f t="shared" si="27"/>
        <v>54092.613736452957</v>
      </c>
      <c r="T91" s="56">
        <f t="shared" si="39"/>
        <v>37864.829615517068</v>
      </c>
      <c r="U91" s="66">
        <f t="shared" si="28"/>
        <v>5030.4000000000005</v>
      </c>
      <c r="V91" s="54">
        <f t="shared" si="29"/>
        <v>32834.429615517067</v>
      </c>
      <c r="X91" s="67">
        <f t="shared" si="30"/>
        <v>9176.1500799819678</v>
      </c>
      <c r="Y91" s="67">
        <f t="shared" si="31"/>
        <v>-42776.15007998197</v>
      </c>
      <c r="Z91" s="67">
        <f t="shared" si="32"/>
        <v>-18776.15007998197</v>
      </c>
      <c r="AA91" s="68">
        <f t="shared" si="33"/>
        <v>-18776.15007998197</v>
      </c>
      <c r="AB91" s="68">
        <f t="shared" si="34"/>
        <v>-24776.15007998197</v>
      </c>
      <c r="AC91" s="69">
        <f t="shared" si="35"/>
        <v>-9941.7204644649028</v>
      </c>
      <c r="AD91" s="69">
        <f t="shared" si="36"/>
        <v>14058.279535535097</v>
      </c>
      <c r="AE91" s="69">
        <f t="shared" si="37"/>
        <v>14058.279535535097</v>
      </c>
      <c r="AF91" s="69">
        <f t="shared" si="38"/>
        <v>8058.2795355350972</v>
      </c>
    </row>
    <row r="92" spans="1:32">
      <c r="A92" s="50" t="s">
        <v>198</v>
      </c>
      <c r="B92" s="50" t="s">
        <v>196</v>
      </c>
      <c r="C92" s="50" t="s">
        <v>94</v>
      </c>
      <c r="D92" s="50">
        <v>1</v>
      </c>
      <c r="E92" s="50">
        <v>800</v>
      </c>
      <c r="F92" s="51">
        <v>0.45479999999999998</v>
      </c>
      <c r="G92" s="4">
        <f t="shared" si="20"/>
        <v>4366.08</v>
      </c>
      <c r="H92" s="50">
        <v>325</v>
      </c>
      <c r="I92" s="51">
        <v>0.45479999999999998</v>
      </c>
      <c r="J92" s="50">
        <v>186</v>
      </c>
      <c r="K92" s="50">
        <v>465</v>
      </c>
      <c r="L92">
        <f t="shared" si="21"/>
        <v>279</v>
      </c>
      <c r="M92">
        <f t="shared" si="22"/>
        <v>139</v>
      </c>
      <c r="N92" s="52">
        <f t="shared" si="23"/>
        <v>0.49856630824372761</v>
      </c>
      <c r="O92" s="53">
        <f t="shared" si="24"/>
        <v>0.45479999999999998</v>
      </c>
      <c r="P92" s="54">
        <v>262.93150494799823</v>
      </c>
      <c r="Q92" s="55">
        <f t="shared" si="25"/>
        <v>0.32059212888314903</v>
      </c>
      <c r="R92" s="55">
        <f t="shared" si="26"/>
        <v>0.59688338920187589</v>
      </c>
      <c r="S92" s="54">
        <f t="shared" si="27"/>
        <v>57282.89844747851</v>
      </c>
      <c r="T92" s="56">
        <f t="shared" si="39"/>
        <v>40098.028913234957</v>
      </c>
      <c r="U92" s="66">
        <f t="shared" si="28"/>
        <v>4366.08</v>
      </c>
      <c r="V92" s="54">
        <f t="shared" si="29"/>
        <v>35731.948913234955</v>
      </c>
      <c r="X92" s="67">
        <f t="shared" si="30"/>
        <v>7262.08123528949</v>
      </c>
      <c r="Y92" s="67">
        <f t="shared" si="31"/>
        <v>-40862.081235289486</v>
      </c>
      <c r="Z92" s="67">
        <f t="shared" si="32"/>
        <v>-16862.08123528949</v>
      </c>
      <c r="AA92" s="68">
        <f t="shared" si="33"/>
        <v>-16862.08123528949</v>
      </c>
      <c r="AB92" s="68">
        <f t="shared" si="34"/>
        <v>-22862.08123528949</v>
      </c>
      <c r="AC92" s="69">
        <f t="shared" si="35"/>
        <v>-5130.132322054531</v>
      </c>
      <c r="AD92" s="69">
        <f t="shared" si="36"/>
        <v>18869.867677945465</v>
      </c>
      <c r="AE92" s="69">
        <f t="shared" si="37"/>
        <v>18869.867677945465</v>
      </c>
      <c r="AF92" s="69">
        <f t="shared" si="38"/>
        <v>12869.867677945465</v>
      </c>
    </row>
    <row r="93" spans="1:32">
      <c r="A93" s="50" t="s">
        <v>199</v>
      </c>
      <c r="B93" s="50" t="s">
        <v>186</v>
      </c>
      <c r="C93" s="50" t="s">
        <v>94</v>
      </c>
      <c r="D93" s="50">
        <v>1</v>
      </c>
      <c r="E93" s="50">
        <v>2500</v>
      </c>
      <c r="F93" s="51">
        <v>0.62190000000000001</v>
      </c>
      <c r="G93" s="4">
        <f t="shared" si="20"/>
        <v>18657</v>
      </c>
      <c r="H93" s="50">
        <v>393</v>
      </c>
      <c r="I93" s="51">
        <v>0.62190000000000001</v>
      </c>
      <c r="J93" s="50">
        <v>189</v>
      </c>
      <c r="K93" s="50">
        <v>588</v>
      </c>
      <c r="L93">
        <f t="shared" si="21"/>
        <v>399</v>
      </c>
      <c r="M93">
        <f t="shared" si="22"/>
        <v>204</v>
      </c>
      <c r="N93" s="52">
        <f t="shared" si="23"/>
        <v>0.50902255639097749</v>
      </c>
      <c r="O93" s="53">
        <f t="shared" si="24"/>
        <v>0.62190000000000001</v>
      </c>
      <c r="P93" s="54">
        <v>337.52032350227847</v>
      </c>
      <c r="Q93" s="55">
        <f t="shared" si="25"/>
        <v>0.3977851097790045</v>
      </c>
      <c r="R93" s="55">
        <f t="shared" si="26"/>
        <v>0.53579286412089588</v>
      </c>
      <c r="S93" s="54">
        <f t="shared" si="27"/>
        <v>66006.958002328451</v>
      </c>
      <c r="T93" s="56">
        <f t="shared" si="39"/>
        <v>46204.870601629911</v>
      </c>
      <c r="U93" s="66">
        <f t="shared" si="28"/>
        <v>18657</v>
      </c>
      <c r="V93" s="54">
        <f t="shared" si="29"/>
        <v>27547.870601629911</v>
      </c>
      <c r="X93" s="67">
        <f t="shared" si="30"/>
        <v>6518.8131801375675</v>
      </c>
      <c r="Y93" s="67">
        <f t="shared" si="31"/>
        <v>-40118.813180137571</v>
      </c>
      <c r="Z93" s="67">
        <f t="shared" si="32"/>
        <v>-16118.813180137568</v>
      </c>
      <c r="AA93" s="68">
        <f t="shared" si="33"/>
        <v>-16118.813180137568</v>
      </c>
      <c r="AB93" s="68">
        <f t="shared" si="34"/>
        <v>-22118.813180137568</v>
      </c>
      <c r="AC93" s="69">
        <f t="shared" si="35"/>
        <v>-12570.94257850766</v>
      </c>
      <c r="AD93" s="69">
        <f t="shared" si="36"/>
        <v>11429.057421492344</v>
      </c>
      <c r="AE93" s="69">
        <f t="shared" si="37"/>
        <v>11429.057421492344</v>
      </c>
      <c r="AF93" s="69">
        <f t="shared" si="38"/>
        <v>5429.0574214923436</v>
      </c>
    </row>
    <row r="94" spans="1:32">
      <c r="A94" s="50" t="s">
        <v>200</v>
      </c>
      <c r="B94" s="50" t="s">
        <v>196</v>
      </c>
      <c r="C94" s="50" t="s">
        <v>94</v>
      </c>
      <c r="D94" s="50">
        <v>2</v>
      </c>
      <c r="E94" s="50">
        <v>900</v>
      </c>
      <c r="F94" s="51">
        <v>0.70960000000000001</v>
      </c>
      <c r="G94" s="4">
        <f t="shared" si="20"/>
        <v>7663.68</v>
      </c>
      <c r="H94" s="50">
        <v>256</v>
      </c>
      <c r="I94" s="51">
        <v>0.70960000000000001</v>
      </c>
      <c r="J94" s="50">
        <v>209</v>
      </c>
      <c r="K94" s="50">
        <v>358</v>
      </c>
      <c r="L94">
        <f t="shared" si="21"/>
        <v>149</v>
      </c>
      <c r="M94">
        <f t="shared" si="22"/>
        <v>47</v>
      </c>
      <c r="N94" s="52">
        <f t="shared" si="23"/>
        <v>0.3523489932885906</v>
      </c>
      <c r="O94" s="53">
        <f t="shared" si="24"/>
        <v>0.70960000000000001</v>
      </c>
      <c r="P94" s="54">
        <v>209</v>
      </c>
      <c r="Q94" s="55">
        <f t="shared" si="25"/>
        <v>0.1</v>
      </c>
      <c r="R94" s="55">
        <f t="shared" si="26"/>
        <v>0.77146000000000003</v>
      </c>
      <c r="S94" s="54">
        <f t="shared" si="27"/>
        <v>58850.826100000006</v>
      </c>
      <c r="T94" s="56">
        <f t="shared" si="39"/>
        <v>41195.578269999998</v>
      </c>
      <c r="U94" s="66">
        <f t="shared" si="28"/>
        <v>7663.68</v>
      </c>
      <c r="V94" s="54">
        <f t="shared" si="29"/>
        <v>33531.898269999998</v>
      </c>
      <c r="X94" s="67">
        <f t="shared" si="30"/>
        <v>9386.0966666666664</v>
      </c>
      <c r="Y94" s="67">
        <f t="shared" si="31"/>
        <v>-42986.096666666665</v>
      </c>
      <c r="Z94" s="67">
        <f t="shared" si="32"/>
        <v>-18986.096666666665</v>
      </c>
      <c r="AA94" s="68">
        <f t="shared" si="33"/>
        <v>-18986.096666666665</v>
      </c>
      <c r="AB94" s="68">
        <f t="shared" si="34"/>
        <v>-24986.096666666665</v>
      </c>
      <c r="AC94" s="69">
        <f t="shared" si="35"/>
        <v>-9454.1983966666667</v>
      </c>
      <c r="AD94" s="69">
        <f t="shared" si="36"/>
        <v>14545.801603333333</v>
      </c>
      <c r="AE94" s="69">
        <f t="shared" si="37"/>
        <v>14545.801603333333</v>
      </c>
      <c r="AF94" s="69">
        <f t="shared" si="38"/>
        <v>8545.8016033333333</v>
      </c>
    </row>
    <row r="95" spans="1:32">
      <c r="A95" s="50" t="s">
        <v>201</v>
      </c>
      <c r="B95" s="50" t="s">
        <v>202</v>
      </c>
      <c r="C95" s="50" t="s">
        <v>85</v>
      </c>
      <c r="D95" s="50">
        <v>1</v>
      </c>
      <c r="E95" s="50">
        <v>700</v>
      </c>
      <c r="F95" s="51">
        <v>0.30959999999999999</v>
      </c>
      <c r="G95" s="4">
        <f t="shared" si="20"/>
        <v>2600.64</v>
      </c>
      <c r="H95" s="50">
        <v>184</v>
      </c>
      <c r="I95" s="51">
        <v>0.30959999999999999</v>
      </c>
      <c r="J95" s="50">
        <v>42</v>
      </c>
      <c r="K95" s="50">
        <v>252</v>
      </c>
      <c r="L95">
        <f t="shared" si="21"/>
        <v>210</v>
      </c>
      <c r="M95">
        <f t="shared" si="22"/>
        <v>142</v>
      </c>
      <c r="N95" s="52">
        <f t="shared" si="23"/>
        <v>0.64095238095238094</v>
      </c>
      <c r="O95" s="53">
        <f t="shared" si="24"/>
        <v>0.30959999999999999</v>
      </c>
      <c r="P95" s="54">
        <v>148.90543393521543</v>
      </c>
      <c r="Q95" s="55">
        <f t="shared" si="25"/>
        <v>0.50725879594367784</v>
      </c>
      <c r="R95" s="55">
        <f t="shared" si="26"/>
        <v>0.44915538889017337</v>
      </c>
      <c r="S95" s="54">
        <f t="shared" si="27"/>
        <v>24411.812501766573</v>
      </c>
      <c r="T95" s="56">
        <f t="shared" si="39"/>
        <v>17088.268751236599</v>
      </c>
      <c r="U95" s="66">
        <f t="shared" si="28"/>
        <v>2600.64</v>
      </c>
      <c r="V95" s="54">
        <f t="shared" si="29"/>
        <v>14487.6287512366</v>
      </c>
      <c r="X95" s="67">
        <f t="shared" si="30"/>
        <v>5464.7238981637765</v>
      </c>
      <c r="Y95" s="67">
        <f t="shared" si="31"/>
        <v>-39064.723898163778</v>
      </c>
      <c r="Z95" s="67">
        <f t="shared" si="32"/>
        <v>-15064.723898163777</v>
      </c>
      <c r="AA95" s="68">
        <f t="shared" si="33"/>
        <v>-15064.723898163777</v>
      </c>
      <c r="AB95" s="68">
        <f t="shared" si="34"/>
        <v>-21064.723898163778</v>
      </c>
      <c r="AC95" s="69">
        <f t="shared" si="35"/>
        <v>-24577.095146927179</v>
      </c>
      <c r="AD95" s="69">
        <f t="shared" si="36"/>
        <v>-577.09514692717676</v>
      </c>
      <c r="AE95" s="69">
        <f t="shared" si="37"/>
        <v>-577.09514692717676</v>
      </c>
      <c r="AF95" s="69">
        <f t="shared" si="38"/>
        <v>-6577.0951469271786</v>
      </c>
    </row>
    <row r="96" spans="1:32">
      <c r="A96" s="50" t="s">
        <v>203</v>
      </c>
      <c r="B96" s="50" t="s">
        <v>202</v>
      </c>
      <c r="C96" s="50" t="s">
        <v>85</v>
      </c>
      <c r="D96" s="50">
        <v>2</v>
      </c>
      <c r="E96" s="50">
        <v>1000</v>
      </c>
      <c r="F96" s="51">
        <v>0.24110000000000001</v>
      </c>
      <c r="G96" s="4">
        <f t="shared" si="20"/>
        <v>2893.2000000000003</v>
      </c>
      <c r="H96" s="50">
        <v>427</v>
      </c>
      <c r="I96" s="51">
        <v>0.24110000000000001</v>
      </c>
      <c r="J96" s="50">
        <v>94</v>
      </c>
      <c r="K96" s="50">
        <v>531</v>
      </c>
      <c r="L96">
        <f t="shared" si="21"/>
        <v>437</v>
      </c>
      <c r="M96">
        <f t="shared" si="22"/>
        <v>333</v>
      </c>
      <c r="N96" s="52">
        <f t="shared" si="23"/>
        <v>0.70961098398169342</v>
      </c>
      <c r="O96" s="53">
        <f t="shared" si="24"/>
        <v>0.24110000000000001</v>
      </c>
      <c r="P96" s="54">
        <v>313.16511734673406</v>
      </c>
      <c r="Q96" s="55">
        <f t="shared" si="25"/>
        <v>0.50121760612674426</v>
      </c>
      <c r="R96" s="55">
        <f t="shared" si="26"/>
        <v>0.45393638651129464</v>
      </c>
      <c r="S96" s="54">
        <f t="shared" si="27"/>
        <v>51887.320238663138</v>
      </c>
      <c r="T96" s="56">
        <f t="shared" si="39"/>
        <v>36321.124167064198</v>
      </c>
      <c r="U96" s="66">
        <f t="shared" si="28"/>
        <v>2893.2000000000003</v>
      </c>
      <c r="V96" s="54">
        <f t="shared" si="29"/>
        <v>33427.9241670642</v>
      </c>
      <c r="X96" s="67">
        <f t="shared" si="30"/>
        <v>5522.8927025540852</v>
      </c>
      <c r="Y96" s="67">
        <f t="shared" si="31"/>
        <v>-39122.892702554083</v>
      </c>
      <c r="Z96" s="67">
        <f t="shared" si="32"/>
        <v>-15122.892702554085</v>
      </c>
      <c r="AA96" s="68">
        <f t="shared" si="33"/>
        <v>-15122.892702554085</v>
      </c>
      <c r="AB96" s="68">
        <f t="shared" si="34"/>
        <v>-21122.892702554083</v>
      </c>
      <c r="AC96" s="69">
        <f t="shared" si="35"/>
        <v>-5694.9685354898829</v>
      </c>
      <c r="AD96" s="69">
        <f t="shared" si="36"/>
        <v>18305.031464510117</v>
      </c>
      <c r="AE96" s="69">
        <f t="shared" si="37"/>
        <v>18305.031464510117</v>
      </c>
      <c r="AF96" s="69">
        <f t="shared" si="38"/>
        <v>12305.031464510117</v>
      </c>
    </row>
    <row r="97" spans="1:32">
      <c r="A97" s="50" t="s">
        <v>204</v>
      </c>
      <c r="B97" s="50" t="s">
        <v>202</v>
      </c>
      <c r="C97" s="50" t="s">
        <v>94</v>
      </c>
      <c r="D97" s="50">
        <v>1</v>
      </c>
      <c r="E97" s="50">
        <v>900</v>
      </c>
      <c r="F97" s="51">
        <v>4.6600000000000003E-2</v>
      </c>
      <c r="G97" s="4">
        <f t="shared" si="20"/>
        <v>503.28000000000003</v>
      </c>
      <c r="H97" s="50">
        <v>418</v>
      </c>
      <c r="I97" s="51">
        <v>4.6600000000000003E-2</v>
      </c>
      <c r="J97" s="50">
        <v>86</v>
      </c>
      <c r="K97" s="50">
        <v>488</v>
      </c>
      <c r="L97">
        <f t="shared" si="21"/>
        <v>402</v>
      </c>
      <c r="M97">
        <f t="shared" si="22"/>
        <v>332</v>
      </c>
      <c r="N97" s="52">
        <f t="shared" si="23"/>
        <v>0.76069651741293531</v>
      </c>
      <c r="O97" s="53">
        <f t="shared" si="24"/>
        <v>4.6600000000000003E-2</v>
      </c>
      <c r="P97" s="54">
        <v>287.84754496169813</v>
      </c>
      <c r="Q97" s="55">
        <f t="shared" si="25"/>
        <v>0.50168665664019541</v>
      </c>
      <c r="R97" s="55">
        <f t="shared" si="26"/>
        <v>0.45356517993494938</v>
      </c>
      <c r="S97" s="54">
        <f t="shared" si="27"/>
        <v>47653.532586400906</v>
      </c>
      <c r="T97" s="56">
        <f t="shared" si="39"/>
        <v>33357.472810480635</v>
      </c>
      <c r="U97" s="66">
        <f t="shared" si="28"/>
        <v>503.28000000000003</v>
      </c>
      <c r="V97" s="54">
        <f t="shared" si="29"/>
        <v>32854.192810480636</v>
      </c>
      <c r="X97" s="67">
        <f t="shared" si="30"/>
        <v>5518.376355875218</v>
      </c>
      <c r="Y97" s="67">
        <f t="shared" si="31"/>
        <v>-39118.376355875218</v>
      </c>
      <c r="Z97" s="67">
        <f t="shared" si="32"/>
        <v>-15118.376355875218</v>
      </c>
      <c r="AA97" s="68">
        <f t="shared" si="33"/>
        <v>-15118.376355875218</v>
      </c>
      <c r="AB97" s="68">
        <f t="shared" si="34"/>
        <v>-21118.376355875218</v>
      </c>
      <c r="AC97" s="69">
        <f t="shared" si="35"/>
        <v>-6264.1835453945823</v>
      </c>
      <c r="AD97" s="69">
        <f t="shared" si="36"/>
        <v>17735.816454605418</v>
      </c>
      <c r="AE97" s="69">
        <f t="shared" si="37"/>
        <v>17735.816454605418</v>
      </c>
      <c r="AF97" s="69">
        <f t="shared" si="38"/>
        <v>11735.816454605418</v>
      </c>
    </row>
    <row r="98" spans="1:32">
      <c r="A98" s="50" t="s">
        <v>205</v>
      </c>
      <c r="B98" s="50" t="s">
        <v>202</v>
      </c>
      <c r="C98" s="50" t="s">
        <v>94</v>
      </c>
      <c r="D98" s="50">
        <v>2</v>
      </c>
      <c r="E98" s="50">
        <v>1200</v>
      </c>
      <c r="F98" s="51">
        <v>0.63560000000000005</v>
      </c>
      <c r="G98" s="4">
        <f t="shared" si="20"/>
        <v>9152.6400000000012</v>
      </c>
      <c r="H98" s="50">
        <v>219</v>
      </c>
      <c r="I98" s="51">
        <v>0.63560000000000005</v>
      </c>
      <c r="J98" s="50">
        <v>83</v>
      </c>
      <c r="K98" s="50">
        <v>556</v>
      </c>
      <c r="L98">
        <f t="shared" si="21"/>
        <v>473</v>
      </c>
      <c r="M98">
        <f t="shared" si="22"/>
        <v>136</v>
      </c>
      <c r="N98" s="52">
        <f t="shared" si="23"/>
        <v>0.33002114164904867</v>
      </c>
      <c r="O98" s="53">
        <f t="shared" si="24"/>
        <v>0.63560000000000005</v>
      </c>
      <c r="P98" s="54">
        <v>329.59176310169954</v>
      </c>
      <c r="Q98" s="55">
        <f t="shared" si="25"/>
        <v>0.51706852110224022</v>
      </c>
      <c r="R98" s="55">
        <f t="shared" si="26"/>
        <v>0.44139197239968714</v>
      </c>
      <c r="S98" s="54">
        <f t="shared" si="27"/>
        <v>53099.892816784602</v>
      </c>
      <c r="T98" s="56">
        <f t="shared" si="39"/>
        <v>37169.92497174922</v>
      </c>
      <c r="U98" s="66">
        <f t="shared" si="28"/>
        <v>9152.6400000000012</v>
      </c>
      <c r="V98" s="54">
        <f t="shared" si="29"/>
        <v>28017.284971749221</v>
      </c>
      <c r="X98" s="67">
        <f t="shared" si="30"/>
        <v>5370.268997529527</v>
      </c>
      <c r="Y98" s="67">
        <f t="shared" si="31"/>
        <v>-38970.268997529529</v>
      </c>
      <c r="Z98" s="67">
        <f t="shared" si="32"/>
        <v>-14970.268997529527</v>
      </c>
      <c r="AA98" s="68">
        <f t="shared" si="33"/>
        <v>-14970.268997529527</v>
      </c>
      <c r="AB98" s="68">
        <f t="shared" si="34"/>
        <v>-20970.268997529529</v>
      </c>
      <c r="AC98" s="69">
        <f t="shared" si="35"/>
        <v>-10952.984025780308</v>
      </c>
      <c r="AD98" s="69">
        <f t="shared" si="36"/>
        <v>13047.015974219694</v>
      </c>
      <c r="AE98" s="69">
        <f t="shared" si="37"/>
        <v>13047.015974219694</v>
      </c>
      <c r="AF98" s="69">
        <f t="shared" si="38"/>
        <v>7047.015974219692</v>
      </c>
    </row>
    <row r="99" spans="1:32">
      <c r="A99" s="50" t="s">
        <v>206</v>
      </c>
      <c r="B99" s="50" t="s">
        <v>207</v>
      </c>
      <c r="C99" s="50" t="s">
        <v>85</v>
      </c>
      <c r="D99" s="50">
        <v>1</v>
      </c>
      <c r="E99" s="50">
        <v>1100</v>
      </c>
      <c r="F99" s="51">
        <v>0.43009999999999998</v>
      </c>
      <c r="G99" s="4">
        <f t="shared" si="20"/>
        <v>5677.32</v>
      </c>
      <c r="H99" s="50">
        <v>220</v>
      </c>
      <c r="I99" s="51">
        <v>0.43009999999999998</v>
      </c>
      <c r="J99" s="50">
        <v>84</v>
      </c>
      <c r="K99" s="50">
        <v>301</v>
      </c>
      <c r="L99">
        <f t="shared" si="21"/>
        <v>217</v>
      </c>
      <c r="M99">
        <f t="shared" si="22"/>
        <v>136</v>
      </c>
      <c r="N99" s="52">
        <f t="shared" si="23"/>
        <v>0.60138248847926268</v>
      </c>
      <c r="O99" s="53">
        <f t="shared" si="24"/>
        <v>0.43009999999999998</v>
      </c>
      <c r="P99" s="54">
        <v>174.16894889972264</v>
      </c>
      <c r="Q99" s="55">
        <f t="shared" si="25"/>
        <v>0.43242008810957655</v>
      </c>
      <c r="R99" s="55">
        <f t="shared" si="26"/>
        <v>0.50838274227008107</v>
      </c>
      <c r="S99" s="54">
        <f t="shared" si="27"/>
        <v>32318.738068877596</v>
      </c>
      <c r="T99" s="56">
        <f t="shared" si="39"/>
        <v>22623.116648214316</v>
      </c>
      <c r="U99" s="66">
        <f t="shared" si="28"/>
        <v>5677.32</v>
      </c>
      <c r="V99" s="54">
        <f t="shared" si="29"/>
        <v>16945.796648214317</v>
      </c>
      <c r="X99" s="67">
        <f t="shared" si="30"/>
        <v>6185.3233642859859</v>
      </c>
      <c r="Y99" s="67">
        <f t="shared" si="31"/>
        <v>-39785.323364285985</v>
      </c>
      <c r="Z99" s="67">
        <f t="shared" si="32"/>
        <v>-15785.323364285985</v>
      </c>
      <c r="AA99" s="68">
        <f t="shared" si="33"/>
        <v>-15785.323364285985</v>
      </c>
      <c r="AB99" s="68">
        <f t="shared" si="34"/>
        <v>-21785.323364285985</v>
      </c>
      <c r="AC99" s="69">
        <f t="shared" si="35"/>
        <v>-22839.526716071668</v>
      </c>
      <c r="AD99" s="69">
        <f t="shared" si="36"/>
        <v>1160.4732839283315</v>
      </c>
      <c r="AE99" s="69">
        <f t="shared" si="37"/>
        <v>1160.4732839283315</v>
      </c>
      <c r="AF99" s="69">
        <f t="shared" si="38"/>
        <v>-4839.5267160716685</v>
      </c>
    </row>
    <row r="100" spans="1:32">
      <c r="A100" s="50" t="s">
        <v>208</v>
      </c>
      <c r="B100" s="50" t="s">
        <v>207</v>
      </c>
      <c r="C100" s="50" t="s">
        <v>85</v>
      </c>
      <c r="D100" s="50">
        <v>2</v>
      </c>
      <c r="E100" s="50">
        <v>1400</v>
      </c>
      <c r="F100" s="51">
        <v>0.38080000000000003</v>
      </c>
      <c r="G100" s="4">
        <f t="shared" si="20"/>
        <v>6397.4400000000005</v>
      </c>
      <c r="H100" s="50">
        <v>481</v>
      </c>
      <c r="I100" s="51">
        <v>0.38080000000000003</v>
      </c>
      <c r="J100" s="50">
        <v>134</v>
      </c>
      <c r="K100" s="50">
        <v>568</v>
      </c>
      <c r="L100">
        <f t="shared" si="21"/>
        <v>434</v>
      </c>
      <c r="M100">
        <f t="shared" si="22"/>
        <v>347</v>
      </c>
      <c r="N100" s="52">
        <f t="shared" si="23"/>
        <v>0.73963133640553003</v>
      </c>
      <c r="O100" s="53">
        <f t="shared" si="24"/>
        <v>0.38080000000000003</v>
      </c>
      <c r="P100" s="54">
        <v>331.33789679946051</v>
      </c>
      <c r="Q100" s="55">
        <f t="shared" si="25"/>
        <v>0.46375649179624057</v>
      </c>
      <c r="R100" s="55">
        <f t="shared" si="26"/>
        <v>0.48358311239245522</v>
      </c>
      <c r="S100" s="54">
        <f t="shared" si="27"/>
        <v>58483.735156566436</v>
      </c>
      <c r="T100" s="56">
        <f t="shared" si="39"/>
        <v>40938.614609596501</v>
      </c>
      <c r="U100" s="66">
        <f t="shared" si="28"/>
        <v>6397.4400000000005</v>
      </c>
      <c r="V100" s="54">
        <f t="shared" si="29"/>
        <v>34541.174609596499</v>
      </c>
      <c r="X100" s="67">
        <f t="shared" si="30"/>
        <v>5883.5945341082052</v>
      </c>
      <c r="Y100" s="67">
        <f t="shared" si="31"/>
        <v>-39483.594534108204</v>
      </c>
      <c r="Z100" s="67">
        <f t="shared" si="32"/>
        <v>-15483.594534108204</v>
      </c>
      <c r="AA100" s="68">
        <f t="shared" si="33"/>
        <v>-15483.594534108204</v>
      </c>
      <c r="AB100" s="68">
        <f t="shared" si="34"/>
        <v>-21483.594534108204</v>
      </c>
      <c r="AC100" s="69">
        <f t="shared" si="35"/>
        <v>-4942.4199245117052</v>
      </c>
      <c r="AD100" s="69">
        <f t="shared" si="36"/>
        <v>19057.580075488295</v>
      </c>
      <c r="AE100" s="69">
        <f t="shared" si="37"/>
        <v>19057.580075488295</v>
      </c>
      <c r="AF100" s="69">
        <f t="shared" si="38"/>
        <v>13057.580075488295</v>
      </c>
    </row>
    <row r="101" spans="1:32">
      <c r="A101" s="50" t="s">
        <v>209</v>
      </c>
      <c r="B101" s="50" t="s">
        <v>207</v>
      </c>
      <c r="C101" s="50" t="s">
        <v>94</v>
      </c>
      <c r="D101" s="50">
        <v>1</v>
      </c>
      <c r="E101" s="50">
        <v>1300</v>
      </c>
      <c r="F101" s="51">
        <v>0.45750000000000002</v>
      </c>
      <c r="G101" s="4">
        <f t="shared" si="20"/>
        <v>7137</v>
      </c>
      <c r="H101" s="50">
        <v>280</v>
      </c>
      <c r="I101" s="51">
        <v>0.45750000000000002</v>
      </c>
      <c r="J101" s="50">
        <v>109</v>
      </c>
      <c r="K101" s="50">
        <v>615</v>
      </c>
      <c r="L101">
        <f t="shared" si="21"/>
        <v>506</v>
      </c>
      <c r="M101">
        <f t="shared" si="22"/>
        <v>171</v>
      </c>
      <c r="N101" s="52">
        <f t="shared" si="23"/>
        <v>0.37035573122529653</v>
      </c>
      <c r="O101" s="53">
        <f t="shared" si="24"/>
        <v>0.45750000000000002</v>
      </c>
      <c r="P101" s="54">
        <v>362.69118843437627</v>
      </c>
      <c r="Q101" s="55">
        <f t="shared" si="25"/>
        <v>0.50109278803853963</v>
      </c>
      <c r="R101" s="55">
        <f t="shared" si="26"/>
        <v>0.45403516754629974</v>
      </c>
      <c r="S101" s="54">
        <f t="shared" si="27"/>
        <v>60106.212395554539</v>
      </c>
      <c r="T101" s="56">
        <f t="shared" si="39"/>
        <v>42074.348676888178</v>
      </c>
      <c r="U101" s="66">
        <f t="shared" si="28"/>
        <v>7137</v>
      </c>
      <c r="V101" s="54">
        <f t="shared" si="29"/>
        <v>34937.348676888178</v>
      </c>
      <c r="X101" s="67">
        <f t="shared" si="30"/>
        <v>5524.0945384799807</v>
      </c>
      <c r="Y101" s="67">
        <f t="shared" si="31"/>
        <v>-39124.094538479978</v>
      </c>
      <c r="Z101" s="67">
        <f t="shared" si="32"/>
        <v>-15124.094538479982</v>
      </c>
      <c r="AA101" s="68">
        <f t="shared" si="33"/>
        <v>-15124.094538479982</v>
      </c>
      <c r="AB101" s="68">
        <f t="shared" si="34"/>
        <v>-21124.094538479982</v>
      </c>
      <c r="AC101" s="69">
        <f t="shared" si="35"/>
        <v>-4186.7458615918003</v>
      </c>
      <c r="AD101" s="69">
        <f t="shared" si="36"/>
        <v>19813.254138408196</v>
      </c>
      <c r="AE101" s="69">
        <f t="shared" si="37"/>
        <v>19813.254138408196</v>
      </c>
      <c r="AF101" s="69">
        <f t="shared" si="38"/>
        <v>13813.254138408196</v>
      </c>
    </row>
    <row r="102" spans="1:32">
      <c r="A102" s="50" t="s">
        <v>210</v>
      </c>
      <c r="B102" s="50" t="s">
        <v>207</v>
      </c>
      <c r="C102" s="50" t="s">
        <v>94</v>
      </c>
      <c r="D102" s="50">
        <v>2</v>
      </c>
      <c r="E102" s="50">
        <v>1900</v>
      </c>
      <c r="F102" s="51">
        <v>0.189</v>
      </c>
      <c r="G102" s="4">
        <f t="shared" si="20"/>
        <v>4309.2</v>
      </c>
      <c r="H102" s="50">
        <v>568</v>
      </c>
      <c r="I102" s="51">
        <v>0.189</v>
      </c>
      <c r="J102" s="50">
        <v>227</v>
      </c>
      <c r="K102" s="50">
        <v>861</v>
      </c>
      <c r="L102">
        <f t="shared" si="21"/>
        <v>634</v>
      </c>
      <c r="M102">
        <f t="shared" si="22"/>
        <v>341</v>
      </c>
      <c r="N102" s="52">
        <f t="shared" si="23"/>
        <v>0.53028391167192435</v>
      </c>
      <c r="O102" s="53">
        <f t="shared" si="24"/>
        <v>0.189</v>
      </c>
      <c r="P102" s="54">
        <v>499.6525981602407</v>
      </c>
      <c r="Q102" s="55">
        <f t="shared" si="25"/>
        <v>0.44404113332522488</v>
      </c>
      <c r="R102" s="55">
        <f t="shared" si="26"/>
        <v>0.49918584708641706</v>
      </c>
      <c r="S102" s="54">
        <f t="shared" si="27"/>
        <v>91038.119493465361</v>
      </c>
      <c r="T102" s="56">
        <f t="shared" si="39"/>
        <v>63726.68364542575</v>
      </c>
      <c r="U102" s="66">
        <f t="shared" si="28"/>
        <v>4309.2</v>
      </c>
      <c r="V102" s="54">
        <f t="shared" si="29"/>
        <v>59417.483645425753</v>
      </c>
      <c r="X102" s="67">
        <f t="shared" si="30"/>
        <v>6073.4278062180738</v>
      </c>
      <c r="Y102" s="67">
        <f t="shared" si="31"/>
        <v>-39673.427806218075</v>
      </c>
      <c r="Z102" s="67">
        <f t="shared" si="32"/>
        <v>-15673.427806218075</v>
      </c>
      <c r="AA102" s="68">
        <f t="shared" si="33"/>
        <v>-15673.427806218075</v>
      </c>
      <c r="AB102" s="68">
        <f t="shared" si="34"/>
        <v>-21673.427806218075</v>
      </c>
      <c r="AC102" s="69">
        <f t="shared" si="35"/>
        <v>19744.055839207678</v>
      </c>
      <c r="AD102" s="69">
        <f t="shared" si="36"/>
        <v>43744.055839207678</v>
      </c>
      <c r="AE102" s="69">
        <f t="shared" si="37"/>
        <v>43744.055839207678</v>
      </c>
      <c r="AF102" s="69">
        <f t="shared" si="38"/>
        <v>37744.055839207678</v>
      </c>
    </row>
    <row r="103" spans="1:32">
      <c r="A103" s="50" t="s">
        <v>211</v>
      </c>
      <c r="B103" s="50" t="s">
        <v>212</v>
      </c>
      <c r="C103" s="50" t="s">
        <v>85</v>
      </c>
      <c r="D103" s="50">
        <v>1</v>
      </c>
      <c r="E103" s="50">
        <v>900</v>
      </c>
      <c r="F103" s="51">
        <v>0.29039999999999999</v>
      </c>
      <c r="G103" s="4">
        <f t="shared" si="20"/>
        <v>3136.3199999999997</v>
      </c>
      <c r="H103" s="50">
        <v>318</v>
      </c>
      <c r="I103" s="51">
        <v>0.29039999999999999</v>
      </c>
      <c r="J103" s="50">
        <v>176</v>
      </c>
      <c r="K103" s="50">
        <v>440</v>
      </c>
      <c r="L103">
        <f t="shared" si="21"/>
        <v>264</v>
      </c>
      <c r="M103">
        <f t="shared" si="22"/>
        <v>142</v>
      </c>
      <c r="N103" s="52">
        <f t="shared" si="23"/>
        <v>0.53030303030303039</v>
      </c>
      <c r="O103" s="53">
        <f t="shared" si="24"/>
        <v>0.29039999999999999</v>
      </c>
      <c r="P103" s="54">
        <v>248.79540272391367</v>
      </c>
      <c r="Q103" s="55">
        <f t="shared" si="25"/>
        <v>0.32059212946640503</v>
      </c>
      <c r="R103" s="55">
        <f t="shared" si="26"/>
        <v>0.59688338874028712</v>
      </c>
      <c r="S103" s="54">
        <f t="shared" si="27"/>
        <v>54203.172724511729</v>
      </c>
      <c r="T103" s="56">
        <f t="shared" si="39"/>
        <v>37942.220907158211</v>
      </c>
      <c r="U103" s="66">
        <f t="shared" si="28"/>
        <v>3136.3199999999997</v>
      </c>
      <c r="V103" s="54">
        <f t="shared" si="29"/>
        <v>34805.900907158211</v>
      </c>
      <c r="X103" s="67">
        <f t="shared" si="30"/>
        <v>7262.0812296734939</v>
      </c>
      <c r="Y103" s="67">
        <f t="shared" si="31"/>
        <v>-40862.081229673495</v>
      </c>
      <c r="Z103" s="67">
        <f t="shared" si="32"/>
        <v>-16862.081229673495</v>
      </c>
      <c r="AA103" s="68">
        <f t="shared" si="33"/>
        <v>-16862.081229673495</v>
      </c>
      <c r="AB103" s="68">
        <f t="shared" si="34"/>
        <v>-22862.081229673495</v>
      </c>
      <c r="AC103" s="69">
        <f t="shared" si="35"/>
        <v>-6056.1803225152835</v>
      </c>
      <c r="AD103" s="69">
        <f t="shared" si="36"/>
        <v>17943.819677484717</v>
      </c>
      <c r="AE103" s="69">
        <f t="shared" si="37"/>
        <v>17943.819677484717</v>
      </c>
      <c r="AF103" s="69">
        <f t="shared" si="38"/>
        <v>11943.819677484717</v>
      </c>
    </row>
    <row r="104" spans="1:32">
      <c r="A104" s="50" t="s">
        <v>213</v>
      </c>
      <c r="B104" s="50" t="s">
        <v>186</v>
      </c>
      <c r="C104" s="50" t="s">
        <v>94</v>
      </c>
      <c r="D104" s="50">
        <v>2</v>
      </c>
      <c r="E104" s="50">
        <v>2800</v>
      </c>
      <c r="F104" s="51">
        <v>0.29859999999999998</v>
      </c>
      <c r="G104" s="4">
        <f t="shared" si="20"/>
        <v>10032.959999999999</v>
      </c>
      <c r="H104" s="50">
        <v>556</v>
      </c>
      <c r="I104" s="51">
        <v>0.29859999999999998</v>
      </c>
      <c r="J104" s="50">
        <v>191</v>
      </c>
      <c r="K104" s="50">
        <v>826</v>
      </c>
      <c r="L104">
        <f t="shared" si="21"/>
        <v>635</v>
      </c>
      <c r="M104">
        <f t="shared" si="22"/>
        <v>365</v>
      </c>
      <c r="N104" s="52">
        <f t="shared" si="23"/>
        <v>0.5598425196850394</v>
      </c>
      <c r="O104" s="53">
        <f t="shared" si="24"/>
        <v>0.29859999999999998</v>
      </c>
      <c r="P104" s="54">
        <v>482.26166928029426</v>
      </c>
      <c r="Q104" s="55">
        <f t="shared" si="25"/>
        <v>0.46694383531375661</v>
      </c>
      <c r="R104" s="55">
        <f t="shared" si="26"/>
        <v>0.48106064873269305</v>
      </c>
      <c r="S104" s="54">
        <f t="shared" si="27"/>
        <v>84678.94569125479</v>
      </c>
      <c r="T104" s="56">
        <f t="shared" si="39"/>
        <v>59275.26198387835</v>
      </c>
      <c r="U104" s="66">
        <f t="shared" si="28"/>
        <v>10032.959999999999</v>
      </c>
      <c r="V104" s="54">
        <f t="shared" si="29"/>
        <v>49242.301983878351</v>
      </c>
      <c r="X104" s="67">
        <f t="shared" si="30"/>
        <v>5852.9045595810994</v>
      </c>
      <c r="Y104" s="67">
        <f t="shared" si="31"/>
        <v>-39452.904559581097</v>
      </c>
      <c r="Z104" s="67">
        <f t="shared" si="32"/>
        <v>-15452.9045595811</v>
      </c>
      <c r="AA104" s="68">
        <f t="shared" si="33"/>
        <v>-15452.9045595811</v>
      </c>
      <c r="AB104" s="68">
        <f t="shared" si="34"/>
        <v>-21452.9045595811</v>
      </c>
      <c r="AC104" s="69">
        <f t="shared" si="35"/>
        <v>9789.3974242972545</v>
      </c>
      <c r="AD104" s="69">
        <f t="shared" si="36"/>
        <v>33789.397424297247</v>
      </c>
      <c r="AE104" s="69">
        <f t="shared" si="37"/>
        <v>33789.397424297247</v>
      </c>
      <c r="AF104" s="69">
        <f t="shared" si="38"/>
        <v>27789.397424297251</v>
      </c>
    </row>
    <row r="105" spans="1:32">
      <c r="A105" s="50" t="s">
        <v>214</v>
      </c>
      <c r="B105" s="50" t="s">
        <v>212</v>
      </c>
      <c r="C105" s="50" t="s">
        <v>85</v>
      </c>
      <c r="D105" s="50">
        <v>2</v>
      </c>
      <c r="E105" s="50">
        <v>1100</v>
      </c>
      <c r="F105" s="51">
        <v>0.58079999999999998</v>
      </c>
      <c r="G105" s="4">
        <f t="shared" si="20"/>
        <v>7666.5599999999995</v>
      </c>
      <c r="H105" s="50">
        <v>538</v>
      </c>
      <c r="I105" s="51">
        <v>0.58079999999999998</v>
      </c>
      <c r="J105" s="50">
        <v>225</v>
      </c>
      <c r="K105" s="50">
        <v>1033</v>
      </c>
      <c r="L105">
        <f t="shared" si="21"/>
        <v>808</v>
      </c>
      <c r="M105">
        <f t="shared" si="22"/>
        <v>313</v>
      </c>
      <c r="N105" s="52">
        <f t="shared" si="23"/>
        <v>0.40990099009900993</v>
      </c>
      <c r="O105" s="53">
        <f t="shared" si="24"/>
        <v>0.58079999999999998</v>
      </c>
      <c r="P105" s="54">
        <v>604.63138390311474</v>
      </c>
      <c r="Q105" s="55">
        <f t="shared" si="25"/>
        <v>0.47587265732981665</v>
      </c>
      <c r="R105" s="55">
        <f t="shared" si="26"/>
        <v>0.47399437898918312</v>
      </c>
      <c r="S105" s="54">
        <f t="shared" si="27"/>
        <v>104606.03522564244</v>
      </c>
      <c r="T105" s="56">
        <f t="shared" si="39"/>
        <v>73224.2246579497</v>
      </c>
      <c r="U105" s="66">
        <f t="shared" si="28"/>
        <v>7666.5599999999995</v>
      </c>
      <c r="V105" s="54">
        <f t="shared" si="29"/>
        <v>65557.664657949703</v>
      </c>
      <c r="X105" s="67">
        <f t="shared" si="30"/>
        <v>5766.931611035061</v>
      </c>
      <c r="Y105" s="67">
        <f t="shared" si="31"/>
        <v>-39366.931611035063</v>
      </c>
      <c r="Z105" s="67">
        <f t="shared" si="32"/>
        <v>-15366.931611035061</v>
      </c>
      <c r="AA105" s="68">
        <f t="shared" si="33"/>
        <v>-15366.931611035061</v>
      </c>
      <c r="AB105" s="68">
        <f t="shared" si="34"/>
        <v>-21366.931611035063</v>
      </c>
      <c r="AC105" s="69">
        <f t="shared" si="35"/>
        <v>26190.73304691464</v>
      </c>
      <c r="AD105" s="69">
        <f t="shared" si="36"/>
        <v>50190.73304691464</v>
      </c>
      <c r="AE105" s="69">
        <f t="shared" si="37"/>
        <v>50190.73304691464</v>
      </c>
      <c r="AF105" s="69">
        <f t="shared" si="38"/>
        <v>44190.73304691464</v>
      </c>
    </row>
    <row r="106" spans="1:32">
      <c r="A106" s="50" t="s">
        <v>215</v>
      </c>
      <c r="B106" s="50" t="s">
        <v>212</v>
      </c>
      <c r="C106" s="50" t="s">
        <v>94</v>
      </c>
      <c r="D106" s="50">
        <v>1</v>
      </c>
      <c r="E106" s="50">
        <v>1300</v>
      </c>
      <c r="F106" s="51">
        <v>0.39179999999999998</v>
      </c>
      <c r="G106" s="4">
        <f t="shared" si="20"/>
        <v>6112.08</v>
      </c>
      <c r="H106" s="50">
        <v>318</v>
      </c>
      <c r="I106" s="51">
        <v>0.39179999999999998</v>
      </c>
      <c r="J106" s="50">
        <v>157</v>
      </c>
      <c r="K106" s="50">
        <v>471</v>
      </c>
      <c r="L106">
        <f t="shared" si="21"/>
        <v>314</v>
      </c>
      <c r="M106">
        <f t="shared" si="22"/>
        <v>161</v>
      </c>
      <c r="N106" s="52">
        <f t="shared" si="23"/>
        <v>0.51019108280254777</v>
      </c>
      <c r="O106" s="53">
        <f t="shared" si="24"/>
        <v>0.39179999999999998</v>
      </c>
      <c r="P106" s="54">
        <v>269.74907740691702</v>
      </c>
      <c r="Q106" s="55">
        <f t="shared" si="25"/>
        <v>0.38725879594118984</v>
      </c>
      <c r="R106" s="55">
        <f t="shared" si="26"/>
        <v>0.5441233888921424</v>
      </c>
      <c r="S106" s="54">
        <f t="shared" si="27"/>
        <v>53573.525484450896</v>
      </c>
      <c r="T106" s="56">
        <f t="shared" si="39"/>
        <v>37501.467839115627</v>
      </c>
      <c r="U106" s="66">
        <f t="shared" si="28"/>
        <v>6112.08</v>
      </c>
      <c r="V106" s="54">
        <f t="shared" si="29"/>
        <v>31389.387839115625</v>
      </c>
      <c r="X106" s="67">
        <f t="shared" si="30"/>
        <v>6620.1678981877321</v>
      </c>
      <c r="Y106" s="67">
        <f t="shared" si="31"/>
        <v>-40220.167898187734</v>
      </c>
      <c r="Z106" s="67">
        <f t="shared" si="32"/>
        <v>-16220.167898187732</v>
      </c>
      <c r="AA106" s="68">
        <f t="shared" si="33"/>
        <v>-16220.167898187732</v>
      </c>
      <c r="AB106" s="68">
        <f t="shared" si="34"/>
        <v>-22220.167898187734</v>
      </c>
      <c r="AC106" s="69">
        <f t="shared" si="35"/>
        <v>-8830.780059072109</v>
      </c>
      <c r="AD106" s="69">
        <f t="shared" si="36"/>
        <v>15169.219940927893</v>
      </c>
      <c r="AE106" s="69">
        <f t="shared" si="37"/>
        <v>15169.219940927893</v>
      </c>
      <c r="AF106" s="69">
        <f t="shared" si="38"/>
        <v>9169.219940927891</v>
      </c>
    </row>
    <row r="107" spans="1:32">
      <c r="A107" s="50" t="s">
        <v>216</v>
      </c>
      <c r="B107" s="50" t="s">
        <v>212</v>
      </c>
      <c r="C107" s="50" t="s">
        <v>94</v>
      </c>
      <c r="D107" s="50">
        <v>2</v>
      </c>
      <c r="E107" s="50">
        <v>1600</v>
      </c>
      <c r="F107" s="51">
        <v>0.38629999999999998</v>
      </c>
      <c r="G107" s="4">
        <f t="shared" si="20"/>
        <v>7416.9599999999991</v>
      </c>
      <c r="H107" s="50">
        <v>680</v>
      </c>
      <c r="I107" s="51">
        <v>0.38629999999999998</v>
      </c>
      <c r="J107" s="50">
        <v>253</v>
      </c>
      <c r="K107" s="50">
        <v>886</v>
      </c>
      <c r="L107">
        <f t="shared" si="21"/>
        <v>633</v>
      </c>
      <c r="M107">
        <f t="shared" si="22"/>
        <v>427</v>
      </c>
      <c r="N107" s="52">
        <f t="shared" si="23"/>
        <v>0.63965244865718796</v>
      </c>
      <c r="O107" s="53">
        <f t="shared" si="24"/>
        <v>0.38629999999999998</v>
      </c>
      <c r="P107" s="54">
        <v>512.04352229043525</v>
      </c>
      <c r="Q107" s="55">
        <f t="shared" si="25"/>
        <v>0.4273851782501551</v>
      </c>
      <c r="R107" s="55">
        <f t="shared" si="26"/>
        <v>0.51236736993282728</v>
      </c>
      <c r="S107" s="54">
        <f t="shared" si="27"/>
        <v>95759.353374588332</v>
      </c>
      <c r="T107" s="56">
        <f t="shared" si="39"/>
        <v>67031.54736221183</v>
      </c>
      <c r="U107" s="66">
        <f t="shared" si="28"/>
        <v>7416.9599999999991</v>
      </c>
      <c r="V107" s="54">
        <f t="shared" si="29"/>
        <v>59614.587362211831</v>
      </c>
      <c r="X107" s="67">
        <f t="shared" si="30"/>
        <v>6233.8030008493988</v>
      </c>
      <c r="Y107" s="67">
        <f t="shared" si="31"/>
        <v>-39833.803000849395</v>
      </c>
      <c r="Z107" s="67">
        <f t="shared" si="32"/>
        <v>-15833.803000849399</v>
      </c>
      <c r="AA107" s="68">
        <f t="shared" si="33"/>
        <v>-15833.803000849399</v>
      </c>
      <c r="AB107" s="68">
        <f t="shared" si="34"/>
        <v>-21833.803000849399</v>
      </c>
      <c r="AC107" s="69">
        <f t="shared" si="35"/>
        <v>19780.784361362435</v>
      </c>
      <c r="AD107" s="69">
        <f t="shared" si="36"/>
        <v>43780.784361362428</v>
      </c>
      <c r="AE107" s="69">
        <f t="shared" si="37"/>
        <v>43780.784361362428</v>
      </c>
      <c r="AF107" s="69">
        <f t="shared" si="38"/>
        <v>37780.784361362428</v>
      </c>
    </row>
    <row r="108" spans="1:32">
      <c r="A108" s="50" t="s">
        <v>217</v>
      </c>
      <c r="B108" s="50" t="s">
        <v>218</v>
      </c>
      <c r="C108" s="50" t="s">
        <v>85</v>
      </c>
      <c r="D108" s="50">
        <v>1</v>
      </c>
      <c r="E108" s="50">
        <v>1400</v>
      </c>
      <c r="F108" s="51">
        <v>0.48770000000000002</v>
      </c>
      <c r="G108" s="4">
        <f t="shared" si="20"/>
        <v>8193.36</v>
      </c>
      <c r="H108" s="50">
        <v>202</v>
      </c>
      <c r="I108" s="51">
        <v>0.48770000000000002</v>
      </c>
      <c r="J108" s="50">
        <v>76</v>
      </c>
      <c r="K108" s="50">
        <v>342</v>
      </c>
      <c r="L108">
        <f t="shared" si="21"/>
        <v>266</v>
      </c>
      <c r="M108">
        <f t="shared" si="22"/>
        <v>126</v>
      </c>
      <c r="N108" s="52">
        <f t="shared" si="23"/>
        <v>0.47894736842105268</v>
      </c>
      <c r="O108" s="53">
        <f t="shared" si="24"/>
        <v>0.48770000000000002</v>
      </c>
      <c r="P108" s="54">
        <v>200.01354965127288</v>
      </c>
      <c r="Q108" s="55">
        <f t="shared" si="25"/>
        <v>0.47297308165796359</v>
      </c>
      <c r="R108" s="55">
        <f t="shared" si="26"/>
        <v>0.47628910317588763</v>
      </c>
      <c r="S108" s="54">
        <f t="shared" si="27"/>
        <v>34771.460078047181</v>
      </c>
      <c r="T108" s="56">
        <f t="shared" si="39"/>
        <v>24340.022054633024</v>
      </c>
      <c r="U108" s="66">
        <f t="shared" si="28"/>
        <v>8193.36</v>
      </c>
      <c r="V108" s="54">
        <f t="shared" si="29"/>
        <v>16146.662054633023</v>
      </c>
      <c r="X108" s="67">
        <f t="shared" si="30"/>
        <v>5794.8507553066329</v>
      </c>
      <c r="Y108" s="67">
        <f t="shared" si="31"/>
        <v>-39394.85075530663</v>
      </c>
      <c r="Z108" s="67">
        <f t="shared" si="32"/>
        <v>-15394.850755306634</v>
      </c>
      <c r="AA108" s="68">
        <f t="shared" si="33"/>
        <v>-15394.850755306634</v>
      </c>
      <c r="AB108" s="68">
        <f t="shared" si="34"/>
        <v>-21394.850755306634</v>
      </c>
      <c r="AC108" s="69">
        <f t="shared" si="35"/>
        <v>-23248.188700673607</v>
      </c>
      <c r="AD108" s="69">
        <f t="shared" si="36"/>
        <v>751.81129932638942</v>
      </c>
      <c r="AE108" s="69">
        <f t="shared" si="37"/>
        <v>751.81129932638942</v>
      </c>
      <c r="AF108" s="69">
        <f t="shared" si="38"/>
        <v>-5248.1887006736106</v>
      </c>
    </row>
    <row r="109" spans="1:32">
      <c r="A109" s="50" t="s">
        <v>219</v>
      </c>
      <c r="B109" s="50" t="s">
        <v>218</v>
      </c>
      <c r="C109" s="50" t="s">
        <v>85</v>
      </c>
      <c r="D109" s="50">
        <v>2</v>
      </c>
      <c r="E109" s="50">
        <v>2000</v>
      </c>
      <c r="F109" s="51">
        <v>0.41099999999999998</v>
      </c>
      <c r="G109" s="4">
        <f t="shared" si="20"/>
        <v>9864</v>
      </c>
      <c r="H109" s="50">
        <v>579</v>
      </c>
      <c r="I109" s="51">
        <v>0.41099999999999998</v>
      </c>
      <c r="J109" s="50">
        <v>107</v>
      </c>
      <c r="K109" s="50">
        <v>781</v>
      </c>
      <c r="L109">
        <f t="shared" si="21"/>
        <v>674</v>
      </c>
      <c r="M109">
        <f t="shared" si="22"/>
        <v>472</v>
      </c>
      <c r="N109" s="52">
        <f t="shared" si="23"/>
        <v>0.66023738872403559</v>
      </c>
      <c r="O109" s="53">
        <f t="shared" si="24"/>
        <v>0.41099999999999998</v>
      </c>
      <c r="P109" s="54">
        <v>464.01553440525493</v>
      </c>
      <c r="Q109" s="55">
        <f t="shared" si="25"/>
        <v>0.52375731086677146</v>
      </c>
      <c r="R109" s="55">
        <f t="shared" si="26"/>
        <v>0.43609846418003712</v>
      </c>
      <c r="S109" s="54">
        <f t="shared" si="27"/>
        <v>73860.108597080965</v>
      </c>
      <c r="T109" s="56">
        <f t="shared" si="39"/>
        <v>51702.076017956671</v>
      </c>
      <c r="U109" s="66">
        <f t="shared" si="28"/>
        <v>9864</v>
      </c>
      <c r="V109" s="54">
        <f t="shared" si="29"/>
        <v>41838.076017956671</v>
      </c>
      <c r="X109" s="67">
        <f t="shared" si="30"/>
        <v>5305.8646475237847</v>
      </c>
      <c r="Y109" s="67">
        <f t="shared" si="31"/>
        <v>-38905.864647523784</v>
      </c>
      <c r="Z109" s="67">
        <f t="shared" si="32"/>
        <v>-14905.864647523784</v>
      </c>
      <c r="AA109" s="68">
        <f t="shared" si="33"/>
        <v>-14905.864647523784</v>
      </c>
      <c r="AB109" s="68">
        <f t="shared" si="34"/>
        <v>-20905.864647523784</v>
      </c>
      <c r="AC109" s="69">
        <f t="shared" si="35"/>
        <v>2932.2113704328876</v>
      </c>
      <c r="AD109" s="69">
        <f t="shared" si="36"/>
        <v>26932.211370432888</v>
      </c>
      <c r="AE109" s="69">
        <f t="shared" si="37"/>
        <v>26932.211370432888</v>
      </c>
      <c r="AF109" s="69">
        <f t="shared" si="38"/>
        <v>20932.211370432888</v>
      </c>
    </row>
    <row r="110" spans="1:32">
      <c r="A110" s="50" t="s">
        <v>220</v>
      </c>
      <c r="B110" s="50" t="s">
        <v>218</v>
      </c>
      <c r="C110" s="50" t="s">
        <v>94</v>
      </c>
      <c r="D110" s="50">
        <v>1</v>
      </c>
      <c r="E110" s="50">
        <v>1700</v>
      </c>
      <c r="F110" s="51">
        <v>0.50409999999999999</v>
      </c>
      <c r="G110" s="4">
        <f t="shared" si="20"/>
        <v>10283.64</v>
      </c>
      <c r="H110" s="50">
        <v>524</v>
      </c>
      <c r="I110" s="51">
        <v>0.50409999999999999</v>
      </c>
      <c r="J110" s="50">
        <v>162</v>
      </c>
      <c r="K110" s="50">
        <v>614</v>
      </c>
      <c r="L110">
        <f t="shared" si="21"/>
        <v>452</v>
      </c>
      <c r="M110">
        <f t="shared" si="22"/>
        <v>362</v>
      </c>
      <c r="N110" s="52">
        <f t="shared" si="23"/>
        <v>0.74070796460176991</v>
      </c>
      <c r="O110" s="53">
        <f t="shared" si="24"/>
        <v>0.50409999999999999</v>
      </c>
      <c r="P110" s="54">
        <v>356.30122020817799</v>
      </c>
      <c r="Q110" s="55">
        <f t="shared" si="25"/>
        <v>0.44389596497022654</v>
      </c>
      <c r="R110" s="55">
        <f t="shared" si="26"/>
        <v>0.49930073332256275</v>
      </c>
      <c r="S110" s="54">
        <f t="shared" si="27"/>
        <v>64934.033094788523</v>
      </c>
      <c r="T110" s="56">
        <f t="shared" si="39"/>
        <v>45453.823166351962</v>
      </c>
      <c r="U110" s="66">
        <f t="shared" si="28"/>
        <v>10283.64</v>
      </c>
      <c r="V110" s="54">
        <f t="shared" si="29"/>
        <v>35170.183166351962</v>
      </c>
      <c r="X110" s="67">
        <f t="shared" si="30"/>
        <v>6074.8255887578471</v>
      </c>
      <c r="Y110" s="67">
        <f t="shared" si="31"/>
        <v>-39674.825588757849</v>
      </c>
      <c r="Z110" s="67">
        <f t="shared" si="32"/>
        <v>-15674.825588757847</v>
      </c>
      <c r="AA110" s="68">
        <f t="shared" si="33"/>
        <v>-15674.825588757847</v>
      </c>
      <c r="AB110" s="68">
        <f t="shared" si="34"/>
        <v>-21674.825588757849</v>
      </c>
      <c r="AC110" s="69">
        <f t="shared" si="35"/>
        <v>-4504.6424224058865</v>
      </c>
      <c r="AD110" s="69">
        <f t="shared" si="36"/>
        <v>19495.357577594114</v>
      </c>
      <c r="AE110" s="69">
        <f t="shared" si="37"/>
        <v>19495.357577594114</v>
      </c>
      <c r="AF110" s="69">
        <f t="shared" si="38"/>
        <v>13495.357577594114</v>
      </c>
    </row>
    <row r="111" spans="1:32">
      <c r="A111" s="50" t="s">
        <v>221</v>
      </c>
      <c r="B111" s="50" t="s">
        <v>218</v>
      </c>
      <c r="C111" s="50" t="s">
        <v>94</v>
      </c>
      <c r="D111" s="50">
        <v>2</v>
      </c>
      <c r="E111" s="50">
        <v>2500</v>
      </c>
      <c r="F111" s="51">
        <v>0.2767</v>
      </c>
      <c r="G111" s="4">
        <f t="shared" si="20"/>
        <v>8301</v>
      </c>
      <c r="H111" s="50">
        <v>560</v>
      </c>
      <c r="I111" s="51">
        <v>0.2767</v>
      </c>
      <c r="J111" s="50">
        <v>158</v>
      </c>
      <c r="K111" s="50">
        <v>906</v>
      </c>
      <c r="L111">
        <f t="shared" si="21"/>
        <v>748</v>
      </c>
      <c r="M111">
        <f t="shared" si="22"/>
        <v>402</v>
      </c>
      <c r="N111" s="52">
        <f t="shared" si="23"/>
        <v>0.5299465240641712</v>
      </c>
      <c r="O111" s="53">
        <f t="shared" si="24"/>
        <v>0.2767</v>
      </c>
      <c r="P111" s="54">
        <v>534.5869742073387</v>
      </c>
      <c r="Q111" s="55">
        <f t="shared" si="25"/>
        <v>0.50276681733405215</v>
      </c>
      <c r="R111" s="55">
        <f t="shared" si="26"/>
        <v>0.45271034076183114</v>
      </c>
      <c r="S111" s="54">
        <f t="shared" si="27"/>
        <v>88334.76370998779</v>
      </c>
      <c r="T111" s="56">
        <f t="shared" si="39"/>
        <v>61834.334596991452</v>
      </c>
      <c r="U111" s="66">
        <f t="shared" si="28"/>
        <v>8301</v>
      </c>
      <c r="V111" s="54">
        <f t="shared" si="29"/>
        <v>53533.334596991452</v>
      </c>
      <c r="X111" s="67">
        <f t="shared" si="30"/>
        <v>5507.9758126022789</v>
      </c>
      <c r="Y111" s="67">
        <f t="shared" si="31"/>
        <v>-39107.975812602279</v>
      </c>
      <c r="Z111" s="67">
        <f t="shared" si="32"/>
        <v>-15107.975812602279</v>
      </c>
      <c r="AA111" s="68">
        <f t="shared" si="33"/>
        <v>-15107.975812602279</v>
      </c>
      <c r="AB111" s="68">
        <f t="shared" si="34"/>
        <v>-21107.975812602279</v>
      </c>
      <c r="AC111" s="69">
        <f t="shared" si="35"/>
        <v>14425.358784389173</v>
      </c>
      <c r="AD111" s="69">
        <f t="shared" si="36"/>
        <v>38425.358784389173</v>
      </c>
      <c r="AE111" s="69">
        <f t="shared" si="37"/>
        <v>38425.358784389173</v>
      </c>
      <c r="AF111" s="69">
        <f t="shared" si="38"/>
        <v>32425.358784389173</v>
      </c>
    </row>
    <row r="112" spans="1:32">
      <c r="A112" s="50" t="s">
        <v>222</v>
      </c>
      <c r="B112" s="50" t="s">
        <v>223</v>
      </c>
      <c r="C112" s="50" t="s">
        <v>85</v>
      </c>
      <c r="D112" s="50">
        <v>1</v>
      </c>
      <c r="E112" s="50">
        <v>1800</v>
      </c>
      <c r="F112" s="51">
        <v>0.32879999999999998</v>
      </c>
      <c r="G112" s="4">
        <f t="shared" si="20"/>
        <v>7102.08</v>
      </c>
      <c r="H112" s="50">
        <v>362</v>
      </c>
      <c r="I112" s="51">
        <v>0.32879999999999998</v>
      </c>
      <c r="J112" s="50">
        <v>199</v>
      </c>
      <c r="K112" s="50">
        <v>432</v>
      </c>
      <c r="L112">
        <f t="shared" si="21"/>
        <v>233</v>
      </c>
      <c r="M112">
        <f t="shared" si="22"/>
        <v>163</v>
      </c>
      <c r="N112" s="52">
        <f t="shared" si="23"/>
        <v>0.65965665236051507</v>
      </c>
      <c r="O112" s="53">
        <f t="shared" si="24"/>
        <v>0.32879999999999998</v>
      </c>
      <c r="P112" s="54">
        <v>241.41412431859629</v>
      </c>
      <c r="Q112" s="55">
        <f t="shared" si="25"/>
        <v>0.24562789465612461</v>
      </c>
      <c r="R112" s="55">
        <f t="shared" si="26"/>
        <v>0.65621008416914295</v>
      </c>
      <c r="S112" s="54">
        <f t="shared" si="27"/>
        <v>57822.709736134995</v>
      </c>
      <c r="T112" s="56">
        <f t="shared" si="39"/>
        <v>40475.896815294494</v>
      </c>
      <c r="U112" s="66">
        <f t="shared" si="28"/>
        <v>7102.08</v>
      </c>
      <c r="V112" s="54">
        <f t="shared" si="29"/>
        <v>33373.816815294493</v>
      </c>
      <c r="X112" s="67">
        <f t="shared" si="30"/>
        <v>7983.8893573912401</v>
      </c>
      <c r="Y112" s="67">
        <f t="shared" si="31"/>
        <v>-41583.889357391243</v>
      </c>
      <c r="Z112" s="67">
        <f t="shared" si="32"/>
        <v>-17583.889357391239</v>
      </c>
      <c r="AA112" s="68">
        <f t="shared" si="33"/>
        <v>-17583.889357391239</v>
      </c>
      <c r="AB112" s="68">
        <f t="shared" si="34"/>
        <v>-23583.889357391239</v>
      </c>
      <c r="AC112" s="69">
        <f t="shared" si="35"/>
        <v>-8210.0725420967501</v>
      </c>
      <c r="AD112" s="69">
        <f t="shared" si="36"/>
        <v>15789.927457903254</v>
      </c>
      <c r="AE112" s="69">
        <f t="shared" si="37"/>
        <v>15789.927457903254</v>
      </c>
      <c r="AF112" s="69">
        <f t="shared" si="38"/>
        <v>9789.9274579032535</v>
      </c>
    </row>
    <row r="113" spans="1:32">
      <c r="A113" s="50" t="s">
        <v>224</v>
      </c>
      <c r="B113" s="50" t="s">
        <v>223</v>
      </c>
      <c r="C113" s="50" t="s">
        <v>85</v>
      </c>
      <c r="D113" s="50">
        <v>2</v>
      </c>
      <c r="E113" s="50">
        <v>2600</v>
      </c>
      <c r="F113" s="51">
        <v>0.53149999999999997</v>
      </c>
      <c r="G113" s="4">
        <f t="shared" si="20"/>
        <v>16582.8</v>
      </c>
      <c r="H113" s="50">
        <v>417</v>
      </c>
      <c r="I113" s="51">
        <v>0.53149999999999997</v>
      </c>
      <c r="J113" s="50">
        <v>366</v>
      </c>
      <c r="K113" s="50">
        <v>594</v>
      </c>
      <c r="L113">
        <f t="shared" si="21"/>
        <v>228</v>
      </c>
      <c r="M113">
        <f t="shared" si="22"/>
        <v>51</v>
      </c>
      <c r="N113" s="52">
        <f t="shared" si="23"/>
        <v>0.27894736842105267</v>
      </c>
      <c r="O113" s="53">
        <f t="shared" si="24"/>
        <v>0.53149999999999997</v>
      </c>
      <c r="P113" s="54">
        <v>366</v>
      </c>
      <c r="Q113" s="55">
        <f t="shared" si="25"/>
        <v>0.1</v>
      </c>
      <c r="R113" s="55">
        <f t="shared" si="26"/>
        <v>0.77146000000000003</v>
      </c>
      <c r="S113" s="54">
        <f t="shared" si="27"/>
        <v>103059.3414</v>
      </c>
      <c r="T113" s="56">
        <f t="shared" si="39"/>
        <v>72141.538979999998</v>
      </c>
      <c r="U113" s="66">
        <f t="shared" si="28"/>
        <v>16582.8</v>
      </c>
      <c r="V113" s="54">
        <f t="shared" si="29"/>
        <v>55558.738979999995</v>
      </c>
      <c r="X113" s="67">
        <f t="shared" si="30"/>
        <v>9386.0966666666664</v>
      </c>
      <c r="Y113" s="67">
        <f t="shared" si="31"/>
        <v>-42986.096666666665</v>
      </c>
      <c r="Z113" s="67">
        <f t="shared" si="32"/>
        <v>-18986.096666666665</v>
      </c>
      <c r="AA113" s="68">
        <f t="shared" si="33"/>
        <v>-18986.096666666665</v>
      </c>
      <c r="AB113" s="68">
        <f t="shared" si="34"/>
        <v>-24986.096666666665</v>
      </c>
      <c r="AC113" s="69">
        <f t="shared" si="35"/>
        <v>12572.64231333333</v>
      </c>
      <c r="AD113" s="69">
        <f t="shared" si="36"/>
        <v>36572.64231333333</v>
      </c>
      <c r="AE113" s="69">
        <f t="shared" si="37"/>
        <v>36572.64231333333</v>
      </c>
      <c r="AF113" s="69">
        <f t="shared" si="38"/>
        <v>30572.64231333333</v>
      </c>
    </row>
    <row r="114" spans="1:32">
      <c r="A114" s="50" t="s">
        <v>225</v>
      </c>
      <c r="B114" s="50" t="s">
        <v>223</v>
      </c>
      <c r="C114" s="50" t="s">
        <v>94</v>
      </c>
      <c r="D114" s="50">
        <v>1</v>
      </c>
      <c r="E114" s="50">
        <v>2500</v>
      </c>
      <c r="F114" s="51">
        <v>0.4274</v>
      </c>
      <c r="G114" s="4">
        <f t="shared" si="20"/>
        <v>12822</v>
      </c>
      <c r="H114" s="50">
        <v>474</v>
      </c>
      <c r="I114" s="51">
        <v>0.4274</v>
      </c>
      <c r="J114" s="50">
        <v>333</v>
      </c>
      <c r="K114" s="50">
        <v>665</v>
      </c>
      <c r="L114">
        <f t="shared" si="21"/>
        <v>332</v>
      </c>
      <c r="M114">
        <f t="shared" si="22"/>
        <v>141</v>
      </c>
      <c r="N114" s="52">
        <f t="shared" si="23"/>
        <v>0.43975903614457834</v>
      </c>
      <c r="O114" s="53">
        <f t="shared" si="24"/>
        <v>0.4274</v>
      </c>
      <c r="P114" s="54">
        <v>368.71240031662637</v>
      </c>
      <c r="Q114" s="55">
        <f t="shared" si="25"/>
        <v>0.18605397666656959</v>
      </c>
      <c r="R114" s="55">
        <f t="shared" si="26"/>
        <v>0.70335688286607689</v>
      </c>
      <c r="S114" s="54">
        <f t="shared" si="27"/>
        <v>94657.787664681571</v>
      </c>
      <c r="T114" s="56">
        <f t="shared" si="39"/>
        <v>66260.451365277098</v>
      </c>
      <c r="U114" s="66">
        <f t="shared" si="28"/>
        <v>12822</v>
      </c>
      <c r="V114" s="54">
        <f t="shared" si="29"/>
        <v>53438.451365277098</v>
      </c>
      <c r="X114" s="67">
        <f t="shared" si="30"/>
        <v>8557.5087415372691</v>
      </c>
      <c r="Y114" s="67">
        <f t="shared" si="31"/>
        <v>-42157.508741537269</v>
      </c>
      <c r="Z114" s="67">
        <f t="shared" si="32"/>
        <v>-18157.508741537269</v>
      </c>
      <c r="AA114" s="68">
        <f t="shared" si="33"/>
        <v>-18157.508741537269</v>
      </c>
      <c r="AB114" s="68">
        <f t="shared" si="34"/>
        <v>-24157.508741537269</v>
      </c>
      <c r="AC114" s="69">
        <f t="shared" si="35"/>
        <v>11280.942623739829</v>
      </c>
      <c r="AD114" s="69">
        <f t="shared" si="36"/>
        <v>35280.942623739829</v>
      </c>
      <c r="AE114" s="69">
        <f t="shared" si="37"/>
        <v>35280.942623739829</v>
      </c>
      <c r="AF114" s="69">
        <f t="shared" si="38"/>
        <v>29280.942623739829</v>
      </c>
    </row>
    <row r="115" spans="1:32">
      <c r="A115" s="50" t="s">
        <v>226</v>
      </c>
      <c r="B115" s="50" t="s">
        <v>84</v>
      </c>
      <c r="C115" s="50" t="s">
        <v>94</v>
      </c>
      <c r="D115" s="50">
        <v>1</v>
      </c>
      <c r="E115" s="50">
        <v>1500</v>
      </c>
      <c r="F115" s="51">
        <v>0.24110000000000001</v>
      </c>
      <c r="G115" s="4">
        <f t="shared" si="20"/>
        <v>4339.8</v>
      </c>
      <c r="H115" s="50">
        <v>146</v>
      </c>
      <c r="I115" s="51">
        <v>0.24110000000000001</v>
      </c>
      <c r="J115" s="50">
        <v>81</v>
      </c>
      <c r="K115" s="50">
        <v>205</v>
      </c>
      <c r="L115">
        <f t="shared" si="21"/>
        <v>124</v>
      </c>
      <c r="M115">
        <f t="shared" si="22"/>
        <v>65</v>
      </c>
      <c r="N115" s="52">
        <f t="shared" si="23"/>
        <v>0.51935483870967747</v>
      </c>
      <c r="O115" s="53">
        <f t="shared" si="24"/>
        <v>0.24110000000000001</v>
      </c>
      <c r="P115" s="54">
        <v>116.02511337126995</v>
      </c>
      <c r="Q115" s="55">
        <f t="shared" si="25"/>
        <v>0.32596847336303197</v>
      </c>
      <c r="R115" s="55">
        <f t="shared" si="26"/>
        <v>0.59262855018049654</v>
      </c>
      <c r="S115" s="54">
        <f t="shared" si="27"/>
        <v>25097.325073436361</v>
      </c>
      <c r="T115" s="56">
        <f t="shared" si="39"/>
        <v>17568.127551405451</v>
      </c>
      <c r="U115" s="66">
        <f t="shared" si="28"/>
        <v>4339.8</v>
      </c>
      <c r="V115" s="54">
        <f t="shared" si="29"/>
        <v>13228.327551405451</v>
      </c>
      <c r="X115" s="67">
        <f t="shared" si="30"/>
        <v>7210.314027196041</v>
      </c>
      <c r="Y115" s="67">
        <f t="shared" si="31"/>
        <v>-40810.314027196044</v>
      </c>
      <c r="Z115" s="67">
        <f t="shared" si="32"/>
        <v>-16810.31402719604</v>
      </c>
      <c r="AA115" s="68">
        <f t="shared" si="33"/>
        <v>-16810.31402719604</v>
      </c>
      <c r="AB115" s="68">
        <f t="shared" si="34"/>
        <v>-22810.31402719604</v>
      </c>
      <c r="AC115" s="69">
        <f t="shared" si="35"/>
        <v>-27581.986475790593</v>
      </c>
      <c r="AD115" s="69">
        <f t="shared" si="36"/>
        <v>-3581.9864757905889</v>
      </c>
      <c r="AE115" s="69">
        <f t="shared" si="37"/>
        <v>-3581.9864757905889</v>
      </c>
      <c r="AF115" s="69">
        <f t="shared" si="38"/>
        <v>-9581.9864757905889</v>
      </c>
    </row>
    <row r="116" spans="1:32">
      <c r="A116" s="50" t="s">
        <v>227</v>
      </c>
      <c r="B116" s="50" t="s">
        <v>186</v>
      </c>
      <c r="C116" s="50" t="s">
        <v>85</v>
      </c>
      <c r="D116" s="50">
        <v>1</v>
      </c>
      <c r="E116" s="50">
        <v>1700</v>
      </c>
      <c r="F116" s="51">
        <v>0.41099999999999998</v>
      </c>
      <c r="G116" s="4">
        <f t="shared" si="20"/>
        <v>8384.4</v>
      </c>
      <c r="H116" s="50">
        <v>312</v>
      </c>
      <c r="I116" s="51">
        <v>0.41099999999999998</v>
      </c>
      <c r="J116" s="50">
        <v>106</v>
      </c>
      <c r="K116" s="50">
        <v>465</v>
      </c>
      <c r="L116">
        <f t="shared" si="21"/>
        <v>359</v>
      </c>
      <c r="M116">
        <f t="shared" si="22"/>
        <v>206</v>
      </c>
      <c r="N116" s="52">
        <f t="shared" si="23"/>
        <v>0.55905292479108637</v>
      </c>
      <c r="O116" s="53">
        <f t="shared" si="24"/>
        <v>0.41099999999999998</v>
      </c>
      <c r="P116" s="54">
        <v>271.65738474222553</v>
      </c>
      <c r="Q116" s="55">
        <f t="shared" si="25"/>
        <v>0.4691529465007811</v>
      </c>
      <c r="R116" s="55">
        <f t="shared" si="26"/>
        <v>0.47931235813928186</v>
      </c>
      <c r="S116" s="54">
        <f t="shared" si="27"/>
        <v>47526.1907156624</v>
      </c>
      <c r="T116" s="56">
        <f t="shared" si="39"/>
        <v>33268.333500963679</v>
      </c>
      <c r="U116" s="66">
        <f t="shared" si="28"/>
        <v>8384.4</v>
      </c>
      <c r="V116" s="54">
        <f t="shared" si="29"/>
        <v>24883.933500963678</v>
      </c>
      <c r="X116" s="67">
        <f t="shared" si="30"/>
        <v>5831.6336906945962</v>
      </c>
      <c r="Y116" s="67">
        <f t="shared" si="31"/>
        <v>-39431.633690694594</v>
      </c>
      <c r="Z116" s="67">
        <f t="shared" si="32"/>
        <v>-15431.633690694596</v>
      </c>
      <c r="AA116" s="68">
        <f t="shared" si="33"/>
        <v>-15431.633690694596</v>
      </c>
      <c r="AB116" s="68">
        <f t="shared" si="34"/>
        <v>-21431.633690694594</v>
      </c>
      <c r="AC116" s="69">
        <f t="shared" si="35"/>
        <v>-14547.700189730916</v>
      </c>
      <c r="AD116" s="69">
        <f t="shared" si="36"/>
        <v>9452.2998102690817</v>
      </c>
      <c r="AE116" s="69">
        <f t="shared" si="37"/>
        <v>9452.2998102690817</v>
      </c>
      <c r="AF116" s="69">
        <f t="shared" si="38"/>
        <v>3452.2998102690835</v>
      </c>
    </row>
    <row r="117" spans="1:32">
      <c r="A117" s="50" t="s">
        <v>228</v>
      </c>
      <c r="B117" s="50" t="s">
        <v>223</v>
      </c>
      <c r="C117" s="50" t="s">
        <v>94</v>
      </c>
      <c r="D117" s="50">
        <v>2</v>
      </c>
      <c r="E117" s="50">
        <v>3600</v>
      </c>
      <c r="F117" s="51">
        <v>0.39729999999999999</v>
      </c>
      <c r="G117" s="4">
        <f t="shared" si="20"/>
        <v>17163.36</v>
      </c>
      <c r="H117" s="50">
        <v>491</v>
      </c>
      <c r="I117" s="51">
        <v>0.39729999999999999</v>
      </c>
      <c r="J117" s="50">
        <v>336</v>
      </c>
      <c r="K117" s="50">
        <v>624</v>
      </c>
      <c r="L117">
        <f t="shared" si="21"/>
        <v>288</v>
      </c>
      <c r="M117">
        <f t="shared" si="22"/>
        <v>155</v>
      </c>
      <c r="N117" s="52">
        <f t="shared" si="23"/>
        <v>0.53055555555555556</v>
      </c>
      <c r="O117" s="53">
        <f t="shared" si="24"/>
        <v>0.39729999999999999</v>
      </c>
      <c r="P117" s="54">
        <v>343.41316653972353</v>
      </c>
      <c r="Q117" s="55">
        <f t="shared" si="25"/>
        <v>0.12059212927700982</v>
      </c>
      <c r="R117" s="55">
        <f t="shared" si="26"/>
        <v>0.75516338889017443</v>
      </c>
      <c r="S117" s="54">
        <f t="shared" si="27"/>
        <v>94656.563481279867</v>
      </c>
      <c r="T117" s="56">
        <f t="shared" si="39"/>
        <v>66259.594436895903</v>
      </c>
      <c r="U117" s="66">
        <f t="shared" si="28"/>
        <v>17163.36</v>
      </c>
      <c r="V117" s="54">
        <f t="shared" si="29"/>
        <v>49096.234436895902</v>
      </c>
      <c r="X117" s="67">
        <f t="shared" si="30"/>
        <v>9187.8212314971224</v>
      </c>
      <c r="Y117" s="67">
        <f t="shared" si="31"/>
        <v>-42787.821231497124</v>
      </c>
      <c r="Z117" s="67">
        <f t="shared" si="32"/>
        <v>-18787.821231497124</v>
      </c>
      <c r="AA117" s="68">
        <f t="shared" si="33"/>
        <v>-18787.821231497124</v>
      </c>
      <c r="AB117" s="68">
        <f t="shared" si="34"/>
        <v>-24787.821231497124</v>
      </c>
      <c r="AC117" s="69">
        <f t="shared" si="35"/>
        <v>6308.4132053987778</v>
      </c>
      <c r="AD117" s="69">
        <f t="shared" si="36"/>
        <v>30308.413205398778</v>
      </c>
      <c r="AE117" s="69">
        <f t="shared" si="37"/>
        <v>30308.413205398778</v>
      </c>
      <c r="AF117" s="69">
        <f t="shared" si="38"/>
        <v>24308.413205398778</v>
      </c>
    </row>
    <row r="118" spans="1:32">
      <c r="A118" s="50" t="s">
        <v>229</v>
      </c>
      <c r="B118" s="50" t="s">
        <v>230</v>
      </c>
      <c r="C118" s="50" t="s">
        <v>85</v>
      </c>
      <c r="D118" s="50">
        <v>1</v>
      </c>
      <c r="E118" s="50">
        <v>1200</v>
      </c>
      <c r="F118" s="51">
        <v>0.79730000000000001</v>
      </c>
      <c r="G118" s="4">
        <f t="shared" si="20"/>
        <v>11481.12</v>
      </c>
      <c r="H118" s="50">
        <v>204</v>
      </c>
      <c r="I118" s="51">
        <v>0.79730000000000001</v>
      </c>
      <c r="J118" s="50">
        <v>173</v>
      </c>
      <c r="K118" s="50">
        <v>395</v>
      </c>
      <c r="L118">
        <f t="shared" si="21"/>
        <v>222</v>
      </c>
      <c r="M118">
        <f t="shared" si="22"/>
        <v>31</v>
      </c>
      <c r="N118" s="52">
        <f t="shared" si="23"/>
        <v>0.21171171171171171</v>
      </c>
      <c r="O118" s="53">
        <f t="shared" si="24"/>
        <v>0.79730000000000001</v>
      </c>
      <c r="P118" s="54">
        <v>221.71431587437064</v>
      </c>
      <c r="Q118" s="55">
        <f t="shared" si="25"/>
        <v>0.27554708423196628</v>
      </c>
      <c r="R118" s="55">
        <f t="shared" si="26"/>
        <v>0.63253203753882192</v>
      </c>
      <c r="S118" s="54">
        <f t="shared" si="27"/>
        <v>51188.113909612701</v>
      </c>
      <c r="T118" s="56">
        <f t="shared" si="39"/>
        <v>35831.679736728889</v>
      </c>
      <c r="U118" s="66">
        <f t="shared" si="28"/>
        <v>11481.12</v>
      </c>
      <c r="V118" s="54">
        <f t="shared" si="29"/>
        <v>24350.559736728886</v>
      </c>
      <c r="X118" s="67">
        <f t="shared" si="30"/>
        <v>7695.8064567223328</v>
      </c>
      <c r="Y118" s="67">
        <f t="shared" si="31"/>
        <v>-41295.806456722334</v>
      </c>
      <c r="Z118" s="67">
        <f t="shared" si="32"/>
        <v>-17295.806456722334</v>
      </c>
      <c r="AA118" s="68">
        <f t="shared" si="33"/>
        <v>-17295.806456722334</v>
      </c>
      <c r="AB118" s="68">
        <f t="shared" si="34"/>
        <v>-23295.806456722334</v>
      </c>
      <c r="AC118" s="69">
        <f t="shared" si="35"/>
        <v>-16945.246719993447</v>
      </c>
      <c r="AD118" s="69">
        <f t="shared" si="36"/>
        <v>7054.7532800065528</v>
      </c>
      <c r="AE118" s="69">
        <f t="shared" si="37"/>
        <v>7054.7532800065528</v>
      </c>
      <c r="AF118" s="69">
        <f t="shared" si="38"/>
        <v>1054.7532800065528</v>
      </c>
    </row>
    <row r="119" spans="1:32">
      <c r="A119" s="50" t="s">
        <v>231</v>
      </c>
      <c r="B119" s="50" t="s">
        <v>230</v>
      </c>
      <c r="C119" s="50" t="s">
        <v>85</v>
      </c>
      <c r="D119" s="50">
        <v>2</v>
      </c>
      <c r="E119" s="50">
        <v>1600</v>
      </c>
      <c r="F119" s="51">
        <v>0.68769999999999998</v>
      </c>
      <c r="G119" s="4">
        <f t="shared" si="20"/>
        <v>13203.84</v>
      </c>
      <c r="H119" s="50">
        <v>245</v>
      </c>
      <c r="I119" s="51">
        <v>0.68769999999999998</v>
      </c>
      <c r="J119" s="50">
        <v>228</v>
      </c>
      <c r="K119" s="50">
        <v>456</v>
      </c>
      <c r="L119">
        <f t="shared" si="21"/>
        <v>228</v>
      </c>
      <c r="M119">
        <f t="shared" si="22"/>
        <v>17</v>
      </c>
      <c r="N119" s="52">
        <f t="shared" si="23"/>
        <v>0.15964912280701754</v>
      </c>
      <c r="O119" s="53">
        <f t="shared" si="24"/>
        <v>0.68769999999999998</v>
      </c>
      <c r="P119" s="54">
        <v>252.86875684394829</v>
      </c>
      <c r="Q119" s="55">
        <f t="shared" si="25"/>
        <v>0.18725879594367822</v>
      </c>
      <c r="R119" s="55">
        <f t="shared" si="26"/>
        <v>0.70240338889017306</v>
      </c>
      <c r="S119" s="54">
        <f t="shared" si="27"/>
        <v>64829.793189346565</v>
      </c>
      <c r="T119" s="56">
        <f t="shared" si="39"/>
        <v>45380.855232542592</v>
      </c>
      <c r="U119" s="66">
        <f t="shared" si="28"/>
        <v>13203.84</v>
      </c>
      <c r="V119" s="54">
        <f t="shared" si="29"/>
        <v>32177.015232542592</v>
      </c>
      <c r="X119" s="67">
        <f t="shared" si="30"/>
        <v>8545.9078981637722</v>
      </c>
      <c r="Y119" s="67">
        <f t="shared" si="31"/>
        <v>-42145.907898163772</v>
      </c>
      <c r="Z119" s="67">
        <f t="shared" si="32"/>
        <v>-18145.907898163772</v>
      </c>
      <c r="AA119" s="68">
        <f t="shared" si="33"/>
        <v>-18145.907898163772</v>
      </c>
      <c r="AB119" s="68">
        <f t="shared" si="34"/>
        <v>-24145.907898163772</v>
      </c>
      <c r="AC119" s="69">
        <f t="shared" si="35"/>
        <v>-9968.8926656211806</v>
      </c>
      <c r="AD119" s="69">
        <f t="shared" si="36"/>
        <v>14031.107334378819</v>
      </c>
      <c r="AE119" s="69">
        <f t="shared" si="37"/>
        <v>14031.107334378819</v>
      </c>
      <c r="AF119" s="69">
        <f t="shared" si="38"/>
        <v>8031.1073343788194</v>
      </c>
    </row>
    <row r="120" spans="1:32">
      <c r="A120" s="50" t="s">
        <v>232</v>
      </c>
      <c r="B120" s="50" t="s">
        <v>230</v>
      </c>
      <c r="C120" s="50" t="s">
        <v>94</v>
      </c>
      <c r="D120" s="50">
        <v>1</v>
      </c>
      <c r="E120" s="50">
        <v>1000</v>
      </c>
      <c r="F120" s="51">
        <v>0.58899999999999997</v>
      </c>
      <c r="G120" s="4">
        <f t="shared" si="20"/>
        <v>7068</v>
      </c>
      <c r="H120" s="50">
        <v>197</v>
      </c>
      <c r="I120" s="51">
        <v>0.58899999999999997</v>
      </c>
      <c r="J120" s="50">
        <v>155</v>
      </c>
      <c r="K120" s="50">
        <v>252</v>
      </c>
      <c r="L120">
        <f t="shared" si="21"/>
        <v>97</v>
      </c>
      <c r="M120">
        <f t="shared" si="22"/>
        <v>42</v>
      </c>
      <c r="N120" s="52">
        <f t="shared" si="23"/>
        <v>0.44639175257731956</v>
      </c>
      <c r="O120" s="53">
        <f t="shared" si="24"/>
        <v>0.58899999999999997</v>
      </c>
      <c r="P120" s="54">
        <v>155</v>
      </c>
      <c r="Q120" s="55">
        <f t="shared" si="25"/>
        <v>0.1</v>
      </c>
      <c r="R120" s="55">
        <f t="shared" si="26"/>
        <v>0.77146000000000003</v>
      </c>
      <c r="S120" s="54">
        <f t="shared" si="27"/>
        <v>43645.349500000004</v>
      </c>
      <c r="T120" s="56">
        <f t="shared" si="39"/>
        <v>30551.744650000001</v>
      </c>
      <c r="U120" s="66">
        <f t="shared" si="28"/>
        <v>7068</v>
      </c>
      <c r="V120" s="54">
        <f t="shared" si="29"/>
        <v>23483.744650000001</v>
      </c>
      <c r="X120" s="67">
        <f t="shared" si="30"/>
        <v>9386.0966666666664</v>
      </c>
      <c r="Y120" s="67">
        <f t="shared" si="31"/>
        <v>-42986.096666666665</v>
      </c>
      <c r="Z120" s="67">
        <f t="shared" si="32"/>
        <v>-18986.096666666665</v>
      </c>
      <c r="AA120" s="68">
        <f t="shared" si="33"/>
        <v>-18986.096666666665</v>
      </c>
      <c r="AB120" s="68">
        <f t="shared" si="34"/>
        <v>-24986.096666666665</v>
      </c>
      <c r="AC120" s="69">
        <f t="shared" si="35"/>
        <v>-19502.352016666664</v>
      </c>
      <c r="AD120" s="69">
        <f t="shared" si="36"/>
        <v>4497.647983333336</v>
      </c>
      <c r="AE120" s="69">
        <f t="shared" si="37"/>
        <v>4497.647983333336</v>
      </c>
      <c r="AF120" s="69">
        <f t="shared" si="38"/>
        <v>-1502.352016666664</v>
      </c>
    </row>
    <row r="121" spans="1:32">
      <c r="A121" s="50" t="s">
        <v>233</v>
      </c>
      <c r="B121" s="50" t="s">
        <v>230</v>
      </c>
      <c r="C121" s="50" t="s">
        <v>94</v>
      </c>
      <c r="D121" s="50">
        <v>2</v>
      </c>
      <c r="E121" s="50">
        <v>1500</v>
      </c>
      <c r="F121" s="51">
        <v>0.61919999999999997</v>
      </c>
      <c r="G121" s="4">
        <f t="shared" si="20"/>
        <v>11145.6</v>
      </c>
      <c r="H121" s="50">
        <v>195</v>
      </c>
      <c r="I121" s="51">
        <v>0.61919999999999997</v>
      </c>
      <c r="J121" s="50">
        <v>158</v>
      </c>
      <c r="K121" s="50">
        <v>236</v>
      </c>
      <c r="L121">
        <f t="shared" si="21"/>
        <v>78</v>
      </c>
      <c r="M121">
        <f t="shared" si="22"/>
        <v>37</v>
      </c>
      <c r="N121" s="52">
        <f t="shared" si="23"/>
        <v>0.47948717948717956</v>
      </c>
      <c r="O121" s="53">
        <f t="shared" si="24"/>
        <v>0.61919999999999997</v>
      </c>
      <c r="P121" s="54">
        <v>158</v>
      </c>
      <c r="Q121" s="55">
        <f t="shared" si="25"/>
        <v>0.1</v>
      </c>
      <c r="R121" s="55">
        <f t="shared" si="26"/>
        <v>0.77146000000000003</v>
      </c>
      <c r="S121" s="54">
        <f t="shared" si="27"/>
        <v>44490.0982</v>
      </c>
      <c r="T121" s="56">
        <f t="shared" si="39"/>
        <v>31143.068739999999</v>
      </c>
      <c r="U121" s="66">
        <f t="shared" si="28"/>
        <v>11145.6</v>
      </c>
      <c r="V121" s="54">
        <f t="shared" si="29"/>
        <v>19997.468739999997</v>
      </c>
      <c r="X121" s="67">
        <f t="shared" si="30"/>
        <v>9386.0966666666664</v>
      </c>
      <c r="Y121" s="67">
        <f t="shared" si="31"/>
        <v>-42986.096666666665</v>
      </c>
      <c r="Z121" s="67">
        <f t="shared" si="32"/>
        <v>-18986.096666666665</v>
      </c>
      <c r="AA121" s="68">
        <f t="shared" si="33"/>
        <v>-18986.096666666665</v>
      </c>
      <c r="AB121" s="68">
        <f t="shared" si="34"/>
        <v>-24986.096666666665</v>
      </c>
      <c r="AC121" s="69">
        <f t="shared" si="35"/>
        <v>-22988.627926666668</v>
      </c>
      <c r="AD121" s="69">
        <f t="shared" si="36"/>
        <v>1011.3720733333321</v>
      </c>
      <c r="AE121" s="69">
        <f t="shared" si="37"/>
        <v>1011.3720733333321</v>
      </c>
      <c r="AF121" s="69">
        <f t="shared" si="38"/>
        <v>-4988.6279266666679</v>
      </c>
    </row>
    <row r="122" spans="1:32">
      <c r="A122" s="50" t="s">
        <v>234</v>
      </c>
      <c r="B122" s="50" t="s">
        <v>235</v>
      </c>
      <c r="C122" s="50" t="s">
        <v>85</v>
      </c>
      <c r="D122" s="50">
        <v>1</v>
      </c>
      <c r="E122" s="50">
        <v>750</v>
      </c>
      <c r="F122" s="51">
        <v>0.45479999999999998</v>
      </c>
      <c r="G122" s="4">
        <f t="shared" si="20"/>
        <v>4093.2</v>
      </c>
      <c r="H122" s="50">
        <v>124</v>
      </c>
      <c r="I122" s="51">
        <v>0.45479999999999998</v>
      </c>
      <c r="J122" s="50">
        <v>89</v>
      </c>
      <c r="K122" s="50">
        <v>155</v>
      </c>
      <c r="L122">
        <f t="shared" si="21"/>
        <v>66</v>
      </c>
      <c r="M122">
        <f t="shared" si="22"/>
        <v>35</v>
      </c>
      <c r="N122" s="52">
        <f t="shared" si="23"/>
        <v>0.52424242424242429</v>
      </c>
      <c r="O122" s="53">
        <f t="shared" si="24"/>
        <v>0.45479999999999998</v>
      </c>
      <c r="P122" s="54">
        <v>89</v>
      </c>
      <c r="Q122" s="55">
        <f t="shared" si="25"/>
        <v>0.1</v>
      </c>
      <c r="R122" s="55">
        <f t="shared" si="26"/>
        <v>0.77146000000000003</v>
      </c>
      <c r="S122" s="54">
        <f t="shared" si="27"/>
        <v>25060.878100000002</v>
      </c>
      <c r="T122" s="56">
        <f t="shared" si="39"/>
        <v>17542.614669999999</v>
      </c>
      <c r="U122" s="66">
        <f t="shared" si="28"/>
        <v>4093.2</v>
      </c>
      <c r="V122" s="54">
        <f t="shared" si="29"/>
        <v>13449.414669999998</v>
      </c>
      <c r="X122" s="67">
        <f t="shared" si="30"/>
        <v>9386.0966666666664</v>
      </c>
      <c r="Y122" s="67">
        <f t="shared" si="31"/>
        <v>-42986.096666666665</v>
      </c>
      <c r="Z122" s="67">
        <f t="shared" si="32"/>
        <v>-18986.096666666665</v>
      </c>
      <c r="AA122" s="68">
        <f t="shared" si="33"/>
        <v>-18986.096666666665</v>
      </c>
      <c r="AB122" s="68">
        <f t="shared" si="34"/>
        <v>-24986.096666666665</v>
      </c>
      <c r="AC122" s="69">
        <f t="shared" si="35"/>
        <v>-29536.681996666666</v>
      </c>
      <c r="AD122" s="69">
        <f t="shared" si="36"/>
        <v>-5536.6819966666662</v>
      </c>
      <c r="AE122" s="69">
        <f t="shared" si="37"/>
        <v>-5536.6819966666662</v>
      </c>
      <c r="AF122" s="69">
        <f t="shared" si="38"/>
        <v>-11536.681996666666</v>
      </c>
    </row>
    <row r="123" spans="1:32">
      <c r="A123" s="50" t="s">
        <v>236</v>
      </c>
      <c r="B123" s="50" t="s">
        <v>235</v>
      </c>
      <c r="C123" s="50" t="s">
        <v>85</v>
      </c>
      <c r="D123" s="50">
        <v>2</v>
      </c>
      <c r="E123" s="50">
        <v>1040</v>
      </c>
      <c r="F123" s="51">
        <v>0.48770000000000002</v>
      </c>
      <c r="G123" s="4">
        <f t="shared" si="20"/>
        <v>6086.4960000000001</v>
      </c>
      <c r="H123" s="50">
        <v>156</v>
      </c>
      <c r="I123" s="51">
        <v>0.48770000000000002</v>
      </c>
      <c r="J123" s="50">
        <v>115</v>
      </c>
      <c r="K123" s="50">
        <v>179</v>
      </c>
      <c r="L123">
        <f t="shared" si="21"/>
        <v>64</v>
      </c>
      <c r="M123">
        <f t="shared" si="22"/>
        <v>41</v>
      </c>
      <c r="N123" s="52">
        <f t="shared" si="23"/>
        <v>0.61250000000000004</v>
      </c>
      <c r="O123" s="53">
        <f t="shared" si="24"/>
        <v>0.48770000000000002</v>
      </c>
      <c r="P123" s="54">
        <v>115</v>
      </c>
      <c r="Q123" s="55">
        <f t="shared" si="25"/>
        <v>0.1</v>
      </c>
      <c r="R123" s="55">
        <f t="shared" si="26"/>
        <v>0.77146000000000003</v>
      </c>
      <c r="S123" s="54">
        <f t="shared" si="27"/>
        <v>32382.033500000001</v>
      </c>
      <c r="T123" s="56">
        <f t="shared" si="39"/>
        <v>22667.423449999998</v>
      </c>
      <c r="U123" s="66">
        <f t="shared" si="28"/>
        <v>6086.4960000000001</v>
      </c>
      <c r="V123" s="54">
        <f t="shared" si="29"/>
        <v>16580.927449999999</v>
      </c>
      <c r="X123" s="67">
        <f t="shared" si="30"/>
        <v>9386.0966666666664</v>
      </c>
      <c r="Y123" s="67">
        <f t="shared" si="31"/>
        <v>-42986.096666666665</v>
      </c>
      <c r="Z123" s="67">
        <f t="shared" si="32"/>
        <v>-18986.096666666665</v>
      </c>
      <c r="AA123" s="68">
        <f t="shared" si="33"/>
        <v>-18986.096666666665</v>
      </c>
      <c r="AB123" s="68">
        <f t="shared" si="34"/>
        <v>-24986.096666666665</v>
      </c>
      <c r="AC123" s="69">
        <f t="shared" si="35"/>
        <v>-26405.169216666665</v>
      </c>
      <c r="AD123" s="69">
        <f t="shared" si="36"/>
        <v>-2405.1692166666653</v>
      </c>
      <c r="AE123" s="69">
        <f t="shared" si="37"/>
        <v>-2405.1692166666653</v>
      </c>
      <c r="AF123" s="69">
        <f t="shared" si="38"/>
        <v>-8405.1692166666653</v>
      </c>
    </row>
    <row r="124" spans="1:32">
      <c r="A124" s="50" t="s">
        <v>237</v>
      </c>
      <c r="B124" s="50" t="s">
        <v>235</v>
      </c>
      <c r="C124" s="50" t="s">
        <v>94</v>
      </c>
      <c r="D124" s="50">
        <v>1</v>
      </c>
      <c r="E124" s="50">
        <v>900</v>
      </c>
      <c r="F124" s="51">
        <v>0.47949999999999998</v>
      </c>
      <c r="G124" s="4">
        <f t="shared" si="20"/>
        <v>5178.5999999999995</v>
      </c>
      <c r="H124" s="50">
        <v>256</v>
      </c>
      <c r="I124" s="51">
        <v>0.47949999999999998</v>
      </c>
      <c r="J124" s="50">
        <v>152</v>
      </c>
      <c r="K124" s="50">
        <v>300</v>
      </c>
      <c r="L124">
        <f t="shared" si="21"/>
        <v>148</v>
      </c>
      <c r="M124">
        <f t="shared" si="22"/>
        <v>104</v>
      </c>
      <c r="N124" s="52">
        <f t="shared" si="23"/>
        <v>0.66216216216216217</v>
      </c>
      <c r="O124" s="53">
        <f t="shared" si="24"/>
        <v>0.47949999999999998</v>
      </c>
      <c r="P124" s="54">
        <v>166.1428772495801</v>
      </c>
      <c r="Q124" s="55">
        <f t="shared" si="25"/>
        <v>0.17644798513286541</v>
      </c>
      <c r="R124" s="55">
        <f t="shared" si="26"/>
        <v>0.71095906456585034</v>
      </c>
      <c r="S124" s="54">
        <f t="shared" si="27"/>
        <v>43114.08637667873</v>
      </c>
      <c r="T124" s="56">
        <f t="shared" si="39"/>
        <v>30179.860463675108</v>
      </c>
      <c r="U124" s="66">
        <f t="shared" si="28"/>
        <v>5178.5999999999995</v>
      </c>
      <c r="V124" s="54">
        <f t="shared" si="29"/>
        <v>25001.260463675109</v>
      </c>
      <c r="X124" s="67">
        <f t="shared" si="30"/>
        <v>8650.0019522178463</v>
      </c>
      <c r="Y124" s="67">
        <f t="shared" si="31"/>
        <v>-42250.001952217848</v>
      </c>
      <c r="Z124" s="67">
        <f t="shared" si="32"/>
        <v>-18250.001952217848</v>
      </c>
      <c r="AA124" s="68">
        <f t="shared" si="33"/>
        <v>-18250.001952217848</v>
      </c>
      <c r="AB124" s="68">
        <f t="shared" si="34"/>
        <v>-24250.001952217848</v>
      </c>
      <c r="AC124" s="69">
        <f t="shared" si="35"/>
        <v>-17248.741488542739</v>
      </c>
      <c r="AD124" s="69">
        <f t="shared" si="36"/>
        <v>6751.2585114572612</v>
      </c>
      <c r="AE124" s="69">
        <f t="shared" si="37"/>
        <v>6751.2585114572612</v>
      </c>
      <c r="AF124" s="69">
        <f t="shared" si="38"/>
        <v>751.25851145726119</v>
      </c>
    </row>
    <row r="125" spans="1:32">
      <c r="A125" s="50" t="s">
        <v>238</v>
      </c>
      <c r="B125" s="50" t="s">
        <v>235</v>
      </c>
      <c r="C125" s="50" t="s">
        <v>94</v>
      </c>
      <c r="D125" s="50">
        <v>2</v>
      </c>
      <c r="E125" s="50">
        <v>1400</v>
      </c>
      <c r="F125" s="51">
        <v>0.49320000000000003</v>
      </c>
      <c r="G125" s="4">
        <f t="shared" si="20"/>
        <v>8285.76</v>
      </c>
      <c r="H125" s="50">
        <v>284</v>
      </c>
      <c r="I125" s="51">
        <v>0.49320000000000003</v>
      </c>
      <c r="J125" s="50">
        <v>175</v>
      </c>
      <c r="K125" s="50">
        <v>368</v>
      </c>
      <c r="L125">
        <f t="shared" si="21"/>
        <v>193</v>
      </c>
      <c r="M125">
        <f t="shared" si="22"/>
        <v>109</v>
      </c>
      <c r="N125" s="52">
        <f t="shared" si="23"/>
        <v>0.55181347150259075</v>
      </c>
      <c r="O125" s="53">
        <f t="shared" si="24"/>
        <v>0.49320000000000003</v>
      </c>
      <c r="P125" s="54">
        <v>205.05118452141247</v>
      </c>
      <c r="Q125" s="55">
        <f t="shared" si="25"/>
        <v>0.22456449542554391</v>
      </c>
      <c r="R125" s="55">
        <f t="shared" si="26"/>
        <v>0.67287965832022456</v>
      </c>
      <c r="S125" s="54">
        <f t="shared" si="27"/>
        <v>50360.791407307748</v>
      </c>
      <c r="T125" s="56">
        <f t="shared" si="39"/>
        <v>35252.553985115424</v>
      </c>
      <c r="U125" s="66">
        <f t="shared" si="28"/>
        <v>8285.76</v>
      </c>
      <c r="V125" s="54">
        <f t="shared" si="29"/>
        <v>26966.793985115422</v>
      </c>
      <c r="X125" s="67">
        <f t="shared" si="30"/>
        <v>8186.7025095627323</v>
      </c>
      <c r="Y125" s="67">
        <f t="shared" si="31"/>
        <v>-41786.702509562732</v>
      </c>
      <c r="Z125" s="67">
        <f t="shared" si="32"/>
        <v>-17786.702509562732</v>
      </c>
      <c r="AA125" s="68">
        <f t="shared" si="33"/>
        <v>-17786.702509562732</v>
      </c>
      <c r="AB125" s="68">
        <f t="shared" si="34"/>
        <v>-23786.702509562732</v>
      </c>
      <c r="AC125" s="69">
        <f t="shared" si="35"/>
        <v>-14819.90852444731</v>
      </c>
      <c r="AD125" s="69">
        <f t="shared" si="36"/>
        <v>9180.0914755526901</v>
      </c>
      <c r="AE125" s="69">
        <f t="shared" si="37"/>
        <v>9180.0914755526901</v>
      </c>
      <c r="AF125" s="69">
        <f t="shared" si="38"/>
        <v>3180.0914755526901</v>
      </c>
    </row>
    <row r="126" spans="1:32">
      <c r="A126" s="50" t="s">
        <v>239</v>
      </c>
      <c r="B126" s="50" t="s">
        <v>240</v>
      </c>
      <c r="C126" s="50" t="s">
        <v>85</v>
      </c>
      <c r="D126" s="50">
        <v>1</v>
      </c>
      <c r="E126" s="50">
        <v>825</v>
      </c>
      <c r="F126" s="51">
        <v>0.36159999999999998</v>
      </c>
      <c r="G126" s="4">
        <f t="shared" si="20"/>
        <v>3579.8399999999997</v>
      </c>
      <c r="H126" s="50">
        <v>128</v>
      </c>
      <c r="I126" s="51">
        <v>0.36159999999999998</v>
      </c>
      <c r="J126" s="50">
        <v>77</v>
      </c>
      <c r="K126" s="50">
        <v>161</v>
      </c>
      <c r="L126">
        <f t="shared" si="21"/>
        <v>84</v>
      </c>
      <c r="M126">
        <f t="shared" si="22"/>
        <v>51</v>
      </c>
      <c r="N126" s="52">
        <f t="shared" si="23"/>
        <v>0.58571428571428574</v>
      </c>
      <c r="O126" s="53">
        <f t="shared" si="24"/>
        <v>0.36159999999999998</v>
      </c>
      <c r="P126" s="54">
        <v>89.662173574086125</v>
      </c>
      <c r="Q126" s="55">
        <f t="shared" si="25"/>
        <v>0.22059212927701072</v>
      </c>
      <c r="R126" s="55">
        <f t="shared" si="26"/>
        <v>0.67602338889017377</v>
      </c>
      <c r="S126" s="54">
        <f t="shared" si="27"/>
        <v>22124.010148706631</v>
      </c>
      <c r="T126" s="56">
        <f t="shared" si="39"/>
        <v>15486.807104094642</v>
      </c>
      <c r="U126" s="66">
        <f t="shared" si="28"/>
        <v>3579.8399999999997</v>
      </c>
      <c r="V126" s="54">
        <f t="shared" si="29"/>
        <v>11906.967104094641</v>
      </c>
      <c r="X126" s="67">
        <f t="shared" si="30"/>
        <v>8224.9512314971143</v>
      </c>
      <c r="Y126" s="67">
        <f t="shared" si="31"/>
        <v>-41824.951231497114</v>
      </c>
      <c r="Z126" s="67">
        <f t="shared" si="32"/>
        <v>-17824.951231497114</v>
      </c>
      <c r="AA126" s="68">
        <f t="shared" si="33"/>
        <v>-17824.951231497114</v>
      </c>
      <c r="AB126" s="68">
        <f t="shared" si="34"/>
        <v>-23824.951231497114</v>
      </c>
      <c r="AC126" s="69">
        <f t="shared" si="35"/>
        <v>-29917.984127402473</v>
      </c>
      <c r="AD126" s="69">
        <f t="shared" si="36"/>
        <v>-5917.984127402473</v>
      </c>
      <c r="AE126" s="69">
        <f t="shared" si="37"/>
        <v>-5917.984127402473</v>
      </c>
      <c r="AF126" s="69">
        <f t="shared" si="38"/>
        <v>-11917.984127402473</v>
      </c>
    </row>
    <row r="127" spans="1:32">
      <c r="A127" s="50" t="s">
        <v>241</v>
      </c>
      <c r="B127" s="50" t="s">
        <v>242</v>
      </c>
      <c r="C127" s="50" t="s">
        <v>85</v>
      </c>
      <c r="D127" s="50">
        <v>2</v>
      </c>
      <c r="E127" s="50">
        <v>2700</v>
      </c>
      <c r="F127" s="51">
        <v>0.4219</v>
      </c>
      <c r="G127" s="4">
        <f t="shared" si="20"/>
        <v>13669.56</v>
      </c>
      <c r="H127" s="50">
        <v>337</v>
      </c>
      <c r="I127" s="51">
        <v>0.4219</v>
      </c>
      <c r="J127" s="50">
        <v>157</v>
      </c>
      <c r="K127" s="50">
        <v>526</v>
      </c>
      <c r="L127">
        <f t="shared" si="21"/>
        <v>369</v>
      </c>
      <c r="M127">
        <f t="shared" si="22"/>
        <v>180</v>
      </c>
      <c r="N127" s="52">
        <f t="shared" si="23"/>
        <v>0.49024390243902438</v>
      </c>
      <c r="O127" s="53">
        <f t="shared" si="24"/>
        <v>0.4219</v>
      </c>
      <c r="P127" s="54">
        <v>303.24811962902152</v>
      </c>
      <c r="Q127" s="55">
        <f t="shared" si="25"/>
        <v>0.41706909404665915</v>
      </c>
      <c r="R127" s="55">
        <f t="shared" si="26"/>
        <v>0.52053151897147398</v>
      </c>
      <c r="S127" s="54">
        <f t="shared" si="27"/>
        <v>57615.324582544308</v>
      </c>
      <c r="T127" s="56">
        <f t="shared" si="39"/>
        <v>40330.727207781012</v>
      </c>
      <c r="U127" s="66">
        <f t="shared" si="28"/>
        <v>13669.56</v>
      </c>
      <c r="V127" s="54">
        <f t="shared" si="29"/>
        <v>26661.167207781014</v>
      </c>
      <c r="X127" s="67">
        <f t="shared" si="30"/>
        <v>6333.1334808196007</v>
      </c>
      <c r="Y127" s="67">
        <f t="shared" si="31"/>
        <v>-39933.133480819597</v>
      </c>
      <c r="Z127" s="67">
        <f t="shared" si="32"/>
        <v>-15933.133480819601</v>
      </c>
      <c r="AA127" s="68">
        <f t="shared" si="33"/>
        <v>-15933.133480819601</v>
      </c>
      <c r="AB127" s="68">
        <f t="shared" si="34"/>
        <v>-21933.133480819601</v>
      </c>
      <c r="AC127" s="69">
        <f t="shared" si="35"/>
        <v>-13271.966273038583</v>
      </c>
      <c r="AD127" s="69">
        <f t="shared" si="36"/>
        <v>10728.033726961414</v>
      </c>
      <c r="AE127" s="69">
        <f t="shared" si="37"/>
        <v>10728.033726961414</v>
      </c>
      <c r="AF127" s="69">
        <f t="shared" si="38"/>
        <v>4728.0337269614138</v>
      </c>
    </row>
    <row r="128" spans="1:32">
      <c r="A128" s="50" t="s">
        <v>243</v>
      </c>
      <c r="B128" s="50" t="s">
        <v>240</v>
      </c>
      <c r="C128" s="50" t="s">
        <v>85</v>
      </c>
      <c r="D128" s="50">
        <v>2</v>
      </c>
      <c r="E128" s="50">
        <v>1300</v>
      </c>
      <c r="F128" s="51">
        <v>0.74250000000000005</v>
      </c>
      <c r="G128" s="4">
        <f t="shared" si="20"/>
        <v>11583</v>
      </c>
      <c r="H128" s="50">
        <v>139</v>
      </c>
      <c r="I128" s="51">
        <v>0.74250000000000005</v>
      </c>
      <c r="J128" s="50">
        <v>125</v>
      </c>
      <c r="K128" s="50">
        <v>170</v>
      </c>
      <c r="L128">
        <f t="shared" si="21"/>
        <v>45</v>
      </c>
      <c r="M128">
        <f t="shared" si="22"/>
        <v>14</v>
      </c>
      <c r="N128" s="52">
        <f t="shared" si="23"/>
        <v>0.34888888888888892</v>
      </c>
      <c r="O128" s="53">
        <f t="shared" si="24"/>
        <v>0.74250000000000005</v>
      </c>
      <c r="P128" s="54">
        <v>125</v>
      </c>
      <c r="Q128" s="55">
        <f t="shared" si="25"/>
        <v>0.1</v>
      </c>
      <c r="R128" s="55">
        <f t="shared" si="26"/>
        <v>0.77146000000000003</v>
      </c>
      <c r="S128" s="54">
        <f t="shared" si="27"/>
        <v>35197.862500000003</v>
      </c>
      <c r="T128" s="56">
        <f t="shared" si="39"/>
        <v>24638.50375</v>
      </c>
      <c r="U128" s="66">
        <f t="shared" si="28"/>
        <v>11583</v>
      </c>
      <c r="V128" s="54">
        <f t="shared" si="29"/>
        <v>13055.50375</v>
      </c>
      <c r="X128" s="67">
        <f t="shared" si="30"/>
        <v>9386.0966666666664</v>
      </c>
      <c r="Y128" s="67">
        <f t="shared" si="31"/>
        <v>-42986.096666666665</v>
      </c>
      <c r="Z128" s="67">
        <f t="shared" si="32"/>
        <v>-18986.096666666665</v>
      </c>
      <c r="AA128" s="68">
        <f t="shared" si="33"/>
        <v>-18986.096666666665</v>
      </c>
      <c r="AB128" s="68">
        <f t="shared" si="34"/>
        <v>-24986.096666666665</v>
      </c>
      <c r="AC128" s="69">
        <f t="shared" si="35"/>
        <v>-29930.592916666665</v>
      </c>
      <c r="AD128" s="69">
        <f t="shared" si="36"/>
        <v>-5930.5929166666647</v>
      </c>
      <c r="AE128" s="69">
        <f t="shared" si="37"/>
        <v>-5930.5929166666647</v>
      </c>
      <c r="AF128" s="69">
        <f t="shared" si="38"/>
        <v>-11930.592916666665</v>
      </c>
    </row>
    <row r="129" spans="1:32">
      <c r="A129" s="50" t="s">
        <v>244</v>
      </c>
      <c r="B129" s="50" t="s">
        <v>240</v>
      </c>
      <c r="C129" s="50" t="s">
        <v>94</v>
      </c>
      <c r="D129" s="50">
        <v>1</v>
      </c>
      <c r="E129" s="50">
        <v>1000</v>
      </c>
      <c r="F129" s="51">
        <v>0.36990000000000001</v>
      </c>
      <c r="G129" s="4">
        <f t="shared" si="20"/>
        <v>4438.8</v>
      </c>
      <c r="H129" s="50">
        <v>240</v>
      </c>
      <c r="I129" s="51">
        <v>0.36990000000000001</v>
      </c>
      <c r="J129" s="50">
        <v>140</v>
      </c>
      <c r="K129" s="50">
        <v>288</v>
      </c>
      <c r="L129">
        <f t="shared" si="21"/>
        <v>148</v>
      </c>
      <c r="M129">
        <f t="shared" si="22"/>
        <v>100</v>
      </c>
      <c r="N129" s="52">
        <f t="shared" si="23"/>
        <v>0.64054054054054055</v>
      </c>
      <c r="O129" s="53">
        <f t="shared" si="24"/>
        <v>0.36990000000000001</v>
      </c>
      <c r="P129" s="54">
        <v>160.14287724958047</v>
      </c>
      <c r="Q129" s="55">
        <f t="shared" si="25"/>
        <v>0.20888041756529979</v>
      </c>
      <c r="R129" s="55">
        <f t="shared" si="26"/>
        <v>0.68529203753882173</v>
      </c>
      <c r="S129" s="54">
        <f t="shared" si="27"/>
        <v>40056.793106408462</v>
      </c>
      <c r="T129" s="56">
        <f t="shared" si="39"/>
        <v>28039.755174485923</v>
      </c>
      <c r="U129" s="66">
        <f t="shared" si="28"/>
        <v>4438.8</v>
      </c>
      <c r="V129" s="54">
        <f t="shared" si="29"/>
        <v>23600.955174485924</v>
      </c>
      <c r="X129" s="67">
        <f t="shared" si="30"/>
        <v>8337.7197900556657</v>
      </c>
      <c r="Y129" s="67">
        <f t="shared" si="31"/>
        <v>-41937.719790055664</v>
      </c>
      <c r="Z129" s="67">
        <f t="shared" si="32"/>
        <v>-17937.719790055664</v>
      </c>
      <c r="AA129" s="68">
        <f t="shared" si="33"/>
        <v>-17937.719790055664</v>
      </c>
      <c r="AB129" s="68">
        <f t="shared" si="34"/>
        <v>-23937.719790055664</v>
      </c>
      <c r="AC129" s="69">
        <f t="shared" si="35"/>
        <v>-18336.76461556974</v>
      </c>
      <c r="AD129" s="69">
        <f t="shared" si="36"/>
        <v>5663.2353844302597</v>
      </c>
      <c r="AE129" s="69">
        <f t="shared" si="37"/>
        <v>5663.2353844302597</v>
      </c>
      <c r="AF129" s="69">
        <f t="shared" si="38"/>
        <v>-336.76461556974027</v>
      </c>
    </row>
    <row r="130" spans="1:32">
      <c r="A130" s="50" t="s">
        <v>245</v>
      </c>
      <c r="B130" s="50" t="s">
        <v>240</v>
      </c>
      <c r="C130" s="50" t="s">
        <v>94</v>
      </c>
      <c r="D130" s="50">
        <v>2</v>
      </c>
      <c r="E130" s="50">
        <v>1480</v>
      </c>
      <c r="F130" s="51">
        <v>0.44109999999999999</v>
      </c>
      <c r="G130" s="4">
        <f t="shared" si="20"/>
        <v>7833.9359999999997</v>
      </c>
      <c r="H130" s="50">
        <v>249</v>
      </c>
      <c r="I130" s="51">
        <v>0.44109999999999999</v>
      </c>
      <c r="J130" s="50">
        <v>175</v>
      </c>
      <c r="K130" s="50">
        <v>310</v>
      </c>
      <c r="L130">
        <f t="shared" si="21"/>
        <v>135</v>
      </c>
      <c r="M130">
        <f t="shared" si="22"/>
        <v>74</v>
      </c>
      <c r="N130" s="52">
        <f t="shared" si="23"/>
        <v>0.53851851851851851</v>
      </c>
      <c r="O130" s="53">
        <f t="shared" si="24"/>
        <v>0.44109999999999999</v>
      </c>
      <c r="P130" s="54">
        <v>175</v>
      </c>
      <c r="Q130" s="55">
        <f t="shared" si="25"/>
        <v>0.1</v>
      </c>
      <c r="R130" s="55">
        <f t="shared" si="26"/>
        <v>0.77146000000000003</v>
      </c>
      <c r="S130" s="54">
        <f t="shared" si="27"/>
        <v>49277.0075</v>
      </c>
      <c r="T130" s="56">
        <f t="shared" si="39"/>
        <v>34493.905249999996</v>
      </c>
      <c r="U130" s="66">
        <f t="shared" si="28"/>
        <v>7833.9359999999997</v>
      </c>
      <c r="V130" s="54">
        <f t="shared" si="29"/>
        <v>26659.969249999995</v>
      </c>
      <c r="X130" s="67">
        <f t="shared" si="30"/>
        <v>9386.0966666666664</v>
      </c>
      <c r="Y130" s="67">
        <f t="shared" si="31"/>
        <v>-42986.096666666665</v>
      </c>
      <c r="Z130" s="67">
        <f t="shared" si="32"/>
        <v>-18986.096666666665</v>
      </c>
      <c r="AA130" s="68">
        <f t="shared" si="33"/>
        <v>-18986.096666666665</v>
      </c>
      <c r="AB130" s="68">
        <f t="shared" si="34"/>
        <v>-24986.096666666665</v>
      </c>
      <c r="AC130" s="69">
        <f t="shared" si="35"/>
        <v>-16326.12741666667</v>
      </c>
      <c r="AD130" s="69">
        <f t="shared" si="36"/>
        <v>7673.8725833333301</v>
      </c>
      <c r="AE130" s="69">
        <f t="shared" si="37"/>
        <v>7673.8725833333301</v>
      </c>
      <c r="AF130" s="69">
        <f t="shared" si="38"/>
        <v>1673.8725833333301</v>
      </c>
    </row>
    <row r="131" spans="1:32">
      <c r="A131" s="50" t="s">
        <v>246</v>
      </c>
      <c r="B131" s="50" t="s">
        <v>247</v>
      </c>
      <c r="C131" s="50" t="s">
        <v>85</v>
      </c>
      <c r="D131" s="50">
        <v>1</v>
      </c>
      <c r="E131" s="50">
        <v>650</v>
      </c>
      <c r="F131" s="51">
        <v>0.47949999999999998</v>
      </c>
      <c r="G131" s="4">
        <f t="shared" si="20"/>
        <v>3740.1</v>
      </c>
      <c r="H131" s="50">
        <v>107</v>
      </c>
      <c r="I131" s="51">
        <v>0.47949999999999998</v>
      </c>
      <c r="J131" s="50">
        <v>80</v>
      </c>
      <c r="K131" s="50">
        <v>156</v>
      </c>
      <c r="L131">
        <f t="shared" si="21"/>
        <v>76</v>
      </c>
      <c r="M131">
        <f t="shared" si="22"/>
        <v>27</v>
      </c>
      <c r="N131" s="52">
        <f t="shared" si="23"/>
        <v>0.38421052631578945</v>
      </c>
      <c r="O131" s="53">
        <f t="shared" si="24"/>
        <v>0.47949999999999998</v>
      </c>
      <c r="P131" s="54">
        <v>86.289585614649383</v>
      </c>
      <c r="Q131" s="55">
        <f t="shared" si="25"/>
        <v>0.16620616436473035</v>
      </c>
      <c r="R131" s="55">
        <f t="shared" si="26"/>
        <v>0.71906444152175242</v>
      </c>
      <c r="S131" s="54">
        <f t="shared" si="27"/>
        <v>22647.437031536574</v>
      </c>
      <c r="T131" s="56">
        <f t="shared" si="39"/>
        <v>15853.2059220756</v>
      </c>
      <c r="U131" s="66">
        <f t="shared" si="28"/>
        <v>3740.1</v>
      </c>
      <c r="V131" s="54">
        <f t="shared" si="29"/>
        <v>12113.1059220756</v>
      </c>
      <c r="X131" s="67">
        <f t="shared" si="30"/>
        <v>8748.6173718479877</v>
      </c>
      <c r="Y131" s="67">
        <f t="shared" si="31"/>
        <v>-42348.617371847984</v>
      </c>
      <c r="Z131" s="67">
        <f t="shared" si="32"/>
        <v>-18348.617371847988</v>
      </c>
      <c r="AA131" s="68">
        <f t="shared" si="33"/>
        <v>-18348.617371847988</v>
      </c>
      <c r="AB131" s="68">
        <f t="shared" si="34"/>
        <v>-24348.617371847988</v>
      </c>
      <c r="AC131" s="69">
        <f t="shared" si="35"/>
        <v>-30235.511449772384</v>
      </c>
      <c r="AD131" s="69">
        <f t="shared" si="36"/>
        <v>-6235.511449772388</v>
      </c>
      <c r="AE131" s="69">
        <f t="shared" si="37"/>
        <v>-6235.511449772388</v>
      </c>
      <c r="AF131" s="69">
        <f t="shared" si="38"/>
        <v>-12235.511449772388</v>
      </c>
    </row>
    <row r="132" spans="1:32">
      <c r="A132" s="50" t="s">
        <v>248</v>
      </c>
      <c r="B132" s="50" t="s">
        <v>247</v>
      </c>
      <c r="C132" s="50" t="s">
        <v>85</v>
      </c>
      <c r="D132" s="50">
        <v>2</v>
      </c>
      <c r="E132" s="50">
        <v>920</v>
      </c>
      <c r="F132" s="51">
        <v>0.41370000000000001</v>
      </c>
      <c r="G132" s="4">
        <f t="shared" si="20"/>
        <v>4567.2480000000005</v>
      </c>
      <c r="H132" s="50">
        <v>147</v>
      </c>
      <c r="I132" s="51">
        <v>0.41370000000000001</v>
      </c>
      <c r="J132" s="50">
        <v>108</v>
      </c>
      <c r="K132" s="50">
        <v>205</v>
      </c>
      <c r="L132">
        <f t="shared" si="21"/>
        <v>97</v>
      </c>
      <c r="M132">
        <f t="shared" si="22"/>
        <v>39</v>
      </c>
      <c r="N132" s="52">
        <f t="shared" si="23"/>
        <v>0.42164948453608253</v>
      </c>
      <c r="O132" s="53">
        <f t="shared" si="24"/>
        <v>0.41370000000000001</v>
      </c>
      <c r="P132" s="54">
        <v>113.08012900817093</v>
      </c>
      <c r="Q132" s="55">
        <f t="shared" si="25"/>
        <v>0.14189797120140973</v>
      </c>
      <c r="R132" s="55">
        <f t="shared" si="26"/>
        <v>0.73830194559120432</v>
      </c>
      <c r="S132" s="54">
        <f t="shared" si="27"/>
        <v>30472.856927869496</v>
      </c>
      <c r="T132" s="56">
        <f t="shared" si="39"/>
        <v>21330.999849508647</v>
      </c>
      <c r="U132" s="66">
        <f t="shared" si="28"/>
        <v>4567.2480000000005</v>
      </c>
      <c r="V132" s="54">
        <f t="shared" si="29"/>
        <v>16763.751849508648</v>
      </c>
      <c r="X132" s="67">
        <f t="shared" si="30"/>
        <v>8982.6736713596529</v>
      </c>
      <c r="Y132" s="67">
        <f t="shared" si="31"/>
        <v>-42582.673671359655</v>
      </c>
      <c r="Z132" s="67">
        <f t="shared" si="32"/>
        <v>-18582.673671359655</v>
      </c>
      <c r="AA132" s="68">
        <f t="shared" si="33"/>
        <v>-18582.673671359655</v>
      </c>
      <c r="AB132" s="68">
        <f t="shared" si="34"/>
        <v>-24582.673671359655</v>
      </c>
      <c r="AC132" s="69">
        <f t="shared" si="35"/>
        <v>-25818.921821851007</v>
      </c>
      <c r="AD132" s="69">
        <f t="shared" si="36"/>
        <v>-1818.9218218510068</v>
      </c>
      <c r="AE132" s="69">
        <f t="shared" si="37"/>
        <v>-1818.9218218510068</v>
      </c>
      <c r="AF132" s="69">
        <f t="shared" si="38"/>
        <v>-7818.9218218510068</v>
      </c>
    </row>
    <row r="133" spans="1:32">
      <c r="A133" s="50" t="s">
        <v>249</v>
      </c>
      <c r="B133" s="50" t="s">
        <v>247</v>
      </c>
      <c r="C133" s="50" t="s">
        <v>94</v>
      </c>
      <c r="D133" s="50">
        <v>1</v>
      </c>
      <c r="E133" s="50">
        <v>880</v>
      </c>
      <c r="F133" s="51">
        <v>0.44379999999999997</v>
      </c>
      <c r="G133" s="4">
        <f t="shared" ref="G133:G196" si="40">(E133*12)*F133</f>
        <v>4686.5279999999993</v>
      </c>
      <c r="H133" s="50">
        <v>246</v>
      </c>
      <c r="I133" s="51">
        <v>0.44379999999999997</v>
      </c>
      <c r="J133" s="50">
        <v>145</v>
      </c>
      <c r="K133" s="50">
        <v>333</v>
      </c>
      <c r="L133">
        <f t="shared" ref="L133:L196" si="41">K133-J133</f>
        <v>188</v>
      </c>
      <c r="M133">
        <f t="shared" ref="M133:M196" si="42">H133-J133</f>
        <v>101</v>
      </c>
      <c r="N133" s="52">
        <f t="shared" ref="N133:N196" si="43">((0.8*M133))/(L133)+0.1</f>
        <v>0.52978723404255323</v>
      </c>
      <c r="O133" s="53">
        <f t="shared" ref="O133:O196" si="44">I133</f>
        <v>0.44379999999999997</v>
      </c>
      <c r="P133" s="54">
        <v>187.00581679676432</v>
      </c>
      <c r="Q133" s="55">
        <f t="shared" ref="Q133:Q196" si="45">0.1+0.8*(P133-J133)/(K133-J133)</f>
        <v>0.27874815658197583</v>
      </c>
      <c r="R133" s="55">
        <f t="shared" ref="R133:R196" si="46">($Q$2*Q133)+$R$2</f>
        <v>0.62999870888102438</v>
      </c>
      <c r="S133" s="54">
        <f t="shared" ref="S133:S196" si="47">365*P133*R133</f>
        <v>43001.899444349059</v>
      </c>
      <c r="T133" s="56">
        <f t="shared" si="39"/>
        <v>30101.329611044341</v>
      </c>
      <c r="U133" s="66">
        <f t="shared" ref="U133:U196" si="48">E133*12*F133</f>
        <v>4686.5279999999993</v>
      </c>
      <c r="V133" s="54">
        <f t="shared" ref="V133:V196" si="49">T133-U133</f>
        <v>25414.801611044342</v>
      </c>
      <c r="X133" s="67">
        <f t="shared" ref="X133:X196" si="50">(R133)*(365/$W$23)*($W$21)</f>
        <v>7664.9842913857965</v>
      </c>
      <c r="Y133" s="67">
        <f t="shared" ref="Y133:Y196" si="51">-($W$7)-$W$13-(X133)</f>
        <v>-41264.984291385794</v>
      </c>
      <c r="Z133" s="67">
        <f t="shared" ref="Z133:Z196" si="52">-($W$13)-X133-$W$18</f>
        <v>-17264.984291385797</v>
      </c>
      <c r="AA133" s="68">
        <f t="shared" ref="AA133:AA196" si="53">-(($W$7)/($W$9))-$W$13-X133</f>
        <v>-17264.984291385797</v>
      </c>
      <c r="AB133" s="68">
        <f t="shared" ref="AB133:AB196" si="54">-(($W$7)/($W$9))-($W$13)-X133-$W$18</f>
        <v>-23264.984291385797</v>
      </c>
      <c r="AC133" s="69">
        <f t="shared" ref="AC133:AC196" si="55">(V133)+Y133</f>
        <v>-15850.182680341451</v>
      </c>
      <c r="AD133" s="69">
        <f t="shared" ref="AD133:AD196" si="56">(V133)+(Z133)</f>
        <v>8149.8173196585449</v>
      </c>
      <c r="AE133" s="69">
        <f t="shared" ref="AE133:AE196" si="57">(V133)+(AA133)</f>
        <v>8149.8173196585449</v>
      </c>
      <c r="AF133" s="69">
        <f t="shared" ref="AF133:AF196" si="58">(V133)+(AB133)</f>
        <v>2149.8173196585449</v>
      </c>
    </row>
    <row r="134" spans="1:32">
      <c r="A134" s="50" t="s">
        <v>250</v>
      </c>
      <c r="B134" s="50" t="s">
        <v>247</v>
      </c>
      <c r="C134" s="50" t="s">
        <v>94</v>
      </c>
      <c r="D134" s="50">
        <v>2</v>
      </c>
      <c r="E134" s="50">
        <v>1200</v>
      </c>
      <c r="F134" s="51">
        <v>0.61919999999999997</v>
      </c>
      <c r="G134" s="4">
        <f t="shared" si="40"/>
        <v>8916.48</v>
      </c>
      <c r="H134" s="50">
        <v>169</v>
      </c>
      <c r="I134" s="51">
        <v>0.61919999999999997</v>
      </c>
      <c r="J134" s="50">
        <v>160</v>
      </c>
      <c r="K134" s="50">
        <v>310</v>
      </c>
      <c r="L134">
        <f t="shared" si="41"/>
        <v>150</v>
      </c>
      <c r="M134">
        <f t="shared" si="42"/>
        <v>9</v>
      </c>
      <c r="N134" s="52">
        <f t="shared" si="43"/>
        <v>0.14800000000000002</v>
      </c>
      <c r="O134" s="53">
        <f t="shared" si="44"/>
        <v>0.61919999999999997</v>
      </c>
      <c r="P134" s="54">
        <v>171.36102423943947</v>
      </c>
      <c r="Q134" s="55">
        <f t="shared" si="45"/>
        <v>0.16059212927701053</v>
      </c>
      <c r="R134" s="55">
        <f t="shared" si="46"/>
        <v>0.72350738889017385</v>
      </c>
      <c r="S134" s="54">
        <f t="shared" si="47"/>
        <v>45253.053029833267</v>
      </c>
      <c r="T134" s="56">
        <f t="shared" si="39"/>
        <v>31677.137120883286</v>
      </c>
      <c r="U134" s="66">
        <f t="shared" si="48"/>
        <v>8916.48</v>
      </c>
      <c r="V134" s="54">
        <f t="shared" si="49"/>
        <v>22760.657120883287</v>
      </c>
      <c r="X134" s="67">
        <f t="shared" si="50"/>
        <v>8802.6732314971159</v>
      </c>
      <c r="Y134" s="67">
        <f t="shared" si="51"/>
        <v>-42402.673231497116</v>
      </c>
      <c r="Z134" s="67">
        <f t="shared" si="52"/>
        <v>-18402.673231497116</v>
      </c>
      <c r="AA134" s="68">
        <f t="shared" si="53"/>
        <v>-18402.673231497116</v>
      </c>
      <c r="AB134" s="68">
        <f t="shared" si="54"/>
        <v>-24402.673231497116</v>
      </c>
      <c r="AC134" s="69">
        <f t="shared" si="55"/>
        <v>-19642.016110613829</v>
      </c>
      <c r="AD134" s="69">
        <f t="shared" si="56"/>
        <v>4357.9838893861706</v>
      </c>
      <c r="AE134" s="69">
        <f t="shared" si="57"/>
        <v>4357.9838893861706</v>
      </c>
      <c r="AF134" s="69">
        <f t="shared" si="58"/>
        <v>-1642.0161106138294</v>
      </c>
    </row>
    <row r="135" spans="1:32">
      <c r="A135" s="50" t="s">
        <v>251</v>
      </c>
      <c r="B135" s="50" t="s">
        <v>252</v>
      </c>
      <c r="C135" s="50" t="s">
        <v>85</v>
      </c>
      <c r="D135" s="50">
        <v>1</v>
      </c>
      <c r="E135" s="50">
        <v>1000</v>
      </c>
      <c r="F135" s="51">
        <v>0.54790000000000005</v>
      </c>
      <c r="G135" s="4">
        <f t="shared" si="40"/>
        <v>6574.8000000000011</v>
      </c>
      <c r="H135" s="50">
        <v>174</v>
      </c>
      <c r="I135" s="51">
        <v>0.54790000000000005</v>
      </c>
      <c r="J135" s="50">
        <v>95</v>
      </c>
      <c r="K135" s="50">
        <v>280</v>
      </c>
      <c r="L135">
        <f t="shared" si="41"/>
        <v>185</v>
      </c>
      <c r="M135">
        <f t="shared" si="42"/>
        <v>79</v>
      </c>
      <c r="N135" s="52">
        <f t="shared" si="43"/>
        <v>0.44162162162162166</v>
      </c>
      <c r="O135" s="53">
        <f t="shared" si="44"/>
        <v>0.54790000000000005</v>
      </c>
      <c r="P135" s="54">
        <v>160.1785974417364</v>
      </c>
      <c r="Q135" s="55">
        <f t="shared" si="45"/>
        <v>0.38185339434264387</v>
      </c>
      <c r="R135" s="55">
        <f t="shared" si="46"/>
        <v>0.54840122371723166</v>
      </c>
      <c r="S135" s="54">
        <f t="shared" si="47"/>
        <v>32062.380680380698</v>
      </c>
      <c r="T135" s="56">
        <f t="shared" si="39"/>
        <v>22443.666476266488</v>
      </c>
      <c r="U135" s="66">
        <f t="shared" si="48"/>
        <v>6574.8000000000011</v>
      </c>
      <c r="V135" s="54">
        <f t="shared" si="49"/>
        <v>15868.866476266487</v>
      </c>
      <c r="X135" s="67">
        <f t="shared" si="50"/>
        <v>6672.2148885596525</v>
      </c>
      <c r="Y135" s="67">
        <f t="shared" si="51"/>
        <v>-40272.214888559654</v>
      </c>
      <c r="Z135" s="67">
        <f t="shared" si="52"/>
        <v>-16272.214888559653</v>
      </c>
      <c r="AA135" s="68">
        <f t="shared" si="53"/>
        <v>-16272.214888559653</v>
      </c>
      <c r="AB135" s="68">
        <f t="shared" si="54"/>
        <v>-22272.214888559654</v>
      </c>
      <c r="AC135" s="69">
        <f t="shared" si="55"/>
        <v>-24403.34841229317</v>
      </c>
      <c r="AD135" s="69">
        <f t="shared" si="56"/>
        <v>-403.34841229316589</v>
      </c>
      <c r="AE135" s="69">
        <f t="shared" si="57"/>
        <v>-403.34841229316589</v>
      </c>
      <c r="AF135" s="69">
        <f t="shared" si="58"/>
        <v>-6403.3484122931677</v>
      </c>
    </row>
    <row r="136" spans="1:32">
      <c r="A136" s="50" t="s">
        <v>253</v>
      </c>
      <c r="B136" s="50" t="s">
        <v>252</v>
      </c>
      <c r="C136" s="50" t="s">
        <v>85</v>
      </c>
      <c r="D136" s="50">
        <v>2</v>
      </c>
      <c r="E136" s="50">
        <v>1200</v>
      </c>
      <c r="F136" s="51">
        <v>0.2712</v>
      </c>
      <c r="G136" s="4">
        <f t="shared" si="40"/>
        <v>3905.2799999999997</v>
      </c>
      <c r="H136" s="50">
        <v>203</v>
      </c>
      <c r="I136" s="51">
        <v>0.2712</v>
      </c>
      <c r="J136" s="50">
        <v>125</v>
      </c>
      <c r="K136" s="50">
        <v>277</v>
      </c>
      <c r="L136">
        <f t="shared" si="41"/>
        <v>152</v>
      </c>
      <c r="M136">
        <f t="shared" si="42"/>
        <v>78</v>
      </c>
      <c r="N136" s="52">
        <f t="shared" si="43"/>
        <v>0.51052631578947372</v>
      </c>
      <c r="O136" s="53">
        <f t="shared" si="44"/>
        <v>0.2712</v>
      </c>
      <c r="P136" s="54">
        <v>155.07917122929882</v>
      </c>
      <c r="Q136" s="55">
        <f t="shared" si="45"/>
        <v>0.25831142752262537</v>
      </c>
      <c r="R136" s="55">
        <f t="shared" si="46"/>
        <v>0.64617233625859427</v>
      </c>
      <c r="S136" s="54">
        <f t="shared" si="47"/>
        <v>36575.872688073148</v>
      </c>
      <c r="T136" s="56">
        <f t="shared" si="39"/>
        <v>25603.110881651202</v>
      </c>
      <c r="U136" s="66">
        <f t="shared" si="48"/>
        <v>3905.2799999999997</v>
      </c>
      <c r="V136" s="54">
        <f t="shared" si="49"/>
        <v>21697.830881651204</v>
      </c>
      <c r="X136" s="67">
        <f t="shared" si="50"/>
        <v>7861.7634244795636</v>
      </c>
      <c r="Y136" s="67">
        <f t="shared" si="51"/>
        <v>-41461.763424479563</v>
      </c>
      <c r="Z136" s="67">
        <f t="shared" si="52"/>
        <v>-17461.763424479563</v>
      </c>
      <c r="AA136" s="68">
        <f t="shared" si="53"/>
        <v>-17461.763424479563</v>
      </c>
      <c r="AB136" s="68">
        <f t="shared" si="54"/>
        <v>-23461.763424479563</v>
      </c>
      <c r="AC136" s="69">
        <f t="shared" si="55"/>
        <v>-19763.932542828359</v>
      </c>
      <c r="AD136" s="69">
        <f t="shared" si="56"/>
        <v>4236.0674571716409</v>
      </c>
      <c r="AE136" s="69">
        <f t="shared" si="57"/>
        <v>4236.0674571716409</v>
      </c>
      <c r="AF136" s="69">
        <f t="shared" si="58"/>
        <v>-1763.9325428283591</v>
      </c>
    </row>
    <row r="137" spans="1:32">
      <c r="A137" s="50" t="s">
        <v>254</v>
      </c>
      <c r="B137" s="50" t="s">
        <v>252</v>
      </c>
      <c r="C137" s="50" t="s">
        <v>94</v>
      </c>
      <c r="D137" s="50">
        <v>1</v>
      </c>
      <c r="E137" s="50">
        <v>1400</v>
      </c>
      <c r="F137" s="51">
        <v>0.76160000000000005</v>
      </c>
      <c r="G137" s="4">
        <f t="shared" si="40"/>
        <v>12794.880000000001</v>
      </c>
      <c r="H137" s="50">
        <v>240</v>
      </c>
      <c r="I137" s="51">
        <v>0.76160000000000005</v>
      </c>
      <c r="J137" s="50">
        <v>209</v>
      </c>
      <c r="K137" s="50">
        <v>384</v>
      </c>
      <c r="L137">
        <f t="shared" si="41"/>
        <v>175</v>
      </c>
      <c r="M137">
        <f t="shared" si="42"/>
        <v>31</v>
      </c>
      <c r="N137" s="52">
        <f t="shared" si="43"/>
        <v>0.24171428571428571</v>
      </c>
      <c r="O137" s="53">
        <f t="shared" si="44"/>
        <v>0.76160000000000005</v>
      </c>
      <c r="P137" s="54">
        <v>211.08786161267889</v>
      </c>
      <c r="Q137" s="55">
        <f t="shared" si="45"/>
        <v>0.10954451022938923</v>
      </c>
      <c r="R137" s="55">
        <f t="shared" si="46"/>
        <v>0.76390647460446137</v>
      </c>
      <c r="S137" s="54">
        <f t="shared" si="47"/>
        <v>58856.755231662617</v>
      </c>
      <c r="T137" s="56">
        <f t="shared" ref="T137:T200" si="59">S137*(1-$T$1)</f>
        <v>41199.728662163827</v>
      </c>
      <c r="U137" s="66">
        <f t="shared" si="48"/>
        <v>12794.880000000001</v>
      </c>
      <c r="V137" s="54">
        <f t="shared" si="49"/>
        <v>28404.848662163826</v>
      </c>
      <c r="X137" s="67">
        <f t="shared" si="50"/>
        <v>9294.1954410209473</v>
      </c>
      <c r="Y137" s="67">
        <f t="shared" si="51"/>
        <v>-42894.195441020944</v>
      </c>
      <c r="Z137" s="67">
        <f t="shared" si="52"/>
        <v>-18894.195441020947</v>
      </c>
      <c r="AA137" s="68">
        <f t="shared" si="53"/>
        <v>-18894.195441020947</v>
      </c>
      <c r="AB137" s="68">
        <f t="shared" si="54"/>
        <v>-24894.195441020947</v>
      </c>
      <c r="AC137" s="69">
        <f t="shared" si="55"/>
        <v>-14489.346778857118</v>
      </c>
      <c r="AD137" s="69">
        <f t="shared" si="56"/>
        <v>9510.6532211428785</v>
      </c>
      <c r="AE137" s="69">
        <f t="shared" si="57"/>
        <v>9510.6532211428785</v>
      </c>
      <c r="AF137" s="69">
        <f t="shared" si="58"/>
        <v>3510.6532211428785</v>
      </c>
    </row>
    <row r="138" spans="1:32">
      <c r="A138" s="50" t="s">
        <v>255</v>
      </c>
      <c r="B138" s="50" t="s">
        <v>242</v>
      </c>
      <c r="C138" s="50" t="s">
        <v>94</v>
      </c>
      <c r="D138" s="50">
        <v>1</v>
      </c>
      <c r="E138" s="50">
        <v>2700</v>
      </c>
      <c r="F138" s="51">
        <v>0.51229999999999998</v>
      </c>
      <c r="G138" s="4">
        <f t="shared" si="40"/>
        <v>16598.52</v>
      </c>
      <c r="H138" s="50">
        <v>389</v>
      </c>
      <c r="I138" s="51">
        <v>0.51229999999999998</v>
      </c>
      <c r="J138" s="50">
        <v>202</v>
      </c>
      <c r="K138" s="50">
        <v>629</v>
      </c>
      <c r="L138">
        <f t="shared" si="41"/>
        <v>427</v>
      </c>
      <c r="M138">
        <f t="shared" si="42"/>
        <v>187</v>
      </c>
      <c r="N138" s="52">
        <f t="shared" si="43"/>
        <v>0.45035128805620606</v>
      </c>
      <c r="O138" s="53">
        <f t="shared" si="44"/>
        <v>0.51229999999999998</v>
      </c>
      <c r="P138" s="54">
        <v>361.07438233493804</v>
      </c>
      <c r="Q138" s="55">
        <f t="shared" si="45"/>
        <v>0.39803162966733119</v>
      </c>
      <c r="R138" s="55">
        <f t="shared" si="46"/>
        <v>0.53559776828127414</v>
      </c>
      <c r="S138" s="54">
        <f t="shared" si="47"/>
        <v>70587.58117717829</v>
      </c>
      <c r="T138" s="56">
        <f t="shared" si="59"/>
        <v>49411.306824024803</v>
      </c>
      <c r="U138" s="66">
        <f t="shared" si="48"/>
        <v>16598.52</v>
      </c>
      <c r="V138" s="54">
        <f t="shared" si="49"/>
        <v>32812.786824024806</v>
      </c>
      <c r="X138" s="67">
        <f t="shared" si="50"/>
        <v>6516.4395140888355</v>
      </c>
      <c r="Y138" s="67">
        <f t="shared" si="51"/>
        <v>-40116.439514088837</v>
      </c>
      <c r="Z138" s="67">
        <f t="shared" si="52"/>
        <v>-16116.439514088835</v>
      </c>
      <c r="AA138" s="68">
        <f t="shared" si="53"/>
        <v>-16116.439514088835</v>
      </c>
      <c r="AB138" s="68">
        <f t="shared" si="54"/>
        <v>-22116.439514088837</v>
      </c>
      <c r="AC138" s="69">
        <f t="shared" si="55"/>
        <v>-7303.652690064031</v>
      </c>
      <c r="AD138" s="69">
        <f t="shared" si="56"/>
        <v>16696.347309935969</v>
      </c>
      <c r="AE138" s="69">
        <f t="shared" si="57"/>
        <v>16696.347309935969</v>
      </c>
      <c r="AF138" s="69">
        <f t="shared" si="58"/>
        <v>10696.347309935969</v>
      </c>
    </row>
    <row r="139" spans="1:32">
      <c r="A139" s="50" t="s">
        <v>256</v>
      </c>
      <c r="B139" s="50" t="s">
        <v>252</v>
      </c>
      <c r="C139" s="50" t="s">
        <v>94</v>
      </c>
      <c r="D139" s="50">
        <v>2</v>
      </c>
      <c r="E139" s="50">
        <v>1600</v>
      </c>
      <c r="F139" s="51">
        <v>0.60819999999999996</v>
      </c>
      <c r="G139" s="4">
        <f t="shared" si="40"/>
        <v>11677.439999999999</v>
      </c>
      <c r="H139" s="50">
        <v>312</v>
      </c>
      <c r="I139" s="51">
        <v>0.60819999999999996</v>
      </c>
      <c r="J139" s="50">
        <v>220</v>
      </c>
      <c r="K139" s="50">
        <v>418</v>
      </c>
      <c r="L139">
        <f t="shared" si="41"/>
        <v>198</v>
      </c>
      <c r="M139">
        <f t="shared" si="42"/>
        <v>92</v>
      </c>
      <c r="N139" s="52">
        <f t="shared" si="43"/>
        <v>0.47171717171717176</v>
      </c>
      <c r="O139" s="53">
        <f t="shared" si="44"/>
        <v>0.60819999999999996</v>
      </c>
      <c r="P139" s="54">
        <v>230.59655199606019</v>
      </c>
      <c r="Q139" s="55">
        <f t="shared" si="45"/>
        <v>0.14281435149923308</v>
      </c>
      <c r="R139" s="55">
        <f t="shared" si="46"/>
        <v>0.73757672222350701</v>
      </c>
      <c r="S139" s="54">
        <f t="shared" si="47"/>
        <v>62080.166876713243</v>
      </c>
      <c r="T139" s="56">
        <f t="shared" si="59"/>
        <v>43456.116813699271</v>
      </c>
      <c r="U139" s="66">
        <f t="shared" si="48"/>
        <v>11677.439999999999</v>
      </c>
      <c r="V139" s="54">
        <f t="shared" si="49"/>
        <v>31778.676813699272</v>
      </c>
      <c r="X139" s="67">
        <f t="shared" si="50"/>
        <v>8973.8501203860033</v>
      </c>
      <c r="Y139" s="67">
        <f t="shared" si="51"/>
        <v>-42573.850120386007</v>
      </c>
      <c r="Z139" s="67">
        <f t="shared" si="52"/>
        <v>-18573.850120386003</v>
      </c>
      <c r="AA139" s="68">
        <f t="shared" si="53"/>
        <v>-18573.850120386003</v>
      </c>
      <c r="AB139" s="68">
        <f t="shared" si="54"/>
        <v>-24573.850120386003</v>
      </c>
      <c r="AC139" s="69">
        <f t="shared" si="55"/>
        <v>-10795.173306686735</v>
      </c>
      <c r="AD139" s="69">
        <f t="shared" si="56"/>
        <v>13204.826693313269</v>
      </c>
      <c r="AE139" s="69">
        <f t="shared" si="57"/>
        <v>13204.826693313269</v>
      </c>
      <c r="AF139" s="69">
        <f t="shared" si="58"/>
        <v>7204.8266933132691</v>
      </c>
    </row>
    <row r="140" spans="1:32">
      <c r="A140" s="50" t="s">
        <v>257</v>
      </c>
      <c r="B140" s="50" t="s">
        <v>258</v>
      </c>
      <c r="C140" s="50" t="s">
        <v>85</v>
      </c>
      <c r="D140" s="50">
        <v>1</v>
      </c>
      <c r="E140" s="50">
        <v>1105</v>
      </c>
      <c r="F140" s="51">
        <v>0.61099999999999999</v>
      </c>
      <c r="G140" s="4">
        <f t="shared" si="40"/>
        <v>8101.86</v>
      </c>
      <c r="H140" s="50">
        <v>111</v>
      </c>
      <c r="I140" s="51">
        <v>0.61099999999999999</v>
      </c>
      <c r="J140" s="50">
        <v>82</v>
      </c>
      <c r="K140" s="50">
        <v>235</v>
      </c>
      <c r="L140">
        <f t="shared" si="41"/>
        <v>153</v>
      </c>
      <c r="M140">
        <f t="shared" si="42"/>
        <v>29</v>
      </c>
      <c r="N140" s="52">
        <f t="shared" si="43"/>
        <v>0.25163398692810457</v>
      </c>
      <c r="O140" s="53">
        <f t="shared" si="44"/>
        <v>0.61099999999999999</v>
      </c>
      <c r="P140" s="54">
        <v>134.18824472422844</v>
      </c>
      <c r="Q140" s="55">
        <f t="shared" si="45"/>
        <v>0.37287971097635786</v>
      </c>
      <c r="R140" s="55">
        <f t="shared" si="46"/>
        <v>0.55550299673331049</v>
      </c>
      <c r="S140" s="54">
        <f t="shared" si="47"/>
        <v>27207.819805802483</v>
      </c>
      <c r="T140" s="56">
        <f t="shared" si="59"/>
        <v>19045.473864061736</v>
      </c>
      <c r="U140" s="66">
        <f t="shared" si="48"/>
        <v>8101.86</v>
      </c>
      <c r="V140" s="54">
        <f t="shared" si="49"/>
        <v>10943.613864061736</v>
      </c>
      <c r="X140" s="67">
        <f t="shared" si="50"/>
        <v>6758.6197935886121</v>
      </c>
      <c r="Y140" s="67">
        <f t="shared" si="51"/>
        <v>-40358.619793588616</v>
      </c>
      <c r="Z140" s="67">
        <f t="shared" si="52"/>
        <v>-16358.619793588612</v>
      </c>
      <c r="AA140" s="68">
        <f t="shared" si="53"/>
        <v>-16358.619793588612</v>
      </c>
      <c r="AB140" s="68">
        <f t="shared" si="54"/>
        <v>-22358.619793588612</v>
      </c>
      <c r="AC140" s="69">
        <f t="shared" si="55"/>
        <v>-29415.00592952688</v>
      </c>
      <c r="AD140" s="69">
        <f t="shared" si="56"/>
        <v>-5415.0059295268766</v>
      </c>
      <c r="AE140" s="69">
        <f t="shared" si="57"/>
        <v>-5415.0059295268766</v>
      </c>
      <c r="AF140" s="69">
        <f t="shared" si="58"/>
        <v>-11415.005929526877</v>
      </c>
    </row>
    <row r="141" spans="1:32">
      <c r="A141" s="50" t="s">
        <v>259</v>
      </c>
      <c r="B141" s="50" t="s">
        <v>258</v>
      </c>
      <c r="C141" s="50" t="s">
        <v>85</v>
      </c>
      <c r="D141" s="50">
        <v>2</v>
      </c>
      <c r="E141" s="50">
        <v>1665</v>
      </c>
      <c r="F141" s="51">
        <v>0.30680000000000002</v>
      </c>
      <c r="G141" s="4">
        <f t="shared" si="40"/>
        <v>6129.8640000000005</v>
      </c>
      <c r="H141" s="50">
        <v>169</v>
      </c>
      <c r="I141" s="51">
        <v>0.30680000000000002</v>
      </c>
      <c r="J141" s="50">
        <v>130</v>
      </c>
      <c r="K141" s="50">
        <v>200</v>
      </c>
      <c r="L141">
        <f t="shared" si="41"/>
        <v>70</v>
      </c>
      <c r="M141">
        <f t="shared" si="42"/>
        <v>39</v>
      </c>
      <c r="N141" s="52">
        <f t="shared" si="43"/>
        <v>0.54571428571428571</v>
      </c>
      <c r="O141" s="53">
        <f t="shared" si="44"/>
        <v>0.30680000000000002</v>
      </c>
      <c r="P141" s="54">
        <v>130</v>
      </c>
      <c r="Q141" s="55">
        <f t="shared" si="45"/>
        <v>0.1</v>
      </c>
      <c r="R141" s="55">
        <f t="shared" si="46"/>
        <v>0.77146000000000003</v>
      </c>
      <c r="S141" s="54">
        <f t="shared" si="47"/>
        <v>36605.777000000002</v>
      </c>
      <c r="T141" s="56">
        <f t="shared" si="59"/>
        <v>25624.043900000001</v>
      </c>
      <c r="U141" s="66">
        <f t="shared" si="48"/>
        <v>6129.8640000000005</v>
      </c>
      <c r="V141" s="54">
        <f t="shared" si="49"/>
        <v>19494.179899999999</v>
      </c>
      <c r="X141" s="67">
        <f t="shared" si="50"/>
        <v>9386.0966666666664</v>
      </c>
      <c r="Y141" s="67">
        <f t="shared" si="51"/>
        <v>-42986.096666666665</v>
      </c>
      <c r="Z141" s="67">
        <f t="shared" si="52"/>
        <v>-18986.096666666665</v>
      </c>
      <c r="AA141" s="68">
        <f t="shared" si="53"/>
        <v>-18986.096666666665</v>
      </c>
      <c r="AB141" s="68">
        <f t="shared" si="54"/>
        <v>-24986.096666666665</v>
      </c>
      <c r="AC141" s="69">
        <f t="shared" si="55"/>
        <v>-23491.916766666665</v>
      </c>
      <c r="AD141" s="69">
        <f t="shared" si="56"/>
        <v>508.08323333333465</v>
      </c>
      <c r="AE141" s="69">
        <f t="shared" si="57"/>
        <v>508.08323333333465</v>
      </c>
      <c r="AF141" s="69">
        <f t="shared" si="58"/>
        <v>-5491.9167666666654</v>
      </c>
    </row>
    <row r="142" spans="1:32">
      <c r="A142" s="50" t="s">
        <v>260</v>
      </c>
      <c r="B142" s="50" t="s">
        <v>258</v>
      </c>
      <c r="C142" s="50" t="s">
        <v>94</v>
      </c>
      <c r="D142" s="50">
        <v>1</v>
      </c>
      <c r="E142" s="50">
        <v>1175</v>
      </c>
      <c r="F142" s="51">
        <v>0.52329999999999999</v>
      </c>
      <c r="G142" s="4">
        <f t="shared" si="40"/>
        <v>7378.53</v>
      </c>
      <c r="H142" s="50">
        <v>201</v>
      </c>
      <c r="I142" s="51">
        <v>0.52329999999999999</v>
      </c>
      <c r="J142" s="50">
        <v>106</v>
      </c>
      <c r="K142" s="50">
        <v>267</v>
      </c>
      <c r="L142">
        <f t="shared" si="41"/>
        <v>161</v>
      </c>
      <c r="M142">
        <f t="shared" si="42"/>
        <v>95</v>
      </c>
      <c r="N142" s="52">
        <f t="shared" si="43"/>
        <v>0.57204968944099377</v>
      </c>
      <c r="O142" s="53">
        <f t="shared" si="44"/>
        <v>0.52329999999999999</v>
      </c>
      <c r="P142" s="54">
        <v>151.06083293366518</v>
      </c>
      <c r="Q142" s="55">
        <f t="shared" si="45"/>
        <v>0.32390475991883316</v>
      </c>
      <c r="R142" s="55">
        <f t="shared" si="46"/>
        <v>0.59426177300023553</v>
      </c>
      <c r="S142" s="54">
        <f t="shared" si="47"/>
        <v>32765.932619669071</v>
      </c>
      <c r="T142" s="56">
        <f t="shared" si="59"/>
        <v>22936.152833768349</v>
      </c>
      <c r="U142" s="66">
        <f t="shared" si="48"/>
        <v>7378.53</v>
      </c>
      <c r="V142" s="54">
        <f t="shared" si="49"/>
        <v>15557.62283376835</v>
      </c>
      <c r="X142" s="67">
        <f t="shared" si="50"/>
        <v>7230.1849048361983</v>
      </c>
      <c r="Y142" s="67">
        <f t="shared" si="51"/>
        <v>-40830.184904836198</v>
      </c>
      <c r="Z142" s="67">
        <f t="shared" si="52"/>
        <v>-16830.184904836198</v>
      </c>
      <c r="AA142" s="68">
        <f t="shared" si="53"/>
        <v>-16830.184904836198</v>
      </c>
      <c r="AB142" s="68">
        <f t="shared" si="54"/>
        <v>-22830.184904836198</v>
      </c>
      <c r="AC142" s="69">
        <f t="shared" si="55"/>
        <v>-25272.562071067849</v>
      </c>
      <c r="AD142" s="69">
        <f t="shared" si="56"/>
        <v>-1272.5620710678486</v>
      </c>
      <c r="AE142" s="69">
        <f t="shared" si="57"/>
        <v>-1272.5620710678486</v>
      </c>
      <c r="AF142" s="69">
        <f t="shared" si="58"/>
        <v>-7272.5620710678486</v>
      </c>
    </row>
    <row r="143" spans="1:32">
      <c r="A143" s="50" t="s">
        <v>261</v>
      </c>
      <c r="B143" s="50" t="s">
        <v>258</v>
      </c>
      <c r="C143" s="50" t="s">
        <v>94</v>
      </c>
      <c r="D143" s="50">
        <v>2</v>
      </c>
      <c r="E143" s="50">
        <v>1725</v>
      </c>
      <c r="F143" s="51">
        <v>0.48220000000000002</v>
      </c>
      <c r="G143" s="4">
        <f t="shared" si="40"/>
        <v>9981.5400000000009</v>
      </c>
      <c r="H143" s="50">
        <v>242</v>
      </c>
      <c r="I143" s="51">
        <v>0.48220000000000002</v>
      </c>
      <c r="J143" s="50">
        <v>195</v>
      </c>
      <c r="K143" s="50">
        <v>305</v>
      </c>
      <c r="L143">
        <f t="shared" si="41"/>
        <v>110</v>
      </c>
      <c r="M143">
        <f t="shared" si="42"/>
        <v>47</v>
      </c>
      <c r="N143" s="52">
        <f t="shared" si="43"/>
        <v>0.44181818181818189</v>
      </c>
      <c r="O143" s="53">
        <f t="shared" si="44"/>
        <v>0.48220000000000002</v>
      </c>
      <c r="P143" s="54">
        <v>195</v>
      </c>
      <c r="Q143" s="55">
        <f t="shared" si="45"/>
        <v>0.1</v>
      </c>
      <c r="R143" s="55">
        <f t="shared" si="46"/>
        <v>0.77146000000000003</v>
      </c>
      <c r="S143" s="54">
        <f t="shared" si="47"/>
        <v>54908.665500000003</v>
      </c>
      <c r="T143" s="56">
        <f t="shared" si="59"/>
        <v>38436.065849999999</v>
      </c>
      <c r="U143" s="66">
        <f t="shared" si="48"/>
        <v>9981.5400000000009</v>
      </c>
      <c r="V143" s="54">
        <f t="shared" si="49"/>
        <v>28454.525849999998</v>
      </c>
      <c r="X143" s="67">
        <f t="shared" si="50"/>
        <v>9386.0966666666664</v>
      </c>
      <c r="Y143" s="67">
        <f t="shared" si="51"/>
        <v>-42986.096666666665</v>
      </c>
      <c r="Z143" s="67">
        <f t="shared" si="52"/>
        <v>-18986.096666666665</v>
      </c>
      <c r="AA143" s="68">
        <f t="shared" si="53"/>
        <v>-18986.096666666665</v>
      </c>
      <c r="AB143" s="68">
        <f t="shared" si="54"/>
        <v>-24986.096666666665</v>
      </c>
      <c r="AC143" s="69">
        <f t="shared" si="55"/>
        <v>-14531.570816666666</v>
      </c>
      <c r="AD143" s="69">
        <f t="shared" si="56"/>
        <v>9468.4291833333336</v>
      </c>
      <c r="AE143" s="69">
        <f t="shared" si="57"/>
        <v>9468.4291833333336</v>
      </c>
      <c r="AF143" s="69">
        <f t="shared" si="58"/>
        <v>3468.4291833333336</v>
      </c>
    </row>
    <row r="144" spans="1:32">
      <c r="A144" s="50" t="s">
        <v>262</v>
      </c>
      <c r="B144" s="50" t="s">
        <v>263</v>
      </c>
      <c r="C144" s="50" t="s">
        <v>85</v>
      </c>
      <c r="D144" s="50">
        <v>1</v>
      </c>
      <c r="E144" s="50">
        <v>709</v>
      </c>
      <c r="F144" s="51">
        <v>0.22189999999999999</v>
      </c>
      <c r="G144" s="4">
        <f t="shared" si="40"/>
        <v>1887.9251999999999</v>
      </c>
      <c r="H144" s="50">
        <v>158</v>
      </c>
      <c r="I144" s="51">
        <v>0.22189999999999999</v>
      </c>
      <c r="J144" s="50">
        <v>86</v>
      </c>
      <c r="K144" s="50">
        <v>192</v>
      </c>
      <c r="L144">
        <f t="shared" si="41"/>
        <v>106</v>
      </c>
      <c r="M144">
        <f t="shared" si="42"/>
        <v>72</v>
      </c>
      <c r="N144" s="52">
        <f t="shared" si="43"/>
        <v>0.64339622641509431</v>
      </c>
      <c r="O144" s="53">
        <f t="shared" si="44"/>
        <v>0.22189999999999999</v>
      </c>
      <c r="P144" s="54">
        <v>107.56179045300291</v>
      </c>
      <c r="Q144" s="55">
        <f t="shared" si="45"/>
        <v>0.26273049398492765</v>
      </c>
      <c r="R144" s="55">
        <f t="shared" si="46"/>
        <v>0.64267508706032828</v>
      </c>
      <c r="S144" s="54">
        <f t="shared" si="47"/>
        <v>25231.458310968181</v>
      </c>
      <c r="T144" s="56">
        <f t="shared" si="59"/>
        <v>17662.020817677727</v>
      </c>
      <c r="U144" s="66">
        <f t="shared" si="48"/>
        <v>1887.9251999999999</v>
      </c>
      <c r="V144" s="54">
        <f t="shared" si="49"/>
        <v>15774.095617677727</v>
      </c>
      <c r="X144" s="67">
        <f t="shared" si="50"/>
        <v>7819.2135592339937</v>
      </c>
      <c r="Y144" s="67">
        <f t="shared" si="51"/>
        <v>-41419.213559233991</v>
      </c>
      <c r="Z144" s="67">
        <f t="shared" si="52"/>
        <v>-17419.213559233995</v>
      </c>
      <c r="AA144" s="68">
        <f t="shared" si="53"/>
        <v>-17419.213559233995</v>
      </c>
      <c r="AB144" s="68">
        <f t="shared" si="54"/>
        <v>-23419.213559233995</v>
      </c>
      <c r="AC144" s="69">
        <f t="shared" si="55"/>
        <v>-25645.117941556266</v>
      </c>
      <c r="AD144" s="69">
        <f t="shared" si="56"/>
        <v>-1645.1179415562674</v>
      </c>
      <c r="AE144" s="69">
        <f t="shared" si="57"/>
        <v>-1645.1179415562674</v>
      </c>
      <c r="AF144" s="69">
        <f t="shared" si="58"/>
        <v>-7645.1179415562674</v>
      </c>
    </row>
    <row r="145" spans="1:32">
      <c r="A145" s="50" t="s">
        <v>264</v>
      </c>
      <c r="B145" s="50" t="s">
        <v>263</v>
      </c>
      <c r="C145" s="50" t="s">
        <v>85</v>
      </c>
      <c r="D145" s="50">
        <v>2</v>
      </c>
      <c r="E145" s="50">
        <v>869</v>
      </c>
      <c r="F145" s="51">
        <v>0.38900000000000001</v>
      </c>
      <c r="G145" s="4">
        <f t="shared" si="40"/>
        <v>4056.4920000000002</v>
      </c>
      <c r="H145" s="50">
        <v>246</v>
      </c>
      <c r="I145" s="51">
        <v>0.38900000000000001</v>
      </c>
      <c r="J145" s="50">
        <v>135</v>
      </c>
      <c r="K145" s="50">
        <v>305</v>
      </c>
      <c r="L145">
        <f t="shared" si="41"/>
        <v>170</v>
      </c>
      <c r="M145">
        <f t="shared" si="42"/>
        <v>111</v>
      </c>
      <c r="N145" s="52">
        <f t="shared" si="43"/>
        <v>0.62235294117647066</v>
      </c>
      <c r="O145" s="53">
        <f t="shared" si="44"/>
        <v>0.38900000000000001</v>
      </c>
      <c r="P145" s="54">
        <v>171.04249413803157</v>
      </c>
      <c r="Q145" s="55">
        <f t="shared" si="45"/>
        <v>0.26961173712014858</v>
      </c>
      <c r="R145" s="55">
        <f t="shared" si="46"/>
        <v>0.63722927124311446</v>
      </c>
      <c r="S145" s="54">
        <f t="shared" si="47"/>
        <v>39782.548620281625</v>
      </c>
      <c r="T145" s="56">
        <f t="shared" si="59"/>
        <v>27847.784034197135</v>
      </c>
      <c r="U145" s="66">
        <f t="shared" si="48"/>
        <v>4056.4920000000002</v>
      </c>
      <c r="V145" s="54">
        <f t="shared" si="49"/>
        <v>23791.292034197133</v>
      </c>
      <c r="X145" s="67">
        <f t="shared" si="50"/>
        <v>7752.956133457893</v>
      </c>
      <c r="Y145" s="67">
        <f t="shared" si="51"/>
        <v>-41352.95613345789</v>
      </c>
      <c r="Z145" s="67">
        <f t="shared" si="52"/>
        <v>-17352.956133457894</v>
      </c>
      <c r="AA145" s="68">
        <f t="shared" si="53"/>
        <v>-17352.956133457894</v>
      </c>
      <c r="AB145" s="68">
        <f t="shared" si="54"/>
        <v>-23352.956133457894</v>
      </c>
      <c r="AC145" s="69">
        <f t="shared" si="55"/>
        <v>-17561.664099260757</v>
      </c>
      <c r="AD145" s="69">
        <f t="shared" si="56"/>
        <v>6438.3359007392392</v>
      </c>
      <c r="AE145" s="69">
        <f t="shared" si="57"/>
        <v>6438.3359007392392</v>
      </c>
      <c r="AF145" s="69">
        <f t="shared" si="58"/>
        <v>438.33590073923915</v>
      </c>
    </row>
    <row r="146" spans="1:32">
      <c r="A146" s="50" t="s">
        <v>265</v>
      </c>
      <c r="B146" s="50" t="s">
        <v>263</v>
      </c>
      <c r="C146" s="50" t="s">
        <v>94</v>
      </c>
      <c r="D146" s="50">
        <v>1</v>
      </c>
      <c r="E146" s="50">
        <v>925</v>
      </c>
      <c r="F146" s="51">
        <v>0.41639999999999999</v>
      </c>
      <c r="G146" s="4">
        <f t="shared" si="40"/>
        <v>4622.04</v>
      </c>
      <c r="H146" s="50">
        <v>207</v>
      </c>
      <c r="I146" s="51">
        <v>0.41639999999999999</v>
      </c>
      <c r="J146" s="50">
        <v>125</v>
      </c>
      <c r="K146" s="50">
        <v>288</v>
      </c>
      <c r="L146">
        <f t="shared" si="41"/>
        <v>163</v>
      </c>
      <c r="M146">
        <f t="shared" si="42"/>
        <v>82</v>
      </c>
      <c r="N146" s="52">
        <f t="shared" si="43"/>
        <v>0.50245398773006145</v>
      </c>
      <c r="O146" s="53">
        <f t="shared" si="44"/>
        <v>0.41639999999999999</v>
      </c>
      <c r="P146" s="54">
        <v>161.77897967352436</v>
      </c>
      <c r="Q146" s="55">
        <f t="shared" si="45"/>
        <v>0.28051032968600914</v>
      </c>
      <c r="R146" s="55">
        <f t="shared" si="46"/>
        <v>0.62860412508649244</v>
      </c>
      <c r="S146" s="54">
        <f t="shared" si="47"/>
        <v>37118.650900897344</v>
      </c>
      <c r="T146" s="56">
        <f t="shared" si="59"/>
        <v>25983.05563062814</v>
      </c>
      <c r="U146" s="66">
        <f t="shared" si="48"/>
        <v>4622.04</v>
      </c>
      <c r="V146" s="54">
        <f t="shared" si="49"/>
        <v>21361.015630628139</v>
      </c>
      <c r="X146" s="67">
        <f t="shared" si="50"/>
        <v>7648.0168552189925</v>
      </c>
      <c r="Y146" s="67">
        <f t="shared" si="51"/>
        <v>-41248.016855218993</v>
      </c>
      <c r="Z146" s="67">
        <f t="shared" si="52"/>
        <v>-17248.016855218993</v>
      </c>
      <c r="AA146" s="68">
        <f t="shared" si="53"/>
        <v>-17248.016855218993</v>
      </c>
      <c r="AB146" s="68">
        <f t="shared" si="54"/>
        <v>-23248.016855218993</v>
      </c>
      <c r="AC146" s="69">
        <f t="shared" si="55"/>
        <v>-19887.001224590855</v>
      </c>
      <c r="AD146" s="69">
        <f t="shared" si="56"/>
        <v>4112.9987754091453</v>
      </c>
      <c r="AE146" s="69">
        <f t="shared" si="57"/>
        <v>4112.9987754091453</v>
      </c>
      <c r="AF146" s="69">
        <f t="shared" si="58"/>
        <v>-1887.0012245908547</v>
      </c>
    </row>
    <row r="147" spans="1:32">
      <c r="A147" s="50" t="s">
        <v>266</v>
      </c>
      <c r="B147" s="50" t="s">
        <v>263</v>
      </c>
      <c r="C147" s="50" t="s">
        <v>94</v>
      </c>
      <c r="D147" s="50">
        <v>2</v>
      </c>
      <c r="E147" s="50">
        <v>1350</v>
      </c>
      <c r="F147" s="51">
        <v>0.4849</v>
      </c>
      <c r="G147" s="4">
        <f t="shared" si="40"/>
        <v>7855.38</v>
      </c>
      <c r="H147" s="50">
        <v>224</v>
      </c>
      <c r="I147" s="51">
        <v>0.4849</v>
      </c>
      <c r="J147" s="50">
        <v>119</v>
      </c>
      <c r="K147" s="50">
        <v>360</v>
      </c>
      <c r="L147">
        <f t="shared" si="41"/>
        <v>241</v>
      </c>
      <c r="M147">
        <f t="shared" si="42"/>
        <v>105</v>
      </c>
      <c r="N147" s="52">
        <f t="shared" si="43"/>
        <v>0.44854771784232361</v>
      </c>
      <c r="O147" s="53">
        <f t="shared" si="44"/>
        <v>0.4849</v>
      </c>
      <c r="P147" s="54">
        <v>206.28671180259605</v>
      </c>
      <c r="Q147" s="55">
        <f t="shared" si="45"/>
        <v>0.38974842092148065</v>
      </c>
      <c r="R147" s="55">
        <f t="shared" si="46"/>
        <v>0.54215309968274017</v>
      </c>
      <c r="S147" s="54">
        <f t="shared" si="47"/>
        <v>40821.227782905204</v>
      </c>
      <c r="T147" s="56">
        <f t="shared" si="59"/>
        <v>28574.85944803364</v>
      </c>
      <c r="U147" s="66">
        <f t="shared" si="48"/>
        <v>7855.38</v>
      </c>
      <c r="V147" s="54">
        <f t="shared" si="49"/>
        <v>20719.479448033639</v>
      </c>
      <c r="X147" s="67">
        <f t="shared" si="50"/>
        <v>6596.1960461400049</v>
      </c>
      <c r="Y147" s="67">
        <f t="shared" si="51"/>
        <v>-40196.196046140001</v>
      </c>
      <c r="Z147" s="67">
        <f t="shared" si="52"/>
        <v>-16196.196046140005</v>
      </c>
      <c r="AA147" s="68">
        <f t="shared" si="53"/>
        <v>-16196.196046140005</v>
      </c>
      <c r="AB147" s="68">
        <f t="shared" si="54"/>
        <v>-22196.196046140005</v>
      </c>
      <c r="AC147" s="69">
        <f t="shared" si="55"/>
        <v>-19476.716598106363</v>
      </c>
      <c r="AD147" s="69">
        <f t="shared" si="56"/>
        <v>4523.2834018936337</v>
      </c>
      <c r="AE147" s="69">
        <f t="shared" si="57"/>
        <v>4523.2834018936337</v>
      </c>
      <c r="AF147" s="69">
        <f t="shared" si="58"/>
        <v>-1476.7165981063663</v>
      </c>
    </row>
    <row r="148" spans="1:32">
      <c r="A148" s="50" t="s">
        <v>267</v>
      </c>
      <c r="B148" s="50" t="s">
        <v>268</v>
      </c>
      <c r="C148" s="50" t="s">
        <v>85</v>
      </c>
      <c r="D148" s="50">
        <v>1</v>
      </c>
      <c r="E148" s="50">
        <v>900</v>
      </c>
      <c r="F148" s="51">
        <v>0.55069999999999997</v>
      </c>
      <c r="G148" s="4">
        <f t="shared" si="40"/>
        <v>5947.5599999999995</v>
      </c>
      <c r="H148" s="50">
        <v>139</v>
      </c>
      <c r="I148" s="51">
        <v>0.55069999999999997</v>
      </c>
      <c r="J148" s="50">
        <v>89</v>
      </c>
      <c r="K148" s="50">
        <v>177</v>
      </c>
      <c r="L148">
        <f t="shared" si="41"/>
        <v>88</v>
      </c>
      <c r="M148">
        <f t="shared" si="42"/>
        <v>50</v>
      </c>
      <c r="N148" s="52">
        <f t="shared" si="43"/>
        <v>0.55454545454545456</v>
      </c>
      <c r="O148" s="53">
        <f t="shared" si="44"/>
        <v>0.55069999999999997</v>
      </c>
      <c r="P148" s="54">
        <v>98.098467428804639</v>
      </c>
      <c r="Q148" s="55">
        <f t="shared" si="45"/>
        <v>0.18271334026186037</v>
      </c>
      <c r="R148" s="55">
        <f t="shared" si="46"/>
        <v>0.70600066251676374</v>
      </c>
      <c r="S148" s="54">
        <f t="shared" si="47"/>
        <v>25279.017793764564</v>
      </c>
      <c r="T148" s="56">
        <f t="shared" si="59"/>
        <v>17695.312455635194</v>
      </c>
      <c r="U148" s="66">
        <f t="shared" si="48"/>
        <v>5947.5599999999995</v>
      </c>
      <c r="V148" s="54">
        <f t="shared" si="49"/>
        <v>11747.752455635195</v>
      </c>
      <c r="X148" s="67">
        <f t="shared" si="50"/>
        <v>8589.6747272872926</v>
      </c>
      <c r="Y148" s="67">
        <f t="shared" si="51"/>
        <v>-42189.674727287289</v>
      </c>
      <c r="Z148" s="67">
        <f t="shared" si="52"/>
        <v>-18189.674727287293</v>
      </c>
      <c r="AA148" s="68">
        <f t="shared" si="53"/>
        <v>-18189.674727287293</v>
      </c>
      <c r="AB148" s="68">
        <f t="shared" si="54"/>
        <v>-24189.674727287293</v>
      </c>
      <c r="AC148" s="69">
        <f t="shared" si="55"/>
        <v>-30441.922271652096</v>
      </c>
      <c r="AD148" s="69">
        <f t="shared" si="56"/>
        <v>-6441.9222716520981</v>
      </c>
      <c r="AE148" s="69">
        <f t="shared" si="57"/>
        <v>-6441.9222716520981</v>
      </c>
      <c r="AF148" s="69">
        <f t="shared" si="58"/>
        <v>-12441.922271652098</v>
      </c>
    </row>
    <row r="149" spans="1:32">
      <c r="A149" s="50" t="s">
        <v>269</v>
      </c>
      <c r="B149" s="50" t="s">
        <v>242</v>
      </c>
      <c r="C149" s="50" t="s">
        <v>94</v>
      </c>
      <c r="D149" s="50">
        <v>2</v>
      </c>
      <c r="E149" s="50">
        <v>3200</v>
      </c>
      <c r="F149" s="51">
        <v>0.81640000000000001</v>
      </c>
      <c r="G149" s="4">
        <f t="shared" si="40"/>
        <v>31349.760000000002</v>
      </c>
      <c r="H149" s="50">
        <v>325</v>
      </c>
      <c r="I149" s="51">
        <v>0.81640000000000001</v>
      </c>
      <c r="J149" s="50">
        <v>195</v>
      </c>
      <c r="K149" s="50">
        <v>844</v>
      </c>
      <c r="L149">
        <f t="shared" si="41"/>
        <v>649</v>
      </c>
      <c r="M149">
        <f t="shared" si="42"/>
        <v>130</v>
      </c>
      <c r="N149" s="52">
        <f t="shared" si="43"/>
        <v>0.26024653312788903</v>
      </c>
      <c r="O149" s="53">
        <f t="shared" si="44"/>
        <v>0.81640000000000001</v>
      </c>
      <c r="P149" s="54">
        <v>492.78869827180876</v>
      </c>
      <c r="Q149" s="55">
        <f t="shared" si="45"/>
        <v>0.46707389617480277</v>
      </c>
      <c r="R149" s="55">
        <f t="shared" si="46"/>
        <v>0.48095771856726111</v>
      </c>
      <c r="S149" s="54">
        <f t="shared" si="47"/>
        <v>86508.842740636945</v>
      </c>
      <c r="T149" s="56">
        <f t="shared" si="59"/>
        <v>60556.18991844586</v>
      </c>
      <c r="U149" s="66">
        <f t="shared" si="48"/>
        <v>31349.760000000002</v>
      </c>
      <c r="V149" s="54">
        <f t="shared" si="49"/>
        <v>29206.429918445858</v>
      </c>
      <c r="X149" s="67">
        <f t="shared" si="50"/>
        <v>5851.6522425683434</v>
      </c>
      <c r="Y149" s="67">
        <f t="shared" si="51"/>
        <v>-39451.652242568343</v>
      </c>
      <c r="Z149" s="67">
        <f t="shared" si="52"/>
        <v>-15451.652242568343</v>
      </c>
      <c r="AA149" s="68">
        <f t="shared" si="53"/>
        <v>-15451.652242568343</v>
      </c>
      <c r="AB149" s="68">
        <f t="shared" si="54"/>
        <v>-21451.652242568343</v>
      </c>
      <c r="AC149" s="69">
        <f t="shared" si="55"/>
        <v>-10245.222324122486</v>
      </c>
      <c r="AD149" s="69">
        <f t="shared" si="56"/>
        <v>13754.777675877514</v>
      </c>
      <c r="AE149" s="69">
        <f t="shared" si="57"/>
        <v>13754.777675877514</v>
      </c>
      <c r="AF149" s="69">
        <f t="shared" si="58"/>
        <v>7754.7776758775144</v>
      </c>
    </row>
    <row r="150" spans="1:32">
      <c r="A150" s="50" t="s">
        <v>270</v>
      </c>
      <c r="B150" s="50" t="s">
        <v>268</v>
      </c>
      <c r="C150" s="50" t="s">
        <v>85</v>
      </c>
      <c r="D150" s="50">
        <v>2</v>
      </c>
      <c r="E150" s="50">
        <v>1325</v>
      </c>
      <c r="F150" s="51">
        <v>0.29320000000000002</v>
      </c>
      <c r="G150" s="4">
        <f t="shared" si="40"/>
        <v>4661.88</v>
      </c>
      <c r="H150" s="50">
        <v>283</v>
      </c>
      <c r="I150" s="51">
        <v>0.29320000000000002</v>
      </c>
      <c r="J150" s="50">
        <v>161</v>
      </c>
      <c r="K150" s="50">
        <v>319</v>
      </c>
      <c r="L150">
        <f t="shared" si="41"/>
        <v>158</v>
      </c>
      <c r="M150">
        <f t="shared" si="42"/>
        <v>122</v>
      </c>
      <c r="N150" s="52">
        <f t="shared" si="43"/>
        <v>0.71772151898734182</v>
      </c>
      <c r="O150" s="53">
        <f t="shared" si="44"/>
        <v>0.29320000000000002</v>
      </c>
      <c r="P150" s="54">
        <v>176.73361241652742</v>
      </c>
      <c r="Q150" s="55">
        <f t="shared" si="45"/>
        <v>0.17966386033684772</v>
      </c>
      <c r="R150" s="55">
        <f t="shared" si="46"/>
        <v>0.70841402092941874</v>
      </c>
      <c r="S150" s="54">
        <f t="shared" si="47"/>
        <v>45698.207686961381</v>
      </c>
      <c r="T150" s="56">
        <f t="shared" si="59"/>
        <v>31988.745380872966</v>
      </c>
      <c r="U150" s="66">
        <f t="shared" si="48"/>
        <v>4661.88</v>
      </c>
      <c r="V150" s="54">
        <f t="shared" si="49"/>
        <v>27326.865380872965</v>
      </c>
      <c r="X150" s="67">
        <f t="shared" si="50"/>
        <v>8619.0372546412618</v>
      </c>
      <c r="Y150" s="67">
        <f t="shared" si="51"/>
        <v>-42219.037254641262</v>
      </c>
      <c r="Z150" s="67">
        <f t="shared" si="52"/>
        <v>-18219.037254641262</v>
      </c>
      <c r="AA150" s="68">
        <f t="shared" si="53"/>
        <v>-18219.037254641262</v>
      </c>
      <c r="AB150" s="68">
        <f t="shared" si="54"/>
        <v>-24219.037254641262</v>
      </c>
      <c r="AC150" s="69">
        <f t="shared" si="55"/>
        <v>-14892.171873768297</v>
      </c>
      <c r="AD150" s="69">
        <f t="shared" si="56"/>
        <v>9107.8281262317032</v>
      </c>
      <c r="AE150" s="69">
        <f t="shared" si="57"/>
        <v>9107.8281262317032</v>
      </c>
      <c r="AF150" s="69">
        <f t="shared" si="58"/>
        <v>3107.8281262317032</v>
      </c>
    </row>
    <row r="151" spans="1:32">
      <c r="A151" s="50" t="s">
        <v>271</v>
      </c>
      <c r="B151" s="50" t="s">
        <v>268</v>
      </c>
      <c r="C151" s="50" t="s">
        <v>94</v>
      </c>
      <c r="D151" s="50">
        <v>1</v>
      </c>
      <c r="E151" s="50">
        <v>975</v>
      </c>
      <c r="F151" s="51">
        <v>0.50139999999999996</v>
      </c>
      <c r="G151" s="4">
        <f t="shared" si="40"/>
        <v>5866.3799999999992</v>
      </c>
      <c r="H151" s="50">
        <v>192</v>
      </c>
      <c r="I151" s="51">
        <v>0.50139999999999996</v>
      </c>
      <c r="J151" s="50">
        <v>145</v>
      </c>
      <c r="K151" s="50">
        <v>300</v>
      </c>
      <c r="L151">
        <f t="shared" si="41"/>
        <v>155</v>
      </c>
      <c r="M151">
        <f t="shared" si="42"/>
        <v>47</v>
      </c>
      <c r="N151" s="52">
        <f t="shared" si="43"/>
        <v>0.34258064516129033</v>
      </c>
      <c r="O151" s="53">
        <f t="shared" si="44"/>
        <v>0.50139999999999996</v>
      </c>
      <c r="P151" s="54">
        <v>166.90639171408756</v>
      </c>
      <c r="Q151" s="55">
        <f t="shared" si="45"/>
        <v>0.21306524755658096</v>
      </c>
      <c r="R151" s="55">
        <f t="shared" si="46"/>
        <v>0.68198016308372189</v>
      </c>
      <c r="S151" s="54">
        <f t="shared" si="47"/>
        <v>41546.799607924491</v>
      </c>
      <c r="T151" s="56">
        <f t="shared" si="59"/>
        <v>29082.759725547141</v>
      </c>
      <c r="U151" s="66">
        <f t="shared" si="48"/>
        <v>5866.3799999999992</v>
      </c>
      <c r="V151" s="54">
        <f t="shared" si="49"/>
        <v>23216.379725547144</v>
      </c>
      <c r="X151" s="67">
        <f t="shared" si="50"/>
        <v>8297.4253175186168</v>
      </c>
      <c r="Y151" s="67">
        <f t="shared" si="51"/>
        <v>-41897.425317518617</v>
      </c>
      <c r="Z151" s="67">
        <f t="shared" si="52"/>
        <v>-17897.425317518617</v>
      </c>
      <c r="AA151" s="68">
        <f t="shared" si="53"/>
        <v>-17897.425317518617</v>
      </c>
      <c r="AB151" s="68">
        <f t="shared" si="54"/>
        <v>-23897.425317518617</v>
      </c>
      <c r="AC151" s="69">
        <f t="shared" si="55"/>
        <v>-18681.045591971473</v>
      </c>
      <c r="AD151" s="69">
        <f t="shared" si="56"/>
        <v>5318.9544080285268</v>
      </c>
      <c r="AE151" s="69">
        <f t="shared" si="57"/>
        <v>5318.9544080285268</v>
      </c>
      <c r="AF151" s="69">
        <f t="shared" si="58"/>
        <v>-681.04559197147319</v>
      </c>
    </row>
    <row r="152" spans="1:32">
      <c r="A152" s="50" t="s">
        <v>272</v>
      </c>
      <c r="B152" s="50" t="s">
        <v>268</v>
      </c>
      <c r="C152" s="50" t="s">
        <v>94</v>
      </c>
      <c r="D152" s="50">
        <v>2</v>
      </c>
      <c r="E152" s="50">
        <v>1550</v>
      </c>
      <c r="F152" s="51">
        <v>0.3014</v>
      </c>
      <c r="G152" s="4">
        <f t="shared" si="40"/>
        <v>5606.04</v>
      </c>
      <c r="H152" s="50">
        <v>307</v>
      </c>
      <c r="I152" s="51">
        <v>0.3014</v>
      </c>
      <c r="J152" s="50">
        <v>185</v>
      </c>
      <c r="K152" s="50">
        <v>376</v>
      </c>
      <c r="L152">
        <f t="shared" si="41"/>
        <v>191</v>
      </c>
      <c r="M152">
        <f t="shared" si="42"/>
        <v>122</v>
      </c>
      <c r="N152" s="52">
        <f t="shared" si="43"/>
        <v>0.61099476439790579</v>
      </c>
      <c r="O152" s="53">
        <f t="shared" si="44"/>
        <v>0.3014</v>
      </c>
      <c r="P152" s="54">
        <v>208.83303753155317</v>
      </c>
      <c r="Q152" s="55">
        <f t="shared" si="45"/>
        <v>0.19982424096985624</v>
      </c>
      <c r="R152" s="55">
        <f t="shared" si="46"/>
        <v>0.69245909569645581</v>
      </c>
      <c r="S152" s="54">
        <f t="shared" si="47"/>
        <v>52782.042757034818</v>
      </c>
      <c r="T152" s="56">
        <f t="shared" si="59"/>
        <v>36947.429929924372</v>
      </c>
      <c r="U152" s="66">
        <f t="shared" si="48"/>
        <v>5606.04</v>
      </c>
      <c r="V152" s="54">
        <f t="shared" si="49"/>
        <v>31341.389929924371</v>
      </c>
      <c r="X152" s="67">
        <f t="shared" si="50"/>
        <v>8424.9189976402122</v>
      </c>
      <c r="Y152" s="67">
        <f t="shared" si="51"/>
        <v>-42024.918997640212</v>
      </c>
      <c r="Z152" s="67">
        <f t="shared" si="52"/>
        <v>-18024.918997640212</v>
      </c>
      <c r="AA152" s="68">
        <f t="shared" si="53"/>
        <v>-18024.918997640212</v>
      </c>
      <c r="AB152" s="68">
        <f t="shared" si="54"/>
        <v>-24024.918997640212</v>
      </c>
      <c r="AC152" s="69">
        <f t="shared" si="55"/>
        <v>-10683.529067715841</v>
      </c>
      <c r="AD152" s="69">
        <f t="shared" si="56"/>
        <v>13316.470932284159</v>
      </c>
      <c r="AE152" s="69">
        <f t="shared" si="57"/>
        <v>13316.470932284159</v>
      </c>
      <c r="AF152" s="69">
        <f t="shared" si="58"/>
        <v>7316.4709322841591</v>
      </c>
    </row>
    <row r="153" spans="1:32">
      <c r="A153" s="50" t="s">
        <v>273</v>
      </c>
      <c r="B153" s="50" t="s">
        <v>274</v>
      </c>
      <c r="C153" s="50" t="s">
        <v>85</v>
      </c>
      <c r="D153" s="50">
        <v>1</v>
      </c>
      <c r="E153" s="50">
        <v>1165</v>
      </c>
      <c r="F153" s="51">
        <v>0.34250000000000003</v>
      </c>
      <c r="G153" s="4">
        <f t="shared" si="40"/>
        <v>4788.1500000000005</v>
      </c>
      <c r="H153" s="50">
        <v>180</v>
      </c>
      <c r="I153" s="51">
        <v>0.34250000000000003</v>
      </c>
      <c r="J153" s="50">
        <v>135</v>
      </c>
      <c r="K153" s="50">
        <v>220</v>
      </c>
      <c r="L153">
        <f t="shared" si="41"/>
        <v>85</v>
      </c>
      <c r="M153">
        <f t="shared" si="42"/>
        <v>45</v>
      </c>
      <c r="N153" s="52">
        <f t="shared" si="43"/>
        <v>0.52352941176470591</v>
      </c>
      <c r="O153" s="53">
        <f t="shared" si="44"/>
        <v>0.34250000000000003</v>
      </c>
      <c r="P153" s="54">
        <v>135</v>
      </c>
      <c r="Q153" s="55">
        <f t="shared" si="45"/>
        <v>0.1</v>
      </c>
      <c r="R153" s="55">
        <f t="shared" si="46"/>
        <v>0.77146000000000003</v>
      </c>
      <c r="S153" s="54">
        <f t="shared" si="47"/>
        <v>38013.691500000001</v>
      </c>
      <c r="T153" s="56">
        <f t="shared" si="59"/>
        <v>26609.584049999998</v>
      </c>
      <c r="U153" s="66">
        <f t="shared" si="48"/>
        <v>4788.1500000000005</v>
      </c>
      <c r="V153" s="54">
        <f t="shared" si="49"/>
        <v>21821.434049999996</v>
      </c>
      <c r="X153" s="67">
        <f t="shared" si="50"/>
        <v>9386.0966666666664</v>
      </c>
      <c r="Y153" s="67">
        <f t="shared" si="51"/>
        <v>-42986.096666666665</v>
      </c>
      <c r="Z153" s="67">
        <f t="shared" si="52"/>
        <v>-18986.096666666665</v>
      </c>
      <c r="AA153" s="68">
        <f t="shared" si="53"/>
        <v>-18986.096666666665</v>
      </c>
      <c r="AB153" s="68">
        <f t="shared" si="54"/>
        <v>-24986.096666666665</v>
      </c>
      <c r="AC153" s="69">
        <f t="shared" si="55"/>
        <v>-21164.662616666668</v>
      </c>
      <c r="AD153" s="69">
        <f t="shared" si="56"/>
        <v>2835.3373833333317</v>
      </c>
      <c r="AE153" s="69">
        <f t="shared" si="57"/>
        <v>2835.3373833333317</v>
      </c>
      <c r="AF153" s="69">
        <f t="shared" si="58"/>
        <v>-3164.6626166666683</v>
      </c>
    </row>
    <row r="154" spans="1:32">
      <c r="A154" s="50" t="s">
        <v>275</v>
      </c>
      <c r="B154" s="50" t="s">
        <v>274</v>
      </c>
      <c r="C154" s="50" t="s">
        <v>85</v>
      </c>
      <c r="D154" s="50">
        <v>2</v>
      </c>
      <c r="E154" s="50">
        <v>1625</v>
      </c>
      <c r="F154" s="51">
        <v>0.6</v>
      </c>
      <c r="G154" s="4">
        <f t="shared" si="40"/>
        <v>11700</v>
      </c>
      <c r="H154" s="50">
        <v>260</v>
      </c>
      <c r="I154" s="51">
        <v>0.6</v>
      </c>
      <c r="J154" s="50">
        <v>220</v>
      </c>
      <c r="K154" s="50">
        <v>312</v>
      </c>
      <c r="L154">
        <f t="shared" si="41"/>
        <v>92</v>
      </c>
      <c r="M154">
        <f t="shared" si="42"/>
        <v>40</v>
      </c>
      <c r="N154" s="52">
        <f t="shared" si="43"/>
        <v>0.44782608695652171</v>
      </c>
      <c r="O154" s="53">
        <f t="shared" si="44"/>
        <v>0.6</v>
      </c>
      <c r="P154" s="54">
        <v>220</v>
      </c>
      <c r="Q154" s="55">
        <f t="shared" si="45"/>
        <v>0.1</v>
      </c>
      <c r="R154" s="55">
        <f t="shared" si="46"/>
        <v>0.77146000000000003</v>
      </c>
      <c r="S154" s="54">
        <f t="shared" si="47"/>
        <v>61948.238000000005</v>
      </c>
      <c r="T154" s="56">
        <f t="shared" si="59"/>
        <v>43363.766600000003</v>
      </c>
      <c r="U154" s="66">
        <f t="shared" si="48"/>
        <v>11700</v>
      </c>
      <c r="V154" s="54">
        <f t="shared" si="49"/>
        <v>31663.766600000003</v>
      </c>
      <c r="X154" s="67">
        <f t="shared" si="50"/>
        <v>9386.0966666666664</v>
      </c>
      <c r="Y154" s="67">
        <f t="shared" si="51"/>
        <v>-42986.096666666665</v>
      </c>
      <c r="Z154" s="67">
        <f t="shared" si="52"/>
        <v>-18986.096666666665</v>
      </c>
      <c r="AA154" s="68">
        <f t="shared" si="53"/>
        <v>-18986.096666666665</v>
      </c>
      <c r="AB154" s="68">
        <f t="shared" si="54"/>
        <v>-24986.096666666665</v>
      </c>
      <c r="AC154" s="69">
        <f t="shared" si="55"/>
        <v>-11322.330066666662</v>
      </c>
      <c r="AD154" s="69">
        <f t="shared" si="56"/>
        <v>12677.669933333338</v>
      </c>
      <c r="AE154" s="69">
        <f t="shared" si="57"/>
        <v>12677.669933333338</v>
      </c>
      <c r="AF154" s="69">
        <f t="shared" si="58"/>
        <v>6677.6699333333381</v>
      </c>
    </row>
    <row r="155" spans="1:32">
      <c r="A155" s="50" t="s">
        <v>276</v>
      </c>
      <c r="B155" s="50" t="s">
        <v>274</v>
      </c>
      <c r="C155" s="50" t="s">
        <v>94</v>
      </c>
      <c r="D155" s="50">
        <v>1</v>
      </c>
      <c r="E155" s="50">
        <v>1400</v>
      </c>
      <c r="F155" s="51">
        <v>0.49859999999999999</v>
      </c>
      <c r="G155" s="4">
        <f t="shared" si="40"/>
        <v>8376.48</v>
      </c>
      <c r="H155" s="50">
        <v>232</v>
      </c>
      <c r="I155" s="51">
        <v>0.49859999999999999</v>
      </c>
      <c r="J155" s="50">
        <v>135</v>
      </c>
      <c r="K155" s="50">
        <v>287</v>
      </c>
      <c r="L155">
        <f t="shared" si="41"/>
        <v>152</v>
      </c>
      <c r="M155">
        <f t="shared" si="42"/>
        <v>97</v>
      </c>
      <c r="N155" s="52">
        <f t="shared" si="43"/>
        <v>0.61052631578947369</v>
      </c>
      <c r="O155" s="53">
        <f t="shared" si="44"/>
        <v>0.49859999999999999</v>
      </c>
      <c r="P155" s="54">
        <v>160.07917122929868</v>
      </c>
      <c r="Q155" s="55">
        <f t="shared" si="45"/>
        <v>0.23199563804894044</v>
      </c>
      <c r="R155" s="55">
        <f t="shared" si="46"/>
        <v>0.66699865204806863</v>
      </c>
      <c r="S155" s="54">
        <f t="shared" si="47"/>
        <v>38971.995872283675</v>
      </c>
      <c r="T155" s="56">
        <f t="shared" si="59"/>
        <v>27280.397110598569</v>
      </c>
      <c r="U155" s="66">
        <f t="shared" si="48"/>
        <v>8376.48</v>
      </c>
      <c r="V155" s="54">
        <f t="shared" si="49"/>
        <v>18903.91711059857</v>
      </c>
      <c r="X155" s="67">
        <f t="shared" si="50"/>
        <v>8115.1502665848357</v>
      </c>
      <c r="Y155" s="67">
        <f t="shared" si="51"/>
        <v>-41715.150266584838</v>
      </c>
      <c r="Z155" s="67">
        <f t="shared" si="52"/>
        <v>-17715.150266584835</v>
      </c>
      <c r="AA155" s="68">
        <f t="shared" si="53"/>
        <v>-17715.150266584835</v>
      </c>
      <c r="AB155" s="68">
        <f t="shared" si="54"/>
        <v>-23715.150266584835</v>
      </c>
      <c r="AC155" s="69">
        <f t="shared" si="55"/>
        <v>-22811.233155986269</v>
      </c>
      <c r="AD155" s="69">
        <f t="shared" si="56"/>
        <v>1188.766844013735</v>
      </c>
      <c r="AE155" s="69">
        <f t="shared" si="57"/>
        <v>1188.766844013735</v>
      </c>
      <c r="AF155" s="69">
        <f t="shared" si="58"/>
        <v>-4811.233155986265</v>
      </c>
    </row>
    <row r="156" spans="1:32">
      <c r="A156" s="50" t="s">
        <v>277</v>
      </c>
      <c r="B156" s="50" t="s">
        <v>274</v>
      </c>
      <c r="C156" s="50" t="s">
        <v>94</v>
      </c>
      <c r="D156" s="50">
        <v>2</v>
      </c>
      <c r="E156" s="50">
        <v>1995</v>
      </c>
      <c r="F156" s="51">
        <v>0.63839999999999997</v>
      </c>
      <c r="G156" s="4">
        <f t="shared" si="40"/>
        <v>15283.295999999998</v>
      </c>
      <c r="H156" s="50">
        <v>292</v>
      </c>
      <c r="I156" s="51">
        <v>0.63839999999999997</v>
      </c>
      <c r="J156" s="50">
        <v>224</v>
      </c>
      <c r="K156" s="50">
        <v>331</v>
      </c>
      <c r="L156">
        <f t="shared" si="41"/>
        <v>107</v>
      </c>
      <c r="M156">
        <f t="shared" si="42"/>
        <v>68</v>
      </c>
      <c r="N156" s="52">
        <f t="shared" si="43"/>
        <v>0.60841121495327111</v>
      </c>
      <c r="O156" s="53">
        <f t="shared" si="44"/>
        <v>0.63839999999999997</v>
      </c>
      <c r="P156" s="54">
        <v>224</v>
      </c>
      <c r="Q156" s="55">
        <f t="shared" si="45"/>
        <v>0.1</v>
      </c>
      <c r="R156" s="55">
        <f t="shared" si="46"/>
        <v>0.77146000000000003</v>
      </c>
      <c r="S156" s="54">
        <f t="shared" si="47"/>
        <v>63074.569600000003</v>
      </c>
      <c r="T156" s="56">
        <f t="shared" si="59"/>
        <v>44152.19872</v>
      </c>
      <c r="U156" s="66">
        <f t="shared" si="48"/>
        <v>15283.295999999998</v>
      </c>
      <c r="V156" s="54">
        <f t="shared" si="49"/>
        <v>28868.902720000002</v>
      </c>
      <c r="X156" s="67">
        <f t="shared" si="50"/>
        <v>9386.0966666666664</v>
      </c>
      <c r="Y156" s="67">
        <f t="shared" si="51"/>
        <v>-42986.096666666665</v>
      </c>
      <c r="Z156" s="67">
        <f t="shared" si="52"/>
        <v>-18986.096666666665</v>
      </c>
      <c r="AA156" s="68">
        <f t="shared" si="53"/>
        <v>-18986.096666666665</v>
      </c>
      <c r="AB156" s="68">
        <f t="shared" si="54"/>
        <v>-24986.096666666665</v>
      </c>
      <c r="AC156" s="69">
        <f t="shared" si="55"/>
        <v>-14117.193946666663</v>
      </c>
      <c r="AD156" s="69">
        <f t="shared" si="56"/>
        <v>9882.8060533333373</v>
      </c>
      <c r="AE156" s="69">
        <f t="shared" si="57"/>
        <v>9882.8060533333373</v>
      </c>
      <c r="AF156" s="69">
        <f t="shared" si="58"/>
        <v>3882.8060533333373</v>
      </c>
    </row>
    <row r="157" spans="1:32">
      <c r="A157" s="50" t="s">
        <v>278</v>
      </c>
      <c r="B157" s="50" t="s">
        <v>279</v>
      </c>
      <c r="C157" s="50" t="s">
        <v>85</v>
      </c>
      <c r="D157" s="50">
        <v>1</v>
      </c>
      <c r="E157" s="50">
        <v>760</v>
      </c>
      <c r="F157" s="51">
        <v>0.29039999999999999</v>
      </c>
      <c r="G157" s="4">
        <f t="shared" si="40"/>
        <v>2648.4479999999999</v>
      </c>
      <c r="H157" s="50">
        <v>169</v>
      </c>
      <c r="I157" s="51">
        <v>0.29039999999999999</v>
      </c>
      <c r="J157" s="50">
        <v>100</v>
      </c>
      <c r="K157" s="50">
        <v>195</v>
      </c>
      <c r="L157">
        <f t="shared" si="41"/>
        <v>95</v>
      </c>
      <c r="M157">
        <f t="shared" si="42"/>
        <v>69</v>
      </c>
      <c r="N157" s="52">
        <f t="shared" si="43"/>
        <v>0.68105263157894735</v>
      </c>
      <c r="O157" s="53">
        <f t="shared" si="44"/>
        <v>0.29039999999999999</v>
      </c>
      <c r="P157" s="54">
        <v>107.86198201831178</v>
      </c>
      <c r="Q157" s="55">
        <f t="shared" si="45"/>
        <v>0.16620616436473079</v>
      </c>
      <c r="R157" s="55">
        <f t="shared" si="46"/>
        <v>0.71906444152175208</v>
      </c>
      <c r="S157" s="54">
        <f t="shared" si="47"/>
        <v>28309.296289420716</v>
      </c>
      <c r="T157" s="56">
        <f t="shared" si="59"/>
        <v>19816.5074025945</v>
      </c>
      <c r="U157" s="66">
        <f t="shared" si="48"/>
        <v>2648.4479999999999</v>
      </c>
      <c r="V157" s="54">
        <f t="shared" si="49"/>
        <v>17168.059402594499</v>
      </c>
      <c r="X157" s="67">
        <f t="shared" si="50"/>
        <v>8748.617371847984</v>
      </c>
      <c r="Y157" s="67">
        <f t="shared" si="51"/>
        <v>-42348.617371847984</v>
      </c>
      <c r="Z157" s="67">
        <f t="shared" si="52"/>
        <v>-18348.617371847984</v>
      </c>
      <c r="AA157" s="68">
        <f t="shared" si="53"/>
        <v>-18348.617371847984</v>
      </c>
      <c r="AB157" s="68">
        <f t="shared" si="54"/>
        <v>-24348.617371847984</v>
      </c>
      <c r="AC157" s="69">
        <f t="shared" si="55"/>
        <v>-25180.557969253485</v>
      </c>
      <c r="AD157" s="69">
        <f t="shared" si="56"/>
        <v>-1180.5579692534848</v>
      </c>
      <c r="AE157" s="69">
        <f t="shared" si="57"/>
        <v>-1180.5579692534848</v>
      </c>
      <c r="AF157" s="69">
        <f t="shared" si="58"/>
        <v>-7180.5579692534848</v>
      </c>
    </row>
    <row r="158" spans="1:32">
      <c r="A158" s="50" t="s">
        <v>280</v>
      </c>
      <c r="B158" s="50" t="s">
        <v>279</v>
      </c>
      <c r="C158" s="50" t="s">
        <v>85</v>
      </c>
      <c r="D158" s="50">
        <v>2</v>
      </c>
      <c r="E158" s="50">
        <v>965</v>
      </c>
      <c r="F158" s="51">
        <v>0.53969999999999996</v>
      </c>
      <c r="G158" s="4">
        <f t="shared" si="40"/>
        <v>6249.7259999999997</v>
      </c>
      <c r="H158" s="50">
        <v>189</v>
      </c>
      <c r="I158" s="51">
        <v>0.53969999999999996</v>
      </c>
      <c r="J158" s="50">
        <v>135</v>
      </c>
      <c r="K158" s="50">
        <v>284</v>
      </c>
      <c r="L158">
        <f t="shared" si="41"/>
        <v>149</v>
      </c>
      <c r="M158">
        <f t="shared" si="42"/>
        <v>54</v>
      </c>
      <c r="N158" s="52">
        <f t="shared" si="43"/>
        <v>0.38993288590604025</v>
      </c>
      <c r="O158" s="53">
        <f t="shared" si="44"/>
        <v>0.53969999999999996</v>
      </c>
      <c r="P158" s="54">
        <v>158.25195074451008</v>
      </c>
      <c r="Q158" s="55">
        <f t="shared" si="45"/>
        <v>0.22484268856112799</v>
      </c>
      <c r="R158" s="55">
        <f t="shared" si="46"/>
        <v>0.67265949627272337</v>
      </c>
      <c r="S158" s="54">
        <f t="shared" si="47"/>
        <v>38854.132277271965</v>
      </c>
      <c r="T158" s="56">
        <f t="shared" si="59"/>
        <v>27197.892594090375</v>
      </c>
      <c r="U158" s="66">
        <f t="shared" si="48"/>
        <v>6249.7259999999997</v>
      </c>
      <c r="V158" s="54">
        <f t="shared" si="49"/>
        <v>20948.166594090377</v>
      </c>
      <c r="X158" s="67">
        <f t="shared" si="50"/>
        <v>8184.0238713181352</v>
      </c>
      <c r="Y158" s="67">
        <f t="shared" si="51"/>
        <v>-41784.023871318132</v>
      </c>
      <c r="Z158" s="67">
        <f t="shared" si="52"/>
        <v>-17784.023871318135</v>
      </c>
      <c r="AA158" s="68">
        <f t="shared" si="53"/>
        <v>-17784.023871318135</v>
      </c>
      <c r="AB158" s="68">
        <f t="shared" si="54"/>
        <v>-23784.023871318135</v>
      </c>
      <c r="AC158" s="69">
        <f t="shared" si="55"/>
        <v>-20835.857277227755</v>
      </c>
      <c r="AD158" s="69">
        <f t="shared" si="56"/>
        <v>3164.1427227722415</v>
      </c>
      <c r="AE158" s="69">
        <f t="shared" si="57"/>
        <v>3164.1427227722415</v>
      </c>
      <c r="AF158" s="69">
        <f t="shared" si="58"/>
        <v>-2835.8572772277585</v>
      </c>
    </row>
    <row r="159" spans="1:32">
      <c r="A159" s="50" t="s">
        <v>281</v>
      </c>
      <c r="B159" s="50" t="s">
        <v>279</v>
      </c>
      <c r="C159" s="50" t="s">
        <v>94</v>
      </c>
      <c r="D159" s="50">
        <v>1</v>
      </c>
      <c r="E159" s="50">
        <v>1185</v>
      </c>
      <c r="F159" s="51">
        <v>0.27950000000000003</v>
      </c>
      <c r="G159" s="4">
        <f t="shared" si="40"/>
        <v>3974.4900000000002</v>
      </c>
      <c r="H159" s="50">
        <v>289</v>
      </c>
      <c r="I159" s="51">
        <v>0.27950000000000003</v>
      </c>
      <c r="J159" s="50">
        <v>157</v>
      </c>
      <c r="K159" s="50">
        <v>320</v>
      </c>
      <c r="L159">
        <f t="shared" si="41"/>
        <v>163</v>
      </c>
      <c r="M159">
        <f t="shared" si="42"/>
        <v>132</v>
      </c>
      <c r="N159" s="52">
        <f t="shared" si="43"/>
        <v>0.74785276073619633</v>
      </c>
      <c r="O159" s="53">
        <f t="shared" si="44"/>
        <v>0.27950000000000003</v>
      </c>
      <c r="P159" s="54">
        <v>177.77897953158538</v>
      </c>
      <c r="Q159" s="55">
        <f t="shared" si="45"/>
        <v>0.20198272162741293</v>
      </c>
      <c r="R159" s="55">
        <f t="shared" si="46"/>
        <v>0.69075087410406544</v>
      </c>
      <c r="S159" s="54">
        <f t="shared" si="47"/>
        <v>44822.359710701545</v>
      </c>
      <c r="T159" s="56">
        <f t="shared" si="59"/>
        <v>31375.651797491078</v>
      </c>
      <c r="U159" s="66">
        <f t="shared" si="48"/>
        <v>3974.4900000000002</v>
      </c>
      <c r="V159" s="54">
        <f t="shared" si="49"/>
        <v>27401.161797491077</v>
      </c>
      <c r="X159" s="67">
        <f t="shared" si="50"/>
        <v>8404.1356349327962</v>
      </c>
      <c r="Y159" s="67">
        <f t="shared" si="51"/>
        <v>-42004.135634932798</v>
      </c>
      <c r="Z159" s="67">
        <f t="shared" si="52"/>
        <v>-18004.135634932798</v>
      </c>
      <c r="AA159" s="68">
        <f t="shared" si="53"/>
        <v>-18004.135634932798</v>
      </c>
      <c r="AB159" s="68">
        <f t="shared" si="54"/>
        <v>-24004.135634932798</v>
      </c>
      <c r="AC159" s="69">
        <f t="shared" si="55"/>
        <v>-14602.973837441721</v>
      </c>
      <c r="AD159" s="69">
        <f t="shared" si="56"/>
        <v>9397.0261625582789</v>
      </c>
      <c r="AE159" s="69">
        <f t="shared" si="57"/>
        <v>9397.0261625582789</v>
      </c>
      <c r="AF159" s="69">
        <f t="shared" si="58"/>
        <v>3397.0261625582789</v>
      </c>
    </row>
    <row r="160" spans="1:32">
      <c r="A160" s="50" t="s">
        <v>282</v>
      </c>
      <c r="B160" s="50" t="s">
        <v>242</v>
      </c>
      <c r="C160" s="50" t="s">
        <v>85</v>
      </c>
      <c r="D160" s="50">
        <v>1</v>
      </c>
      <c r="E160" s="50">
        <v>1700</v>
      </c>
      <c r="F160" s="51">
        <v>0.67669999999999997</v>
      </c>
      <c r="G160" s="4">
        <f t="shared" si="40"/>
        <v>13804.679999999998</v>
      </c>
      <c r="H160" s="50">
        <v>239</v>
      </c>
      <c r="I160" s="51">
        <v>0.67669999999999997</v>
      </c>
      <c r="J160" s="50">
        <v>98</v>
      </c>
      <c r="K160" s="50">
        <v>430</v>
      </c>
      <c r="L160">
        <f t="shared" si="41"/>
        <v>332</v>
      </c>
      <c r="M160">
        <f t="shared" si="42"/>
        <v>141</v>
      </c>
      <c r="N160" s="52">
        <f t="shared" si="43"/>
        <v>0.43975903614457834</v>
      </c>
      <c r="O160" s="53">
        <f t="shared" si="44"/>
        <v>0.67669999999999997</v>
      </c>
      <c r="P160" s="54">
        <v>251.21240031662634</v>
      </c>
      <c r="Q160" s="55">
        <f t="shared" si="45"/>
        <v>0.46918650678705143</v>
      </c>
      <c r="R160" s="55">
        <f t="shared" si="46"/>
        <v>0.47928579852872755</v>
      </c>
      <c r="S160" s="54">
        <f t="shared" si="47"/>
        <v>43946.925598416507</v>
      </c>
      <c r="T160" s="56">
        <f t="shared" si="59"/>
        <v>30762.847918891552</v>
      </c>
      <c r="U160" s="66">
        <f t="shared" si="48"/>
        <v>13804.679999999998</v>
      </c>
      <c r="V160" s="54">
        <f t="shared" si="49"/>
        <v>16958.167918891551</v>
      </c>
      <c r="X160" s="67">
        <f t="shared" si="50"/>
        <v>5831.3105487661851</v>
      </c>
      <c r="Y160" s="67">
        <f t="shared" si="51"/>
        <v>-39431.310548766181</v>
      </c>
      <c r="Z160" s="67">
        <f t="shared" si="52"/>
        <v>-15431.310548766185</v>
      </c>
      <c r="AA160" s="68">
        <f t="shared" si="53"/>
        <v>-15431.310548766185</v>
      </c>
      <c r="AB160" s="68">
        <f t="shared" si="54"/>
        <v>-21431.310548766185</v>
      </c>
      <c r="AC160" s="69">
        <f t="shared" si="55"/>
        <v>-22473.14262987463</v>
      </c>
      <c r="AD160" s="69">
        <f t="shared" si="56"/>
        <v>1526.8573701253663</v>
      </c>
      <c r="AE160" s="69">
        <f t="shared" si="57"/>
        <v>1526.8573701253663</v>
      </c>
      <c r="AF160" s="69">
        <f t="shared" si="58"/>
        <v>-4473.1426298746337</v>
      </c>
    </row>
    <row r="161" spans="1:32">
      <c r="A161" s="50" t="s">
        <v>283</v>
      </c>
      <c r="B161" s="50" t="s">
        <v>279</v>
      </c>
      <c r="C161" s="50" t="s">
        <v>94</v>
      </c>
      <c r="D161" s="50">
        <v>2</v>
      </c>
      <c r="E161" s="50">
        <v>1340</v>
      </c>
      <c r="F161" s="51">
        <v>0.38900000000000001</v>
      </c>
      <c r="G161" s="4">
        <f t="shared" si="40"/>
        <v>6255.12</v>
      </c>
      <c r="H161" s="50">
        <v>278</v>
      </c>
      <c r="I161" s="51">
        <v>0.38900000000000001</v>
      </c>
      <c r="J161" s="50">
        <v>135</v>
      </c>
      <c r="K161" s="50">
        <v>347</v>
      </c>
      <c r="L161">
        <f t="shared" si="41"/>
        <v>212</v>
      </c>
      <c r="M161">
        <f t="shared" si="42"/>
        <v>143</v>
      </c>
      <c r="N161" s="52">
        <f t="shared" si="43"/>
        <v>0.63962264150943393</v>
      </c>
      <c r="O161" s="53">
        <f t="shared" si="44"/>
        <v>0.38900000000000001</v>
      </c>
      <c r="P161" s="54">
        <v>196.62358092507463</v>
      </c>
      <c r="Q161" s="55">
        <f t="shared" si="45"/>
        <v>0.33254181481160239</v>
      </c>
      <c r="R161" s="55">
        <f t="shared" si="46"/>
        <v>0.58742640775809796</v>
      </c>
      <c r="S161" s="54">
        <f t="shared" si="47"/>
        <v>42158.187595522846</v>
      </c>
      <c r="T161" s="56">
        <f t="shared" si="59"/>
        <v>29510.731316865989</v>
      </c>
      <c r="U161" s="66">
        <f t="shared" si="48"/>
        <v>6255.12</v>
      </c>
      <c r="V161" s="54">
        <f t="shared" si="49"/>
        <v>23255.61131686599</v>
      </c>
      <c r="X161" s="67">
        <f t="shared" si="50"/>
        <v>7147.0212943901925</v>
      </c>
      <c r="Y161" s="67">
        <f t="shared" si="51"/>
        <v>-40747.021294390193</v>
      </c>
      <c r="Z161" s="67">
        <f t="shared" si="52"/>
        <v>-16747.021294390193</v>
      </c>
      <c r="AA161" s="68">
        <f t="shared" si="53"/>
        <v>-16747.021294390193</v>
      </c>
      <c r="AB161" s="68">
        <f t="shared" si="54"/>
        <v>-22747.021294390193</v>
      </c>
      <c r="AC161" s="69">
        <f t="shared" si="55"/>
        <v>-17491.409977524203</v>
      </c>
      <c r="AD161" s="69">
        <f t="shared" si="56"/>
        <v>6508.590022475797</v>
      </c>
      <c r="AE161" s="69">
        <f t="shared" si="57"/>
        <v>6508.590022475797</v>
      </c>
      <c r="AF161" s="69">
        <f t="shared" si="58"/>
        <v>508.59002247579701</v>
      </c>
    </row>
    <row r="162" spans="1:32">
      <c r="A162" s="50" t="s">
        <v>284</v>
      </c>
      <c r="B162" s="50" t="s">
        <v>285</v>
      </c>
      <c r="C162" s="50" t="s">
        <v>85</v>
      </c>
      <c r="D162" s="50">
        <v>1</v>
      </c>
      <c r="E162" s="50">
        <v>1150</v>
      </c>
      <c r="F162" s="51">
        <v>0.57530000000000003</v>
      </c>
      <c r="G162" s="4">
        <f t="shared" si="40"/>
        <v>7939.14</v>
      </c>
      <c r="H162" s="50">
        <v>183</v>
      </c>
      <c r="I162" s="51">
        <v>0.57530000000000003</v>
      </c>
      <c r="J162" s="50">
        <v>80</v>
      </c>
      <c r="K162" s="50">
        <v>267</v>
      </c>
      <c r="L162">
        <f t="shared" si="41"/>
        <v>187</v>
      </c>
      <c r="M162">
        <f t="shared" si="42"/>
        <v>103</v>
      </c>
      <c r="N162" s="52">
        <f t="shared" si="43"/>
        <v>0.54064171122994653</v>
      </c>
      <c r="O162" s="53">
        <f t="shared" si="44"/>
        <v>0.57530000000000003</v>
      </c>
      <c r="P162" s="54">
        <v>153.89674355183473</v>
      </c>
      <c r="Q162" s="55">
        <f t="shared" si="45"/>
        <v>0.41613580129127159</v>
      </c>
      <c r="R162" s="55">
        <f t="shared" si="46"/>
        <v>0.52127012685808771</v>
      </c>
      <c r="S162" s="54">
        <f t="shared" si="47"/>
        <v>29280.947887523689</v>
      </c>
      <c r="T162" s="56">
        <f t="shared" si="59"/>
        <v>20496.663521266582</v>
      </c>
      <c r="U162" s="66">
        <f t="shared" si="48"/>
        <v>7939.14</v>
      </c>
      <c r="V162" s="54">
        <f t="shared" si="49"/>
        <v>12557.523521266583</v>
      </c>
      <c r="X162" s="67">
        <f t="shared" si="50"/>
        <v>6342.1198767734004</v>
      </c>
      <c r="Y162" s="67">
        <f t="shared" si="51"/>
        <v>-39942.119876773402</v>
      </c>
      <c r="Z162" s="67">
        <f t="shared" si="52"/>
        <v>-15942.1198767734</v>
      </c>
      <c r="AA162" s="68">
        <f t="shared" si="53"/>
        <v>-15942.1198767734</v>
      </c>
      <c r="AB162" s="68">
        <f t="shared" si="54"/>
        <v>-21942.119876773402</v>
      </c>
      <c r="AC162" s="69">
        <f t="shared" si="55"/>
        <v>-27384.596355506819</v>
      </c>
      <c r="AD162" s="69">
        <f t="shared" si="56"/>
        <v>-3384.5963555068174</v>
      </c>
      <c r="AE162" s="69">
        <f t="shared" si="57"/>
        <v>-3384.5963555068174</v>
      </c>
      <c r="AF162" s="69">
        <f t="shared" si="58"/>
        <v>-9384.5963555068192</v>
      </c>
    </row>
    <row r="163" spans="1:32">
      <c r="A163" s="50" t="s">
        <v>286</v>
      </c>
      <c r="B163" s="50" t="s">
        <v>285</v>
      </c>
      <c r="C163" s="50" t="s">
        <v>85</v>
      </c>
      <c r="D163" s="50">
        <v>2</v>
      </c>
      <c r="E163" s="50">
        <v>2000</v>
      </c>
      <c r="F163" s="51">
        <v>0.31230000000000002</v>
      </c>
      <c r="G163" s="4">
        <f t="shared" si="40"/>
        <v>7495.2000000000007</v>
      </c>
      <c r="H163" s="50">
        <v>237</v>
      </c>
      <c r="I163" s="51">
        <v>0.31230000000000002</v>
      </c>
      <c r="J163" s="50">
        <v>160</v>
      </c>
      <c r="K163" s="50">
        <v>323</v>
      </c>
      <c r="L163">
        <f t="shared" si="41"/>
        <v>163</v>
      </c>
      <c r="M163">
        <f t="shared" si="42"/>
        <v>77</v>
      </c>
      <c r="N163" s="52">
        <f t="shared" si="43"/>
        <v>0.47791411042944787</v>
      </c>
      <c r="O163" s="53">
        <f t="shared" si="44"/>
        <v>0.31230000000000002</v>
      </c>
      <c r="P163" s="54">
        <v>179.27897968914942</v>
      </c>
      <c r="Q163" s="55">
        <f t="shared" si="45"/>
        <v>0.19462075921054933</v>
      </c>
      <c r="R163" s="55">
        <f t="shared" si="46"/>
        <v>0.69657713116077125</v>
      </c>
      <c r="S163" s="54">
        <f t="shared" si="47"/>
        <v>45581.797632493726</v>
      </c>
      <c r="T163" s="56">
        <f t="shared" si="59"/>
        <v>31907.258342745605</v>
      </c>
      <c r="U163" s="66">
        <f t="shared" si="48"/>
        <v>7495.2000000000007</v>
      </c>
      <c r="V163" s="54">
        <f t="shared" si="49"/>
        <v>24412.058342745604</v>
      </c>
      <c r="X163" s="67">
        <f t="shared" si="50"/>
        <v>8475.0217624560501</v>
      </c>
      <c r="Y163" s="67">
        <f t="shared" si="51"/>
        <v>-42075.021762456046</v>
      </c>
      <c r="Z163" s="67">
        <f t="shared" si="52"/>
        <v>-18075.02176245605</v>
      </c>
      <c r="AA163" s="68">
        <f t="shared" si="53"/>
        <v>-18075.02176245605</v>
      </c>
      <c r="AB163" s="68">
        <f t="shared" si="54"/>
        <v>-24075.02176245605</v>
      </c>
      <c r="AC163" s="69">
        <f t="shared" si="55"/>
        <v>-17662.963419710442</v>
      </c>
      <c r="AD163" s="69">
        <f t="shared" si="56"/>
        <v>6337.036580289554</v>
      </c>
      <c r="AE163" s="69">
        <f t="shared" si="57"/>
        <v>6337.036580289554</v>
      </c>
      <c r="AF163" s="69">
        <f t="shared" si="58"/>
        <v>337.03658028955397</v>
      </c>
    </row>
    <row r="164" spans="1:32">
      <c r="A164" s="50" t="s">
        <v>287</v>
      </c>
      <c r="B164" s="50" t="s">
        <v>285</v>
      </c>
      <c r="C164" s="50" t="s">
        <v>94</v>
      </c>
      <c r="D164" s="50">
        <v>1</v>
      </c>
      <c r="E164" s="50">
        <v>1600</v>
      </c>
      <c r="F164" s="51">
        <v>0.4521</v>
      </c>
      <c r="G164" s="4">
        <f t="shared" si="40"/>
        <v>8680.32</v>
      </c>
      <c r="H164" s="50">
        <v>297</v>
      </c>
      <c r="I164" s="51">
        <v>0.4521</v>
      </c>
      <c r="J164" s="50">
        <v>225</v>
      </c>
      <c r="K164" s="50">
        <v>406</v>
      </c>
      <c r="L164">
        <f t="shared" si="41"/>
        <v>181</v>
      </c>
      <c r="M164">
        <f t="shared" si="42"/>
        <v>72</v>
      </c>
      <c r="N164" s="52">
        <f t="shared" si="43"/>
        <v>0.41823204419889504</v>
      </c>
      <c r="O164" s="53">
        <f t="shared" si="44"/>
        <v>0.4521</v>
      </c>
      <c r="P164" s="54">
        <v>225</v>
      </c>
      <c r="Q164" s="55">
        <f t="shared" si="45"/>
        <v>0.1</v>
      </c>
      <c r="R164" s="55">
        <f t="shared" si="46"/>
        <v>0.77146000000000003</v>
      </c>
      <c r="S164" s="54">
        <f t="shared" si="47"/>
        <v>63356.152500000004</v>
      </c>
      <c r="T164" s="56">
        <f t="shared" si="59"/>
        <v>44349.306750000003</v>
      </c>
      <c r="U164" s="66">
        <f t="shared" si="48"/>
        <v>8680.32</v>
      </c>
      <c r="V164" s="54">
        <f t="shared" si="49"/>
        <v>35668.986750000004</v>
      </c>
      <c r="X164" s="67">
        <f t="shared" si="50"/>
        <v>9386.0966666666664</v>
      </c>
      <c r="Y164" s="67">
        <f t="shared" si="51"/>
        <v>-42986.096666666665</v>
      </c>
      <c r="Z164" s="67">
        <f t="shared" si="52"/>
        <v>-18986.096666666665</v>
      </c>
      <c r="AA164" s="68">
        <f t="shared" si="53"/>
        <v>-18986.096666666665</v>
      </c>
      <c r="AB164" s="68">
        <f t="shared" si="54"/>
        <v>-24986.096666666665</v>
      </c>
      <c r="AC164" s="69">
        <f t="shared" si="55"/>
        <v>-7317.1099166666609</v>
      </c>
      <c r="AD164" s="69">
        <f t="shared" si="56"/>
        <v>16682.890083333339</v>
      </c>
      <c r="AE164" s="69">
        <f t="shared" si="57"/>
        <v>16682.890083333339</v>
      </c>
      <c r="AF164" s="69">
        <f t="shared" si="58"/>
        <v>10682.890083333339</v>
      </c>
    </row>
    <row r="165" spans="1:32">
      <c r="A165" s="50" t="s">
        <v>288</v>
      </c>
      <c r="B165" s="50" t="s">
        <v>285</v>
      </c>
      <c r="C165" s="50" t="s">
        <v>94</v>
      </c>
      <c r="D165" s="50">
        <v>2</v>
      </c>
      <c r="E165" s="50">
        <v>2150</v>
      </c>
      <c r="F165" s="51">
        <v>0.53149999999999997</v>
      </c>
      <c r="G165" s="4">
        <f t="shared" si="40"/>
        <v>13712.699999999999</v>
      </c>
      <c r="H165" s="50">
        <v>360</v>
      </c>
      <c r="I165" s="51">
        <v>0.53149999999999997</v>
      </c>
      <c r="J165" s="50">
        <v>170</v>
      </c>
      <c r="K165" s="50">
        <v>447</v>
      </c>
      <c r="L165">
        <f t="shared" si="41"/>
        <v>277</v>
      </c>
      <c r="M165">
        <f t="shared" si="42"/>
        <v>190</v>
      </c>
      <c r="N165" s="52">
        <f t="shared" si="43"/>
        <v>0.64873646209386282</v>
      </c>
      <c r="O165" s="53">
        <f t="shared" si="44"/>
        <v>0.53149999999999997</v>
      </c>
      <c r="P165" s="54">
        <v>253.71335809549851</v>
      </c>
      <c r="Q165" s="55">
        <f t="shared" si="45"/>
        <v>0.34177143132273941</v>
      </c>
      <c r="R165" s="55">
        <f t="shared" si="46"/>
        <v>0.58012208925118403</v>
      </c>
      <c r="S165" s="54">
        <f t="shared" si="47"/>
        <v>53722.424029792455</v>
      </c>
      <c r="T165" s="56">
        <f t="shared" si="59"/>
        <v>37605.696820854719</v>
      </c>
      <c r="U165" s="66">
        <f t="shared" si="48"/>
        <v>13712.699999999999</v>
      </c>
      <c r="V165" s="54">
        <f t="shared" si="49"/>
        <v>23892.996820854722</v>
      </c>
      <c r="X165" s="67">
        <f t="shared" si="50"/>
        <v>7058.1520858894055</v>
      </c>
      <c r="Y165" s="67">
        <f t="shared" si="51"/>
        <v>-40658.152085889407</v>
      </c>
      <c r="Z165" s="67">
        <f t="shared" si="52"/>
        <v>-16658.152085889407</v>
      </c>
      <c r="AA165" s="68">
        <f t="shared" si="53"/>
        <v>-16658.152085889407</v>
      </c>
      <c r="AB165" s="68">
        <f t="shared" si="54"/>
        <v>-22658.152085889407</v>
      </c>
      <c r="AC165" s="69">
        <f t="shared" si="55"/>
        <v>-16765.155265034686</v>
      </c>
      <c r="AD165" s="69">
        <f t="shared" si="56"/>
        <v>7234.8447349653143</v>
      </c>
      <c r="AE165" s="69">
        <f t="shared" si="57"/>
        <v>7234.8447349653143</v>
      </c>
      <c r="AF165" s="69">
        <f t="shared" si="58"/>
        <v>1234.8447349653143</v>
      </c>
    </row>
    <row r="166" spans="1:32">
      <c r="A166" s="50" t="s">
        <v>289</v>
      </c>
      <c r="B166" s="50" t="s">
        <v>290</v>
      </c>
      <c r="C166" s="50" t="s">
        <v>85</v>
      </c>
      <c r="D166" s="50">
        <v>1</v>
      </c>
      <c r="E166" s="50">
        <v>1600</v>
      </c>
      <c r="F166" s="51">
        <v>0.53969999999999996</v>
      </c>
      <c r="G166" s="4">
        <f t="shared" si="40"/>
        <v>10362.24</v>
      </c>
      <c r="H166" s="50">
        <v>209</v>
      </c>
      <c r="I166" s="51">
        <v>0.53969999999999996</v>
      </c>
      <c r="J166" s="50">
        <v>94</v>
      </c>
      <c r="K166" s="50">
        <v>411</v>
      </c>
      <c r="L166">
        <f t="shared" si="41"/>
        <v>317</v>
      </c>
      <c r="M166">
        <f t="shared" si="42"/>
        <v>115</v>
      </c>
      <c r="N166" s="52">
        <f t="shared" si="43"/>
        <v>0.39022082018927451</v>
      </c>
      <c r="O166" s="53">
        <f t="shared" si="44"/>
        <v>0.53969999999999996</v>
      </c>
      <c r="P166" s="54">
        <v>240.07629789268233</v>
      </c>
      <c r="Q166" s="55">
        <f t="shared" si="45"/>
        <v>0.46864680856197438</v>
      </c>
      <c r="R166" s="55">
        <f t="shared" si="46"/>
        <v>0.4797129157040535</v>
      </c>
      <c r="S166" s="54">
        <f t="shared" si="47"/>
        <v>42036.21081153975</v>
      </c>
      <c r="T166" s="56">
        <f t="shared" si="59"/>
        <v>29425.347568077821</v>
      </c>
      <c r="U166" s="66">
        <f t="shared" si="48"/>
        <v>10362.24</v>
      </c>
      <c r="V166" s="54">
        <f t="shared" si="49"/>
        <v>19063.107568077823</v>
      </c>
      <c r="X166" s="67">
        <f t="shared" si="50"/>
        <v>5836.5071410659848</v>
      </c>
      <c r="Y166" s="67">
        <f t="shared" si="51"/>
        <v>-39436.507141065988</v>
      </c>
      <c r="Z166" s="67">
        <f t="shared" si="52"/>
        <v>-15436.507141065984</v>
      </c>
      <c r="AA166" s="68">
        <f t="shared" si="53"/>
        <v>-15436.507141065984</v>
      </c>
      <c r="AB166" s="68">
        <f t="shared" si="54"/>
        <v>-21436.507141065984</v>
      </c>
      <c r="AC166" s="69">
        <f t="shared" si="55"/>
        <v>-20373.399572988164</v>
      </c>
      <c r="AD166" s="69">
        <f t="shared" si="56"/>
        <v>3626.6004270118392</v>
      </c>
      <c r="AE166" s="69">
        <f t="shared" si="57"/>
        <v>3626.6004270118392</v>
      </c>
      <c r="AF166" s="69">
        <f t="shared" si="58"/>
        <v>-2373.3995729881608</v>
      </c>
    </row>
    <row r="167" spans="1:32">
      <c r="A167" s="50" t="s">
        <v>291</v>
      </c>
      <c r="B167" s="50" t="s">
        <v>290</v>
      </c>
      <c r="C167" s="50" t="s">
        <v>85</v>
      </c>
      <c r="D167" s="50">
        <v>2</v>
      </c>
      <c r="E167" s="50">
        <v>2100</v>
      </c>
      <c r="F167" s="51">
        <v>0.4027</v>
      </c>
      <c r="G167" s="4">
        <f t="shared" si="40"/>
        <v>10148.040000000001</v>
      </c>
      <c r="H167" s="50">
        <v>265</v>
      </c>
      <c r="I167" s="51">
        <v>0.4027</v>
      </c>
      <c r="J167" s="50">
        <v>130</v>
      </c>
      <c r="K167" s="50">
        <v>438</v>
      </c>
      <c r="L167">
        <f t="shared" si="41"/>
        <v>308</v>
      </c>
      <c r="M167">
        <f t="shared" si="42"/>
        <v>135</v>
      </c>
      <c r="N167" s="52">
        <f t="shared" si="43"/>
        <v>0.45064935064935063</v>
      </c>
      <c r="O167" s="53">
        <f t="shared" si="44"/>
        <v>0.4027</v>
      </c>
      <c r="P167" s="54">
        <v>252.59463643831597</v>
      </c>
      <c r="Q167" s="55">
        <f t="shared" si="45"/>
        <v>0.41842762711250903</v>
      </c>
      <c r="R167" s="55">
        <f t="shared" si="46"/>
        <v>0.51945637590316041</v>
      </c>
      <c r="S167" s="54">
        <f t="shared" si="47"/>
        <v>47892.341462140765</v>
      </c>
      <c r="T167" s="56">
        <f t="shared" si="59"/>
        <v>33524.63902349853</v>
      </c>
      <c r="U167" s="66">
        <f t="shared" si="48"/>
        <v>10148.040000000001</v>
      </c>
      <c r="V167" s="54">
        <f t="shared" si="49"/>
        <v>23376.599023498529</v>
      </c>
      <c r="X167" s="67">
        <f t="shared" si="50"/>
        <v>6320.0525734884523</v>
      </c>
      <c r="Y167" s="67">
        <f t="shared" si="51"/>
        <v>-39920.05257348845</v>
      </c>
      <c r="Z167" s="67">
        <f t="shared" si="52"/>
        <v>-15920.052573488452</v>
      </c>
      <c r="AA167" s="68">
        <f t="shared" si="53"/>
        <v>-15920.052573488452</v>
      </c>
      <c r="AB167" s="68">
        <f t="shared" si="54"/>
        <v>-21920.05257348845</v>
      </c>
      <c r="AC167" s="69">
        <f t="shared" si="55"/>
        <v>-16543.453549989921</v>
      </c>
      <c r="AD167" s="69">
        <f t="shared" si="56"/>
        <v>7456.546450010077</v>
      </c>
      <c r="AE167" s="69">
        <f t="shared" si="57"/>
        <v>7456.546450010077</v>
      </c>
      <c r="AF167" s="69">
        <f t="shared" si="58"/>
        <v>1456.5464500100788</v>
      </c>
    </row>
    <row r="168" spans="1:32">
      <c r="A168" s="50" t="s">
        <v>292</v>
      </c>
      <c r="B168" s="50" t="s">
        <v>290</v>
      </c>
      <c r="C168" s="50" t="s">
        <v>94</v>
      </c>
      <c r="D168" s="50">
        <v>1</v>
      </c>
      <c r="E168" s="50">
        <v>1200</v>
      </c>
      <c r="F168" s="51">
        <v>0.4</v>
      </c>
      <c r="G168" s="4">
        <f t="shared" si="40"/>
        <v>5760</v>
      </c>
      <c r="H168" s="50">
        <v>435</v>
      </c>
      <c r="I168" s="51">
        <v>0.4</v>
      </c>
      <c r="J168" s="50">
        <v>162</v>
      </c>
      <c r="K168" s="50">
        <v>504</v>
      </c>
      <c r="L168">
        <f t="shared" si="41"/>
        <v>342</v>
      </c>
      <c r="M168">
        <f t="shared" si="42"/>
        <v>273</v>
      </c>
      <c r="N168" s="52">
        <f t="shared" si="43"/>
        <v>0.73859649122807014</v>
      </c>
      <c r="O168" s="53">
        <f t="shared" si="44"/>
        <v>0.4</v>
      </c>
      <c r="P168" s="54">
        <v>289.30313526592238</v>
      </c>
      <c r="Q168" s="55">
        <f t="shared" si="45"/>
        <v>0.39778511173315179</v>
      </c>
      <c r="R168" s="55">
        <f t="shared" si="46"/>
        <v>0.53579286257438374</v>
      </c>
      <c r="S168" s="54">
        <f t="shared" si="47"/>
        <v>56577.392573493533</v>
      </c>
      <c r="T168" s="56">
        <f t="shared" si="59"/>
        <v>39604.174801445472</v>
      </c>
      <c r="U168" s="66">
        <f t="shared" si="48"/>
        <v>5760</v>
      </c>
      <c r="V168" s="54">
        <f t="shared" si="49"/>
        <v>33844.174801445472</v>
      </c>
      <c r="X168" s="67">
        <f t="shared" si="50"/>
        <v>6518.8131613216701</v>
      </c>
      <c r="Y168" s="67">
        <f t="shared" si="51"/>
        <v>-40118.813161321668</v>
      </c>
      <c r="Z168" s="67">
        <f t="shared" si="52"/>
        <v>-16118.81316132167</v>
      </c>
      <c r="AA168" s="68">
        <f t="shared" si="53"/>
        <v>-16118.81316132167</v>
      </c>
      <c r="AB168" s="68">
        <f t="shared" si="54"/>
        <v>-22118.813161321668</v>
      </c>
      <c r="AC168" s="69">
        <f t="shared" si="55"/>
        <v>-6274.6383598761968</v>
      </c>
      <c r="AD168" s="69">
        <f t="shared" si="56"/>
        <v>17725.361640123803</v>
      </c>
      <c r="AE168" s="69">
        <f t="shared" si="57"/>
        <v>17725.361640123803</v>
      </c>
      <c r="AF168" s="69">
        <f t="shared" si="58"/>
        <v>11725.361640123803</v>
      </c>
    </row>
    <row r="169" spans="1:32">
      <c r="A169" s="50" t="s">
        <v>293</v>
      </c>
      <c r="B169" s="50" t="s">
        <v>290</v>
      </c>
      <c r="C169" s="50" t="s">
        <v>94</v>
      </c>
      <c r="D169" s="50">
        <v>2</v>
      </c>
      <c r="E169" s="50">
        <v>2100</v>
      </c>
      <c r="F169" s="51">
        <v>0.43009999999999998</v>
      </c>
      <c r="G169" s="4">
        <f t="shared" si="40"/>
        <v>10838.52</v>
      </c>
      <c r="H169" s="50">
        <v>487</v>
      </c>
      <c r="I169" s="51">
        <v>0.43009999999999998</v>
      </c>
      <c r="J169" s="50">
        <v>175</v>
      </c>
      <c r="K169" s="50">
        <v>755</v>
      </c>
      <c r="L169">
        <f t="shared" si="41"/>
        <v>580</v>
      </c>
      <c r="M169">
        <f t="shared" si="42"/>
        <v>312</v>
      </c>
      <c r="N169" s="52">
        <f t="shared" si="43"/>
        <v>0.53034482758620693</v>
      </c>
      <c r="O169" s="53">
        <f t="shared" si="44"/>
        <v>0.43009999999999998</v>
      </c>
      <c r="P169" s="54">
        <v>440.76262634762685</v>
      </c>
      <c r="Q169" s="55">
        <f t="shared" si="45"/>
        <v>0.46656913978983017</v>
      </c>
      <c r="R169" s="55">
        <f t="shared" si="46"/>
        <v>0.48135718277032841</v>
      </c>
      <c r="S169" s="54">
        <f t="shared" si="47"/>
        <v>77439.953472537774</v>
      </c>
      <c r="T169" s="56">
        <f t="shared" si="59"/>
        <v>54207.967430776436</v>
      </c>
      <c r="U169" s="66">
        <f t="shared" si="48"/>
        <v>10838.52</v>
      </c>
      <c r="V169" s="54">
        <f t="shared" si="49"/>
        <v>43369.447430776432</v>
      </c>
      <c r="X169" s="67">
        <f t="shared" si="50"/>
        <v>5856.5123903723288</v>
      </c>
      <c r="Y169" s="67">
        <f t="shared" si="51"/>
        <v>-39456.512390372329</v>
      </c>
      <c r="Z169" s="67">
        <f t="shared" si="52"/>
        <v>-15456.512390372329</v>
      </c>
      <c r="AA169" s="68">
        <f t="shared" si="53"/>
        <v>-15456.512390372329</v>
      </c>
      <c r="AB169" s="68">
        <f t="shared" si="54"/>
        <v>-21456.512390372329</v>
      </c>
      <c r="AC169" s="69">
        <f t="shared" si="55"/>
        <v>3912.9350404041033</v>
      </c>
      <c r="AD169" s="69">
        <f t="shared" si="56"/>
        <v>27912.935040404103</v>
      </c>
      <c r="AE169" s="69">
        <f t="shared" si="57"/>
        <v>27912.935040404103</v>
      </c>
      <c r="AF169" s="69">
        <f t="shared" si="58"/>
        <v>21912.935040404103</v>
      </c>
    </row>
    <row r="170" spans="1:32">
      <c r="A170" s="50" t="s">
        <v>294</v>
      </c>
      <c r="B170" s="50" t="s">
        <v>295</v>
      </c>
      <c r="C170" s="50" t="s">
        <v>85</v>
      </c>
      <c r="D170" s="50">
        <v>2</v>
      </c>
      <c r="E170" s="50">
        <v>2500</v>
      </c>
      <c r="F170" s="51">
        <v>0.4027</v>
      </c>
      <c r="G170" s="4">
        <f t="shared" si="40"/>
        <v>12081</v>
      </c>
      <c r="H170" s="50">
        <v>231</v>
      </c>
      <c r="I170" s="51">
        <v>0.4027</v>
      </c>
      <c r="J170" s="50">
        <v>129</v>
      </c>
      <c r="K170" s="50">
        <v>431</v>
      </c>
      <c r="L170">
        <f t="shared" si="41"/>
        <v>302</v>
      </c>
      <c r="M170">
        <f t="shared" si="42"/>
        <v>102</v>
      </c>
      <c r="N170" s="52">
        <f t="shared" si="43"/>
        <v>0.37019867549668872</v>
      </c>
      <c r="O170" s="53">
        <f t="shared" si="44"/>
        <v>0.4027</v>
      </c>
      <c r="P170" s="54">
        <v>248.44019523616404</v>
      </c>
      <c r="Q170" s="55">
        <f t="shared" si="45"/>
        <v>0.41639786817526903</v>
      </c>
      <c r="R170" s="55">
        <f t="shared" si="46"/>
        <v>0.52106272712609214</v>
      </c>
      <c r="S170" s="54">
        <f t="shared" si="47"/>
        <v>47250.31786498546</v>
      </c>
      <c r="T170" s="56">
        <f t="shared" si="59"/>
        <v>33075.222505489823</v>
      </c>
      <c r="U170" s="66">
        <f t="shared" si="48"/>
        <v>12081</v>
      </c>
      <c r="V170" s="54">
        <f t="shared" si="49"/>
        <v>20994.222505489823</v>
      </c>
      <c r="X170" s="67">
        <f t="shared" si="50"/>
        <v>6339.5965133674545</v>
      </c>
      <c r="Y170" s="67">
        <f t="shared" si="51"/>
        <v>-39939.596513367454</v>
      </c>
      <c r="Z170" s="67">
        <f t="shared" si="52"/>
        <v>-15939.596513367454</v>
      </c>
      <c r="AA170" s="68">
        <f t="shared" si="53"/>
        <v>-15939.596513367454</v>
      </c>
      <c r="AB170" s="68">
        <f t="shared" si="54"/>
        <v>-21939.596513367454</v>
      </c>
      <c r="AC170" s="69">
        <f t="shared" si="55"/>
        <v>-18945.374007877632</v>
      </c>
      <c r="AD170" s="69">
        <f t="shared" si="56"/>
        <v>5054.6259921223682</v>
      </c>
      <c r="AE170" s="69">
        <f t="shared" si="57"/>
        <v>5054.6259921223682</v>
      </c>
      <c r="AF170" s="69">
        <f t="shared" si="58"/>
        <v>-945.37400787763181</v>
      </c>
    </row>
    <row r="171" spans="1:32">
      <c r="A171" s="50" t="s">
        <v>296</v>
      </c>
      <c r="B171" s="50" t="s">
        <v>84</v>
      </c>
      <c r="C171" s="50" t="s">
        <v>94</v>
      </c>
      <c r="D171" s="50">
        <v>2</v>
      </c>
      <c r="E171" s="50">
        <v>2000</v>
      </c>
      <c r="F171" s="51">
        <v>0.31230000000000002</v>
      </c>
      <c r="G171" s="4">
        <f t="shared" si="40"/>
        <v>7495.2000000000007</v>
      </c>
      <c r="H171" s="50">
        <v>199</v>
      </c>
      <c r="I171" s="51">
        <v>0.31230000000000002</v>
      </c>
      <c r="J171" s="50">
        <v>97</v>
      </c>
      <c r="K171" s="50">
        <v>240</v>
      </c>
      <c r="L171">
        <f t="shared" si="41"/>
        <v>143</v>
      </c>
      <c r="M171">
        <f t="shared" si="42"/>
        <v>102</v>
      </c>
      <c r="N171" s="52">
        <f t="shared" si="43"/>
        <v>0.67062937062937067</v>
      </c>
      <c r="O171" s="53">
        <f t="shared" si="44"/>
        <v>0.31230000000000002</v>
      </c>
      <c r="P171" s="54">
        <v>135.59750966907356</v>
      </c>
      <c r="Q171" s="55">
        <f t="shared" si="45"/>
        <v>0.31593012402278914</v>
      </c>
      <c r="R171" s="55">
        <f t="shared" si="46"/>
        <v>0.60057289984836471</v>
      </c>
      <c r="S171" s="54">
        <f t="shared" si="47"/>
        <v>29724.209201872847</v>
      </c>
      <c r="T171" s="56">
        <f t="shared" si="59"/>
        <v>20806.946441310993</v>
      </c>
      <c r="U171" s="66">
        <f t="shared" si="48"/>
        <v>7495.2000000000007</v>
      </c>
      <c r="V171" s="54">
        <f t="shared" si="49"/>
        <v>13311.746441310992</v>
      </c>
      <c r="X171" s="67">
        <f t="shared" si="50"/>
        <v>7306.9702814884376</v>
      </c>
      <c r="Y171" s="67">
        <f t="shared" si="51"/>
        <v>-40906.970281488437</v>
      </c>
      <c r="Z171" s="67">
        <f t="shared" si="52"/>
        <v>-16906.970281488437</v>
      </c>
      <c r="AA171" s="68">
        <f t="shared" si="53"/>
        <v>-16906.970281488437</v>
      </c>
      <c r="AB171" s="68">
        <f t="shared" si="54"/>
        <v>-22906.970281488437</v>
      </c>
      <c r="AC171" s="69">
        <f t="shared" si="55"/>
        <v>-27595.223840177445</v>
      </c>
      <c r="AD171" s="69">
        <f t="shared" si="56"/>
        <v>-3595.2238401774448</v>
      </c>
      <c r="AE171" s="69">
        <f t="shared" si="57"/>
        <v>-3595.2238401774448</v>
      </c>
      <c r="AF171" s="69">
        <f t="shared" si="58"/>
        <v>-9595.2238401774448</v>
      </c>
    </row>
    <row r="172" spans="1:32">
      <c r="A172" s="50" t="s">
        <v>297</v>
      </c>
      <c r="B172" s="50" t="s">
        <v>295</v>
      </c>
      <c r="C172" s="50" t="s">
        <v>94</v>
      </c>
      <c r="D172" s="50">
        <v>1</v>
      </c>
      <c r="E172" s="50">
        <v>2500</v>
      </c>
      <c r="F172" s="51">
        <v>0.2301</v>
      </c>
      <c r="G172" s="4">
        <f t="shared" si="40"/>
        <v>6903</v>
      </c>
      <c r="H172" s="50">
        <v>490</v>
      </c>
      <c r="I172" s="51">
        <v>0.2301</v>
      </c>
      <c r="J172" s="50">
        <v>186</v>
      </c>
      <c r="K172" s="50">
        <v>578</v>
      </c>
      <c r="L172">
        <f t="shared" si="41"/>
        <v>392</v>
      </c>
      <c r="M172">
        <f t="shared" si="42"/>
        <v>304</v>
      </c>
      <c r="N172" s="52">
        <f t="shared" si="43"/>
        <v>0.7204081632653061</v>
      </c>
      <c r="O172" s="53">
        <f t="shared" si="44"/>
        <v>0.2301</v>
      </c>
      <c r="P172" s="54">
        <v>331.75681050888522</v>
      </c>
      <c r="Q172" s="55">
        <f t="shared" si="45"/>
        <v>0.39746287858956175</v>
      </c>
      <c r="R172" s="55">
        <f t="shared" si="46"/>
        <v>0.53604787788422081</v>
      </c>
      <c r="S172" s="54">
        <f t="shared" si="47"/>
        <v>64910.700000127807</v>
      </c>
      <c r="T172" s="56">
        <f t="shared" si="59"/>
        <v>45437.490000089463</v>
      </c>
      <c r="U172" s="66">
        <f t="shared" si="48"/>
        <v>6903</v>
      </c>
      <c r="V172" s="54">
        <f t="shared" si="49"/>
        <v>38534.490000089463</v>
      </c>
      <c r="X172" s="67">
        <f t="shared" si="50"/>
        <v>6521.9158475913528</v>
      </c>
      <c r="Y172" s="67">
        <f t="shared" si="51"/>
        <v>-40121.91584759135</v>
      </c>
      <c r="Z172" s="67">
        <f t="shared" si="52"/>
        <v>-16121.915847591354</v>
      </c>
      <c r="AA172" s="68">
        <f t="shared" si="53"/>
        <v>-16121.915847591354</v>
      </c>
      <c r="AB172" s="68">
        <f t="shared" si="54"/>
        <v>-22121.915847591354</v>
      </c>
      <c r="AC172" s="69">
        <f t="shared" si="55"/>
        <v>-1587.4258475018869</v>
      </c>
      <c r="AD172" s="69">
        <f t="shared" si="56"/>
        <v>22412.574152498109</v>
      </c>
      <c r="AE172" s="69">
        <f t="shared" si="57"/>
        <v>22412.574152498109</v>
      </c>
      <c r="AF172" s="69">
        <f t="shared" si="58"/>
        <v>16412.574152498109</v>
      </c>
    </row>
    <row r="173" spans="1:32">
      <c r="A173" s="50" t="s">
        <v>298</v>
      </c>
      <c r="B173" s="50" t="s">
        <v>295</v>
      </c>
      <c r="C173" s="50" t="s">
        <v>94</v>
      </c>
      <c r="D173" s="50">
        <v>2</v>
      </c>
      <c r="E173" s="50">
        <v>2750</v>
      </c>
      <c r="F173" s="51">
        <v>0.6</v>
      </c>
      <c r="G173" s="4">
        <f t="shared" si="40"/>
        <v>19800</v>
      </c>
      <c r="H173" s="50">
        <v>538</v>
      </c>
      <c r="I173" s="51">
        <v>0.6</v>
      </c>
      <c r="J173" s="50">
        <v>188</v>
      </c>
      <c r="K173" s="50">
        <v>810</v>
      </c>
      <c r="L173">
        <f t="shared" si="41"/>
        <v>622</v>
      </c>
      <c r="M173">
        <f t="shared" si="42"/>
        <v>350</v>
      </c>
      <c r="N173" s="52">
        <f t="shared" si="43"/>
        <v>0.5501607717041801</v>
      </c>
      <c r="O173" s="53">
        <f t="shared" si="44"/>
        <v>0.6</v>
      </c>
      <c r="P173" s="54">
        <v>472.84371384620954</v>
      </c>
      <c r="Q173" s="55">
        <f t="shared" si="45"/>
        <v>0.46635847440026956</v>
      </c>
      <c r="R173" s="55">
        <f t="shared" si="46"/>
        <v>0.48152390335962669</v>
      </c>
      <c r="S173" s="54">
        <f t="shared" si="47"/>
        <v>83105.226031155558</v>
      </c>
      <c r="T173" s="56">
        <f t="shared" si="59"/>
        <v>58173.658221808888</v>
      </c>
      <c r="U173" s="66">
        <f t="shared" si="48"/>
        <v>19800</v>
      </c>
      <c r="V173" s="54">
        <f t="shared" si="49"/>
        <v>38373.658221808888</v>
      </c>
      <c r="X173" s="67">
        <f t="shared" si="50"/>
        <v>5858.5408242087915</v>
      </c>
      <c r="Y173" s="67">
        <f t="shared" si="51"/>
        <v>-39458.540824208794</v>
      </c>
      <c r="Z173" s="67">
        <f t="shared" si="52"/>
        <v>-15458.540824208791</v>
      </c>
      <c r="AA173" s="68">
        <f t="shared" si="53"/>
        <v>-15458.540824208791</v>
      </c>
      <c r="AB173" s="68">
        <f t="shared" si="54"/>
        <v>-21458.540824208791</v>
      </c>
      <c r="AC173" s="69">
        <f t="shared" si="55"/>
        <v>-1084.8826023999063</v>
      </c>
      <c r="AD173" s="69">
        <f t="shared" si="56"/>
        <v>22915.117397600097</v>
      </c>
      <c r="AE173" s="69">
        <f t="shared" si="57"/>
        <v>22915.117397600097</v>
      </c>
      <c r="AF173" s="69">
        <f t="shared" si="58"/>
        <v>16915.117397600097</v>
      </c>
    </row>
    <row r="174" spans="1:32">
      <c r="A174" s="50" t="s">
        <v>299</v>
      </c>
      <c r="B174" s="50" t="s">
        <v>295</v>
      </c>
      <c r="C174" s="50" t="s">
        <v>85</v>
      </c>
      <c r="D174" s="50">
        <v>1</v>
      </c>
      <c r="E174" s="50">
        <v>1800</v>
      </c>
      <c r="F174" s="51">
        <v>0.2329</v>
      </c>
      <c r="G174" s="4">
        <f t="shared" si="40"/>
        <v>5030.6400000000003</v>
      </c>
      <c r="H174" s="50">
        <v>288</v>
      </c>
      <c r="I174" s="51">
        <v>0.2329</v>
      </c>
      <c r="J174" s="50">
        <v>89</v>
      </c>
      <c r="K174" s="50">
        <v>390</v>
      </c>
      <c r="L174">
        <f t="shared" si="41"/>
        <v>301</v>
      </c>
      <c r="M174">
        <f t="shared" si="42"/>
        <v>199</v>
      </c>
      <c r="N174" s="52">
        <f t="shared" si="43"/>
        <v>0.62890365448504992</v>
      </c>
      <c r="O174" s="53">
        <f t="shared" si="44"/>
        <v>0.2329</v>
      </c>
      <c r="P174" s="54">
        <v>227.83112197380882</v>
      </c>
      <c r="Q174" s="55">
        <f t="shared" si="45"/>
        <v>0.46898637069450855</v>
      </c>
      <c r="R174" s="55">
        <f t="shared" si="46"/>
        <v>0.47944418623236595</v>
      </c>
      <c r="S174" s="54">
        <f t="shared" si="47"/>
        <v>39869.792008695986</v>
      </c>
      <c r="T174" s="56">
        <f t="shared" si="59"/>
        <v>27908.85440608719</v>
      </c>
      <c r="U174" s="66">
        <f t="shared" si="48"/>
        <v>5030.6400000000003</v>
      </c>
      <c r="V174" s="54">
        <f t="shared" si="49"/>
        <v>22878.214406087191</v>
      </c>
      <c r="X174" s="67">
        <f t="shared" si="50"/>
        <v>5833.2375991604531</v>
      </c>
      <c r="Y174" s="67">
        <f t="shared" si="51"/>
        <v>-39433.237599160449</v>
      </c>
      <c r="Z174" s="67">
        <f t="shared" si="52"/>
        <v>-15433.237599160453</v>
      </c>
      <c r="AA174" s="68">
        <f t="shared" si="53"/>
        <v>-15433.237599160453</v>
      </c>
      <c r="AB174" s="68">
        <f t="shared" si="54"/>
        <v>-21433.237599160453</v>
      </c>
      <c r="AC174" s="69">
        <f t="shared" si="55"/>
        <v>-16555.023193073259</v>
      </c>
      <c r="AD174" s="69">
        <f t="shared" si="56"/>
        <v>7444.9768069267375</v>
      </c>
      <c r="AE174" s="69">
        <f t="shared" si="57"/>
        <v>7444.9768069267375</v>
      </c>
      <c r="AF174" s="69">
        <f t="shared" si="58"/>
        <v>1444.9768069267375</v>
      </c>
    </row>
    <row r="175" spans="1:32">
      <c r="A175" s="57" t="s">
        <v>300</v>
      </c>
      <c r="B175" s="57" t="s">
        <v>301</v>
      </c>
      <c r="C175" s="57" t="s">
        <v>85</v>
      </c>
      <c r="D175" s="57">
        <v>2</v>
      </c>
      <c r="E175" s="57">
        <v>3000</v>
      </c>
      <c r="F175" s="58">
        <v>0.40820000000000001</v>
      </c>
      <c r="G175" s="59">
        <f t="shared" si="40"/>
        <v>14695.2</v>
      </c>
      <c r="H175" s="57">
        <v>415</v>
      </c>
      <c r="I175" s="58">
        <v>0.40820000000000001</v>
      </c>
      <c r="J175" s="57">
        <v>193</v>
      </c>
      <c r="K175" s="57">
        <v>648</v>
      </c>
      <c r="L175" s="60">
        <f t="shared" si="41"/>
        <v>455</v>
      </c>
      <c r="M175" s="60">
        <f t="shared" si="42"/>
        <v>222</v>
      </c>
      <c r="N175" s="61">
        <f t="shared" si="43"/>
        <v>0.49032967032967034</v>
      </c>
      <c r="O175" s="62">
        <f t="shared" si="44"/>
        <v>0.40820000000000001</v>
      </c>
      <c r="P175" s="63">
        <v>373.62844019296676</v>
      </c>
      <c r="Q175" s="64">
        <f t="shared" si="45"/>
        <v>0.41758846627334811</v>
      </c>
      <c r="R175" s="64">
        <f t="shared" si="46"/>
        <v>0.5201204877912724</v>
      </c>
      <c r="S175" s="63">
        <f t="shared" si="47"/>
        <v>70931.109396538217</v>
      </c>
      <c r="T175" s="65">
        <f t="shared" si="59"/>
        <v>49651.776577576748</v>
      </c>
      <c r="U175" s="66">
        <f t="shared" si="48"/>
        <v>14695.2</v>
      </c>
      <c r="V175" s="54">
        <f t="shared" si="49"/>
        <v>34956.57657757675</v>
      </c>
      <c r="X175" s="67">
        <f t="shared" si="50"/>
        <v>6328.1326014604811</v>
      </c>
      <c r="Y175" s="67">
        <f t="shared" si="51"/>
        <v>-39928.132601460478</v>
      </c>
      <c r="Z175" s="67">
        <f t="shared" si="52"/>
        <v>-15928.132601460482</v>
      </c>
      <c r="AA175" s="68">
        <f t="shared" si="53"/>
        <v>-15928.132601460482</v>
      </c>
      <c r="AB175" s="68">
        <f t="shared" si="54"/>
        <v>-21928.132601460482</v>
      </c>
      <c r="AC175" s="69">
        <f t="shared" si="55"/>
        <v>-4971.5560238837279</v>
      </c>
      <c r="AD175" s="69">
        <f t="shared" si="56"/>
        <v>19028.443976116268</v>
      </c>
      <c r="AE175" s="69">
        <f t="shared" si="57"/>
        <v>19028.443976116268</v>
      </c>
      <c r="AF175" s="69">
        <f t="shared" si="58"/>
        <v>13028.443976116268</v>
      </c>
    </row>
    <row r="176" spans="1:32">
      <c r="A176" s="57" t="s">
        <v>302</v>
      </c>
      <c r="B176" s="57" t="s">
        <v>301</v>
      </c>
      <c r="C176" s="57" t="s">
        <v>94</v>
      </c>
      <c r="D176" s="57">
        <v>1</v>
      </c>
      <c r="E176" s="57">
        <v>2000</v>
      </c>
      <c r="F176" s="58">
        <v>0.32600000000000001</v>
      </c>
      <c r="G176" s="59">
        <f t="shared" si="40"/>
        <v>7824</v>
      </c>
      <c r="H176" s="57">
        <v>387</v>
      </c>
      <c r="I176" s="58">
        <v>0.32600000000000001</v>
      </c>
      <c r="J176" s="57">
        <v>193</v>
      </c>
      <c r="K176" s="57">
        <v>600</v>
      </c>
      <c r="L176" s="60">
        <f t="shared" si="41"/>
        <v>407</v>
      </c>
      <c r="M176" s="60">
        <f t="shared" si="42"/>
        <v>194</v>
      </c>
      <c r="N176" s="61">
        <f t="shared" si="43"/>
        <v>0.48132678132678142</v>
      </c>
      <c r="O176" s="62">
        <f t="shared" si="44"/>
        <v>0.32600000000000001</v>
      </c>
      <c r="P176" s="63">
        <v>344.39291237807225</v>
      </c>
      <c r="Q176" s="64">
        <f t="shared" si="45"/>
        <v>0.397578206148545</v>
      </c>
      <c r="R176" s="64">
        <f t="shared" si="46"/>
        <v>0.53595660765404152</v>
      </c>
      <c r="S176" s="63">
        <f t="shared" si="47"/>
        <v>67371.574811660219</v>
      </c>
      <c r="T176" s="65">
        <f t="shared" si="59"/>
        <v>47160.102368162152</v>
      </c>
      <c r="U176" s="66">
        <f t="shared" si="48"/>
        <v>7824</v>
      </c>
      <c r="V176" s="54">
        <f t="shared" si="49"/>
        <v>39336.102368162152</v>
      </c>
      <c r="X176" s="67">
        <f t="shared" si="50"/>
        <v>6520.805393124172</v>
      </c>
      <c r="Y176" s="67">
        <f t="shared" si="51"/>
        <v>-40120.805393124174</v>
      </c>
      <c r="Z176" s="67">
        <f t="shared" si="52"/>
        <v>-16120.805393124172</v>
      </c>
      <c r="AA176" s="68">
        <f t="shared" si="53"/>
        <v>-16120.805393124172</v>
      </c>
      <c r="AB176" s="68">
        <f t="shared" si="54"/>
        <v>-22120.805393124174</v>
      </c>
      <c r="AC176" s="69">
        <f t="shared" si="55"/>
        <v>-784.70302496202203</v>
      </c>
      <c r="AD176" s="69">
        <f t="shared" si="56"/>
        <v>23215.296975037978</v>
      </c>
      <c r="AE176" s="69">
        <f t="shared" si="57"/>
        <v>23215.296975037978</v>
      </c>
      <c r="AF176" s="69">
        <f t="shared" si="58"/>
        <v>17215.296975037978</v>
      </c>
    </row>
    <row r="177" spans="1:32">
      <c r="A177" s="50" t="s">
        <v>303</v>
      </c>
      <c r="B177" s="50" t="s">
        <v>301</v>
      </c>
      <c r="C177" s="50" t="s">
        <v>94</v>
      </c>
      <c r="D177" s="50">
        <v>2</v>
      </c>
      <c r="E177" s="50">
        <v>2950</v>
      </c>
      <c r="F177" s="51">
        <v>0.38900000000000001</v>
      </c>
      <c r="G177" s="4">
        <f t="shared" si="40"/>
        <v>13770.6</v>
      </c>
      <c r="H177" s="50">
        <v>575</v>
      </c>
      <c r="I177" s="51">
        <v>0.38900000000000001</v>
      </c>
      <c r="J177" s="50">
        <v>192</v>
      </c>
      <c r="K177" s="50">
        <v>829</v>
      </c>
      <c r="L177">
        <f t="shared" si="41"/>
        <v>637</v>
      </c>
      <c r="M177">
        <f t="shared" si="42"/>
        <v>383</v>
      </c>
      <c r="N177" s="52">
        <f t="shared" si="43"/>
        <v>0.58100470957613826</v>
      </c>
      <c r="O177" s="53">
        <f t="shared" si="44"/>
        <v>0.38900000000000001</v>
      </c>
      <c r="P177" s="54">
        <v>483.97981627015349</v>
      </c>
      <c r="Q177" s="55">
        <f t="shared" si="45"/>
        <v>0.46669364680710024</v>
      </c>
      <c r="R177" s="55">
        <f t="shared" si="46"/>
        <v>0.4812586479168609</v>
      </c>
      <c r="S177" s="54">
        <f t="shared" si="47"/>
        <v>85015.607278987067</v>
      </c>
      <c r="T177" s="56">
        <f t="shared" si="59"/>
        <v>59510.925095290942</v>
      </c>
      <c r="U177" s="66">
        <f t="shared" si="48"/>
        <v>13770.6</v>
      </c>
      <c r="V177" s="54">
        <f t="shared" si="49"/>
        <v>45740.325095290944</v>
      </c>
      <c r="X177" s="67">
        <f t="shared" si="50"/>
        <v>5855.3135496551413</v>
      </c>
      <c r="Y177" s="67">
        <f t="shared" si="51"/>
        <v>-39455.31354965514</v>
      </c>
      <c r="Z177" s="67">
        <f t="shared" si="52"/>
        <v>-15455.31354965514</v>
      </c>
      <c r="AA177" s="68">
        <f t="shared" si="53"/>
        <v>-15455.31354965514</v>
      </c>
      <c r="AB177" s="68">
        <f t="shared" si="54"/>
        <v>-21455.31354965514</v>
      </c>
      <c r="AC177" s="69">
        <f t="shared" si="55"/>
        <v>6285.0115456358035</v>
      </c>
      <c r="AD177" s="69">
        <f t="shared" si="56"/>
        <v>30285.011545635803</v>
      </c>
      <c r="AE177" s="69">
        <f t="shared" si="57"/>
        <v>30285.011545635803</v>
      </c>
      <c r="AF177" s="69">
        <f t="shared" si="58"/>
        <v>24285.011545635803</v>
      </c>
    </row>
    <row r="178" spans="1:32">
      <c r="A178" s="50" t="s">
        <v>304</v>
      </c>
      <c r="B178" s="50" t="s">
        <v>301</v>
      </c>
      <c r="C178" s="50" t="s">
        <v>85</v>
      </c>
      <c r="D178" s="50">
        <v>1</v>
      </c>
      <c r="E178" s="50">
        <v>1700</v>
      </c>
      <c r="F178" s="51">
        <v>0.52049999999999996</v>
      </c>
      <c r="G178" s="4">
        <f t="shared" si="40"/>
        <v>10618.199999999999</v>
      </c>
      <c r="H178" s="50">
        <v>228</v>
      </c>
      <c r="I178" s="51">
        <v>0.52049999999999996</v>
      </c>
      <c r="J178" s="50">
        <v>98</v>
      </c>
      <c r="K178" s="50">
        <v>432</v>
      </c>
      <c r="L178">
        <f t="shared" si="41"/>
        <v>334</v>
      </c>
      <c r="M178">
        <f t="shared" si="42"/>
        <v>130</v>
      </c>
      <c r="N178" s="52">
        <f t="shared" si="43"/>
        <v>0.41137724550898203</v>
      </c>
      <c r="O178" s="53">
        <f t="shared" si="44"/>
        <v>0.52049999999999996</v>
      </c>
      <c r="P178" s="54">
        <v>252.43054730648558</v>
      </c>
      <c r="Q178" s="55">
        <f t="shared" si="45"/>
        <v>0.46989352648260019</v>
      </c>
      <c r="R178" s="55">
        <f t="shared" si="46"/>
        <v>0.47872626314167022</v>
      </c>
      <c r="S178" s="54">
        <f t="shared" si="47"/>
        <v>44108.473404416764</v>
      </c>
      <c r="T178" s="56">
        <f t="shared" si="59"/>
        <v>30875.931383091731</v>
      </c>
      <c r="U178" s="66">
        <f t="shared" si="48"/>
        <v>10618.199999999999</v>
      </c>
      <c r="V178" s="54">
        <f t="shared" si="49"/>
        <v>20257.731383091734</v>
      </c>
      <c r="X178" s="67">
        <f t="shared" si="50"/>
        <v>5824.5028682236543</v>
      </c>
      <c r="Y178" s="67">
        <f t="shared" si="51"/>
        <v>-39424.502868223652</v>
      </c>
      <c r="Z178" s="67">
        <f t="shared" si="52"/>
        <v>-15424.502868223655</v>
      </c>
      <c r="AA178" s="68">
        <f t="shared" si="53"/>
        <v>-15424.502868223655</v>
      </c>
      <c r="AB178" s="68">
        <f t="shared" si="54"/>
        <v>-21424.502868223655</v>
      </c>
      <c r="AC178" s="69">
        <f t="shared" si="55"/>
        <v>-19166.771485131918</v>
      </c>
      <c r="AD178" s="69">
        <f t="shared" si="56"/>
        <v>4833.2285148680785</v>
      </c>
      <c r="AE178" s="69">
        <f t="shared" si="57"/>
        <v>4833.2285148680785</v>
      </c>
      <c r="AF178" s="69">
        <f t="shared" si="58"/>
        <v>-1166.7714851319215</v>
      </c>
    </row>
    <row r="179" spans="1:32">
      <c r="A179" s="50" t="s">
        <v>305</v>
      </c>
      <c r="B179" s="50" t="s">
        <v>306</v>
      </c>
      <c r="C179" s="50" t="s">
        <v>85</v>
      </c>
      <c r="D179" s="50">
        <v>1</v>
      </c>
      <c r="E179" s="50">
        <v>3000</v>
      </c>
      <c r="F179" s="51">
        <v>0.46300000000000002</v>
      </c>
      <c r="G179" s="4">
        <f t="shared" si="40"/>
        <v>16668</v>
      </c>
      <c r="H179" s="50">
        <v>337</v>
      </c>
      <c r="I179" s="51">
        <v>0.46300000000000002</v>
      </c>
      <c r="J179" s="50">
        <v>87</v>
      </c>
      <c r="K179" s="50">
        <v>512</v>
      </c>
      <c r="L179">
        <f t="shared" si="41"/>
        <v>425</v>
      </c>
      <c r="M179">
        <f t="shared" si="42"/>
        <v>250</v>
      </c>
      <c r="N179" s="52">
        <f t="shared" si="43"/>
        <v>0.57058823529411762</v>
      </c>
      <c r="O179" s="53">
        <f t="shared" si="44"/>
        <v>0.46300000000000002</v>
      </c>
      <c r="P179" s="54">
        <v>302.35623623048662</v>
      </c>
      <c r="Q179" s="55">
        <f t="shared" si="45"/>
        <v>0.50537644466915133</v>
      </c>
      <c r="R179" s="55">
        <f t="shared" si="46"/>
        <v>0.45064508168883366</v>
      </c>
      <c r="S179" s="54">
        <f t="shared" si="47"/>
        <v>49733.203032953817</v>
      </c>
      <c r="T179" s="56">
        <f t="shared" si="59"/>
        <v>34813.24212306767</v>
      </c>
      <c r="U179" s="66">
        <f t="shared" si="48"/>
        <v>16668</v>
      </c>
      <c r="V179" s="54">
        <f t="shared" si="49"/>
        <v>18145.24212306767</v>
      </c>
      <c r="X179" s="67">
        <f t="shared" si="50"/>
        <v>5482.8484938808097</v>
      </c>
      <c r="Y179" s="67">
        <f t="shared" si="51"/>
        <v>-39082.848493880811</v>
      </c>
      <c r="Z179" s="67">
        <f t="shared" si="52"/>
        <v>-15082.848493880811</v>
      </c>
      <c r="AA179" s="68">
        <f t="shared" si="53"/>
        <v>-15082.848493880811</v>
      </c>
      <c r="AB179" s="68">
        <f t="shared" si="54"/>
        <v>-21082.848493880811</v>
      </c>
      <c r="AC179" s="69">
        <f t="shared" si="55"/>
        <v>-20937.606370813141</v>
      </c>
      <c r="AD179" s="69">
        <f t="shared" si="56"/>
        <v>3062.3936291868595</v>
      </c>
      <c r="AE179" s="69">
        <f t="shared" si="57"/>
        <v>3062.3936291868595</v>
      </c>
      <c r="AF179" s="69">
        <f t="shared" si="58"/>
        <v>-2937.6063708131405</v>
      </c>
    </row>
    <row r="180" spans="1:32">
      <c r="A180" s="50" t="s">
        <v>307</v>
      </c>
      <c r="B180" s="50" t="s">
        <v>306</v>
      </c>
      <c r="C180" s="50" t="s">
        <v>85</v>
      </c>
      <c r="D180" s="50">
        <v>2</v>
      </c>
      <c r="E180" s="50">
        <v>3200</v>
      </c>
      <c r="F180" s="51">
        <v>0.67949999999999999</v>
      </c>
      <c r="G180" s="4">
        <f t="shared" si="40"/>
        <v>26092.799999999999</v>
      </c>
      <c r="H180" s="50">
        <v>154</v>
      </c>
      <c r="I180" s="51">
        <v>0.67949999999999999</v>
      </c>
      <c r="J180" s="50">
        <v>154</v>
      </c>
      <c r="K180" s="50">
        <v>480</v>
      </c>
      <c r="L180">
        <f t="shared" si="41"/>
        <v>326</v>
      </c>
      <c r="M180">
        <f t="shared" si="42"/>
        <v>0</v>
      </c>
      <c r="N180" s="52">
        <f t="shared" si="43"/>
        <v>0.1</v>
      </c>
      <c r="O180" s="53">
        <f t="shared" si="44"/>
        <v>0.67949999999999999</v>
      </c>
      <c r="P180" s="54">
        <v>275.55795851371539</v>
      </c>
      <c r="Q180" s="55">
        <f t="shared" si="45"/>
        <v>0.39830173868396412</v>
      </c>
      <c r="R180" s="55">
        <f t="shared" si="46"/>
        <v>0.53538400400551089</v>
      </c>
      <c r="S180" s="54">
        <f t="shared" si="47"/>
        <v>53848.20295509995</v>
      </c>
      <c r="T180" s="56">
        <f t="shared" si="59"/>
        <v>37693.742068569962</v>
      </c>
      <c r="U180" s="66">
        <f t="shared" si="48"/>
        <v>26092.799999999999</v>
      </c>
      <c r="V180" s="54">
        <f t="shared" si="49"/>
        <v>11600.942068569962</v>
      </c>
      <c r="X180" s="67">
        <f t="shared" si="50"/>
        <v>6513.8387154003822</v>
      </c>
      <c r="Y180" s="67">
        <f t="shared" si="51"/>
        <v>-40113.838715400379</v>
      </c>
      <c r="Z180" s="67">
        <f t="shared" si="52"/>
        <v>-16113.838715400383</v>
      </c>
      <c r="AA180" s="68">
        <f t="shared" si="53"/>
        <v>-16113.838715400383</v>
      </c>
      <c r="AB180" s="68">
        <f t="shared" si="54"/>
        <v>-22113.838715400383</v>
      </c>
      <c r="AC180" s="69">
        <f t="shared" si="55"/>
        <v>-28512.896646830417</v>
      </c>
      <c r="AD180" s="69">
        <f t="shared" si="56"/>
        <v>-4512.8966468304207</v>
      </c>
      <c r="AE180" s="69">
        <f t="shared" si="57"/>
        <v>-4512.8966468304207</v>
      </c>
      <c r="AF180" s="69">
        <f t="shared" si="58"/>
        <v>-10512.896646830421</v>
      </c>
    </row>
    <row r="181" spans="1:32">
      <c r="A181" s="50" t="s">
        <v>308</v>
      </c>
      <c r="B181" s="50" t="s">
        <v>309</v>
      </c>
      <c r="C181" s="50" t="s">
        <v>85</v>
      </c>
      <c r="D181" s="50">
        <v>2</v>
      </c>
      <c r="E181" s="50">
        <v>4500</v>
      </c>
      <c r="F181" s="51">
        <v>0.68220000000000003</v>
      </c>
      <c r="G181" s="4">
        <f t="shared" si="40"/>
        <v>36838.800000000003</v>
      </c>
      <c r="H181" s="50">
        <v>432</v>
      </c>
      <c r="I181" s="51">
        <v>0.68220000000000003</v>
      </c>
      <c r="J181" s="50">
        <v>273</v>
      </c>
      <c r="K181" s="50">
        <v>853</v>
      </c>
      <c r="L181">
        <f t="shared" si="41"/>
        <v>580</v>
      </c>
      <c r="M181">
        <f t="shared" si="42"/>
        <v>159</v>
      </c>
      <c r="N181" s="52">
        <f t="shared" si="43"/>
        <v>0.31931034482758625</v>
      </c>
      <c r="O181" s="53">
        <f t="shared" si="44"/>
        <v>0.68220000000000003</v>
      </c>
      <c r="P181" s="54">
        <v>489.76262776366997</v>
      </c>
      <c r="Q181" s="55">
        <f t="shared" si="45"/>
        <v>0.39898293484644132</v>
      </c>
      <c r="R181" s="55">
        <f t="shared" si="46"/>
        <v>0.53484490536252638</v>
      </c>
      <c r="S181" s="54">
        <f t="shared" si="47"/>
        <v>95610.671898172252</v>
      </c>
      <c r="T181" s="56">
        <f t="shared" si="59"/>
        <v>66927.470328720578</v>
      </c>
      <c r="U181" s="66">
        <f t="shared" si="48"/>
        <v>36838.800000000003</v>
      </c>
      <c r="V181" s="54">
        <f t="shared" si="49"/>
        <v>30088.670328720575</v>
      </c>
      <c r="X181" s="67">
        <f t="shared" si="50"/>
        <v>6507.279681910738</v>
      </c>
      <c r="Y181" s="67">
        <f t="shared" si="51"/>
        <v>-40107.279681910739</v>
      </c>
      <c r="Z181" s="67">
        <f t="shared" si="52"/>
        <v>-16107.279681910739</v>
      </c>
      <c r="AA181" s="68">
        <f t="shared" si="53"/>
        <v>-16107.279681910739</v>
      </c>
      <c r="AB181" s="68">
        <f t="shared" si="54"/>
        <v>-22107.279681910739</v>
      </c>
      <c r="AC181" s="69">
        <f t="shared" si="55"/>
        <v>-10018.609353190164</v>
      </c>
      <c r="AD181" s="69">
        <f t="shared" si="56"/>
        <v>13981.390646809836</v>
      </c>
      <c r="AE181" s="69">
        <f t="shared" si="57"/>
        <v>13981.390646809836</v>
      </c>
      <c r="AF181" s="69">
        <f t="shared" si="58"/>
        <v>7981.3906468098357</v>
      </c>
    </row>
    <row r="182" spans="1:32">
      <c r="A182" s="50" t="s">
        <v>310</v>
      </c>
      <c r="B182" s="50" t="s">
        <v>84</v>
      </c>
      <c r="C182" s="50" t="s">
        <v>85</v>
      </c>
      <c r="D182" s="50">
        <v>1</v>
      </c>
      <c r="E182" s="50">
        <v>800</v>
      </c>
      <c r="F182" s="51">
        <v>0.56989999999999996</v>
      </c>
      <c r="G182" s="4">
        <f t="shared" si="40"/>
        <v>5471.04</v>
      </c>
      <c r="H182" s="50">
        <v>104</v>
      </c>
      <c r="I182" s="51">
        <v>0.56989999999999996</v>
      </c>
      <c r="J182" s="50">
        <v>53</v>
      </c>
      <c r="K182" s="50">
        <v>188</v>
      </c>
      <c r="L182">
        <f t="shared" si="41"/>
        <v>135</v>
      </c>
      <c r="M182">
        <f t="shared" si="42"/>
        <v>51</v>
      </c>
      <c r="N182" s="52">
        <f t="shared" si="43"/>
        <v>0.40222222222222226</v>
      </c>
      <c r="O182" s="53">
        <f t="shared" si="44"/>
        <v>0.56989999999999996</v>
      </c>
      <c r="P182" s="54">
        <v>108.72492181549543</v>
      </c>
      <c r="Q182" s="55">
        <f t="shared" si="45"/>
        <v>0.43022175890663961</v>
      </c>
      <c r="R182" s="55">
        <f t="shared" si="46"/>
        <v>0.51012250000128545</v>
      </c>
      <c r="S182" s="54">
        <f t="shared" si="47"/>
        <v>20244.005559072164</v>
      </c>
      <c r="T182" s="56">
        <f t="shared" si="59"/>
        <v>14170.803891350513</v>
      </c>
      <c r="U182" s="66">
        <f t="shared" si="48"/>
        <v>5471.04</v>
      </c>
      <c r="V182" s="54">
        <f t="shared" si="49"/>
        <v>8699.7638913505143</v>
      </c>
      <c r="X182" s="67">
        <f t="shared" si="50"/>
        <v>6206.4904166823062</v>
      </c>
      <c r="Y182" s="67">
        <f t="shared" si="51"/>
        <v>-39806.490416682303</v>
      </c>
      <c r="Z182" s="67">
        <f t="shared" si="52"/>
        <v>-15806.490416682307</v>
      </c>
      <c r="AA182" s="68">
        <f t="shared" si="53"/>
        <v>-15806.490416682307</v>
      </c>
      <c r="AB182" s="68">
        <f t="shared" si="54"/>
        <v>-21806.490416682307</v>
      </c>
      <c r="AC182" s="69">
        <f t="shared" si="55"/>
        <v>-31106.726525331789</v>
      </c>
      <c r="AD182" s="69">
        <f t="shared" si="56"/>
        <v>-7106.7265253317928</v>
      </c>
      <c r="AE182" s="69">
        <f t="shared" si="57"/>
        <v>-7106.7265253317928</v>
      </c>
      <c r="AF182" s="69">
        <f t="shared" si="58"/>
        <v>-13106.726525331793</v>
      </c>
    </row>
    <row r="183" spans="1:32">
      <c r="A183" s="50" t="s">
        <v>311</v>
      </c>
      <c r="B183" s="50" t="s">
        <v>309</v>
      </c>
      <c r="C183" s="50" t="s">
        <v>94</v>
      </c>
      <c r="D183" s="50">
        <v>1</v>
      </c>
      <c r="E183" s="50">
        <v>4500</v>
      </c>
      <c r="F183" s="51">
        <v>0.86850000000000005</v>
      </c>
      <c r="G183" s="4">
        <f t="shared" si="40"/>
        <v>46899</v>
      </c>
      <c r="H183" s="50">
        <v>200</v>
      </c>
      <c r="I183" s="51">
        <v>0.86850000000000005</v>
      </c>
      <c r="J183" s="50">
        <v>103</v>
      </c>
      <c r="K183" s="50">
        <v>807</v>
      </c>
      <c r="L183">
        <f t="shared" si="41"/>
        <v>704</v>
      </c>
      <c r="M183">
        <f t="shared" si="42"/>
        <v>97</v>
      </c>
      <c r="N183" s="52">
        <f t="shared" si="43"/>
        <v>0.21022727272727276</v>
      </c>
      <c r="O183" s="53">
        <f t="shared" si="44"/>
        <v>0.86850000000000005</v>
      </c>
      <c r="P183" s="54">
        <v>480.28774043043649</v>
      </c>
      <c r="Q183" s="55">
        <f t="shared" si="45"/>
        <v>0.52873606867095058</v>
      </c>
      <c r="R183" s="55">
        <f t="shared" si="46"/>
        <v>0.43215827525380973</v>
      </c>
      <c r="S183" s="54">
        <f t="shared" si="47"/>
        <v>75759.517358437908</v>
      </c>
      <c r="T183" s="56">
        <f t="shared" si="59"/>
        <v>53031.66215090653</v>
      </c>
      <c r="U183" s="66">
        <f t="shared" si="48"/>
        <v>46899</v>
      </c>
      <c r="V183" s="54">
        <f t="shared" si="49"/>
        <v>6132.6621509065299</v>
      </c>
      <c r="X183" s="67">
        <f t="shared" si="50"/>
        <v>5257.9256822546849</v>
      </c>
      <c r="Y183" s="67">
        <f t="shared" si="51"/>
        <v>-38857.925682254689</v>
      </c>
      <c r="Z183" s="67">
        <f t="shared" si="52"/>
        <v>-14857.925682254685</v>
      </c>
      <c r="AA183" s="68">
        <f t="shared" si="53"/>
        <v>-14857.925682254685</v>
      </c>
      <c r="AB183" s="68">
        <f t="shared" si="54"/>
        <v>-20857.925682254685</v>
      </c>
      <c r="AC183" s="69">
        <f t="shared" si="55"/>
        <v>-32725.263531348159</v>
      </c>
      <c r="AD183" s="69">
        <f t="shared" si="56"/>
        <v>-8725.2635313481551</v>
      </c>
      <c r="AE183" s="69">
        <f t="shared" si="57"/>
        <v>-8725.2635313481551</v>
      </c>
      <c r="AF183" s="69">
        <f t="shared" si="58"/>
        <v>-14725.263531348155</v>
      </c>
    </row>
    <row r="184" spans="1:32">
      <c r="A184" s="50" t="s">
        <v>312</v>
      </c>
      <c r="B184" s="50" t="s">
        <v>309</v>
      </c>
      <c r="C184" s="50" t="s">
        <v>94</v>
      </c>
      <c r="D184" s="50">
        <v>2</v>
      </c>
      <c r="E184" s="50">
        <v>5500</v>
      </c>
      <c r="F184" s="51">
        <v>0.52329999999999999</v>
      </c>
      <c r="G184" s="4">
        <f t="shared" si="40"/>
        <v>34537.799999999996</v>
      </c>
      <c r="H184" s="50">
        <v>428</v>
      </c>
      <c r="I184" s="51">
        <v>0.52329999999999999</v>
      </c>
      <c r="J184" s="50">
        <v>200</v>
      </c>
      <c r="K184" s="50">
        <v>770</v>
      </c>
      <c r="L184">
        <f t="shared" si="41"/>
        <v>570</v>
      </c>
      <c r="M184">
        <f t="shared" si="42"/>
        <v>228</v>
      </c>
      <c r="N184" s="52">
        <f t="shared" si="43"/>
        <v>0.42000000000000004</v>
      </c>
      <c r="O184" s="53">
        <f t="shared" si="44"/>
        <v>0.52329999999999999</v>
      </c>
      <c r="P184" s="54">
        <v>447.17189210987044</v>
      </c>
      <c r="Q184" s="55">
        <f t="shared" si="45"/>
        <v>0.44690791875069535</v>
      </c>
      <c r="R184" s="55">
        <f t="shared" si="46"/>
        <v>0.49691707310069971</v>
      </c>
      <c r="S184" s="54">
        <f t="shared" si="47"/>
        <v>81105.681947050616</v>
      </c>
      <c r="T184" s="56">
        <f t="shared" si="59"/>
        <v>56773.977362935431</v>
      </c>
      <c r="U184" s="66">
        <f t="shared" si="48"/>
        <v>34537.799999999996</v>
      </c>
      <c r="V184" s="54">
        <f t="shared" si="49"/>
        <v>22236.177362935436</v>
      </c>
      <c r="X184" s="67">
        <f t="shared" si="50"/>
        <v>6045.8243893918461</v>
      </c>
      <c r="Y184" s="67">
        <f t="shared" si="51"/>
        <v>-39645.824389391848</v>
      </c>
      <c r="Z184" s="67">
        <f t="shared" si="52"/>
        <v>-15645.824389391846</v>
      </c>
      <c r="AA184" s="68">
        <f t="shared" si="53"/>
        <v>-15645.824389391846</v>
      </c>
      <c r="AB184" s="68">
        <f t="shared" si="54"/>
        <v>-21645.824389391848</v>
      </c>
      <c r="AC184" s="69">
        <f t="shared" si="55"/>
        <v>-17409.647026456412</v>
      </c>
      <c r="AD184" s="69">
        <f t="shared" si="56"/>
        <v>6590.3529735435895</v>
      </c>
      <c r="AE184" s="69">
        <f t="shared" si="57"/>
        <v>6590.3529735435895</v>
      </c>
      <c r="AF184" s="69">
        <f t="shared" si="58"/>
        <v>590.35297354358772</v>
      </c>
    </row>
    <row r="185" spans="1:32">
      <c r="A185" s="50" t="s">
        <v>313</v>
      </c>
      <c r="B185" s="50" t="s">
        <v>309</v>
      </c>
      <c r="C185" s="50" t="s">
        <v>85</v>
      </c>
      <c r="D185" s="50">
        <v>1</v>
      </c>
      <c r="E185" s="50">
        <v>3500</v>
      </c>
      <c r="F185" s="51">
        <v>0.46029999999999999</v>
      </c>
      <c r="G185" s="4">
        <f t="shared" si="40"/>
        <v>19332.599999999999</v>
      </c>
      <c r="H185" s="50">
        <v>576</v>
      </c>
      <c r="I185" s="51">
        <v>0.46029999999999999</v>
      </c>
      <c r="J185" s="50">
        <v>151</v>
      </c>
      <c r="K185" s="50">
        <v>890</v>
      </c>
      <c r="L185">
        <f t="shared" si="41"/>
        <v>739</v>
      </c>
      <c r="M185">
        <f t="shared" si="42"/>
        <v>425</v>
      </c>
      <c r="N185" s="52">
        <f t="shared" si="43"/>
        <v>0.56008119079837615</v>
      </c>
      <c r="O185" s="53">
        <f t="shared" si="44"/>
        <v>0.46029999999999999</v>
      </c>
      <c r="P185" s="54">
        <v>525.60531175186429</v>
      </c>
      <c r="Q185" s="55">
        <f t="shared" si="45"/>
        <v>0.5055267244945757</v>
      </c>
      <c r="R185" s="55">
        <f t="shared" si="46"/>
        <v>0.45052615023499282</v>
      </c>
      <c r="S185" s="54">
        <f t="shared" si="47"/>
        <v>86431.612241020179</v>
      </c>
      <c r="T185" s="56">
        <f t="shared" si="59"/>
        <v>60502.128568714121</v>
      </c>
      <c r="U185" s="66">
        <f t="shared" si="48"/>
        <v>19332.599999999999</v>
      </c>
      <c r="V185" s="54">
        <f t="shared" si="49"/>
        <v>41169.528568714122</v>
      </c>
      <c r="X185" s="67">
        <f t="shared" si="50"/>
        <v>5481.4014945257459</v>
      </c>
      <c r="Y185" s="67">
        <f t="shared" si="51"/>
        <v>-39081.401494525744</v>
      </c>
      <c r="Z185" s="67">
        <f t="shared" si="52"/>
        <v>-15081.401494525746</v>
      </c>
      <c r="AA185" s="68">
        <f t="shared" si="53"/>
        <v>-15081.401494525746</v>
      </c>
      <c r="AB185" s="68">
        <f t="shared" si="54"/>
        <v>-21081.401494525744</v>
      </c>
      <c r="AC185" s="69">
        <f t="shared" si="55"/>
        <v>2088.1270741883782</v>
      </c>
      <c r="AD185" s="69">
        <f t="shared" si="56"/>
        <v>26088.127074188378</v>
      </c>
      <c r="AE185" s="69">
        <f t="shared" si="57"/>
        <v>26088.127074188378</v>
      </c>
      <c r="AF185" s="69">
        <f t="shared" si="58"/>
        <v>20088.127074188378</v>
      </c>
    </row>
    <row r="186" spans="1:32">
      <c r="A186" s="50" t="s">
        <v>314</v>
      </c>
      <c r="B186" s="50" t="s">
        <v>315</v>
      </c>
      <c r="C186" s="50" t="s">
        <v>85</v>
      </c>
      <c r="D186" s="50">
        <v>2</v>
      </c>
      <c r="E186" s="50">
        <v>4000</v>
      </c>
      <c r="F186" s="51">
        <v>0.35339999999999999</v>
      </c>
      <c r="G186" s="4">
        <f t="shared" si="40"/>
        <v>16963.2</v>
      </c>
      <c r="H186" s="50">
        <v>560</v>
      </c>
      <c r="I186" s="51">
        <v>0.35339999999999999</v>
      </c>
      <c r="J186" s="50">
        <v>218</v>
      </c>
      <c r="K186" s="50">
        <v>681</v>
      </c>
      <c r="L186">
        <f t="shared" si="41"/>
        <v>463</v>
      </c>
      <c r="M186">
        <f t="shared" si="42"/>
        <v>342</v>
      </c>
      <c r="N186" s="52">
        <f t="shared" si="43"/>
        <v>0.69092872570194386</v>
      </c>
      <c r="O186" s="53">
        <f t="shared" si="44"/>
        <v>0.35339999999999999</v>
      </c>
      <c r="P186" s="54">
        <v>391.00102840240356</v>
      </c>
      <c r="Q186" s="55">
        <f t="shared" si="45"/>
        <v>0.3989218633302869</v>
      </c>
      <c r="R186" s="55">
        <f t="shared" si="46"/>
        <v>0.53489323736041094</v>
      </c>
      <c r="S186" s="54">
        <f t="shared" si="47"/>
        <v>76337.489151095244</v>
      </c>
      <c r="T186" s="56">
        <f t="shared" si="59"/>
        <v>53436.242405766665</v>
      </c>
      <c r="U186" s="66">
        <f t="shared" si="48"/>
        <v>16963.2</v>
      </c>
      <c r="V186" s="54">
        <f t="shared" si="49"/>
        <v>36473.042405766668</v>
      </c>
      <c r="X186" s="67">
        <f t="shared" si="50"/>
        <v>6507.8677212183338</v>
      </c>
      <c r="Y186" s="67">
        <f t="shared" si="51"/>
        <v>-40107.867721218332</v>
      </c>
      <c r="Z186" s="67">
        <f t="shared" si="52"/>
        <v>-16107.867721218334</v>
      </c>
      <c r="AA186" s="68">
        <f t="shared" si="53"/>
        <v>-16107.867721218334</v>
      </c>
      <c r="AB186" s="68">
        <f t="shared" si="54"/>
        <v>-22107.867721218332</v>
      </c>
      <c r="AC186" s="69">
        <f t="shared" si="55"/>
        <v>-3634.8253154516642</v>
      </c>
      <c r="AD186" s="69">
        <f t="shared" si="56"/>
        <v>20365.174684548336</v>
      </c>
      <c r="AE186" s="69">
        <f t="shared" si="57"/>
        <v>20365.174684548336</v>
      </c>
      <c r="AF186" s="69">
        <f t="shared" si="58"/>
        <v>14365.174684548336</v>
      </c>
    </row>
    <row r="187" spans="1:32">
      <c r="A187" s="50" t="s">
        <v>316</v>
      </c>
      <c r="B187" s="50" t="s">
        <v>315</v>
      </c>
      <c r="C187" s="50" t="s">
        <v>85</v>
      </c>
      <c r="D187" s="50">
        <v>1</v>
      </c>
      <c r="E187" s="50">
        <v>3000</v>
      </c>
      <c r="F187" s="51">
        <v>0.49859999999999999</v>
      </c>
      <c r="G187" s="4">
        <f t="shared" si="40"/>
        <v>17949.599999999999</v>
      </c>
      <c r="H187" s="50">
        <v>288</v>
      </c>
      <c r="I187" s="51">
        <v>0.49859999999999999</v>
      </c>
      <c r="J187" s="50">
        <v>109</v>
      </c>
      <c r="K187" s="50">
        <v>640</v>
      </c>
      <c r="L187">
        <f t="shared" si="41"/>
        <v>531</v>
      </c>
      <c r="M187">
        <f t="shared" si="42"/>
        <v>179</v>
      </c>
      <c r="N187" s="52">
        <f t="shared" si="43"/>
        <v>0.36967984934086628</v>
      </c>
      <c r="O187" s="53">
        <f t="shared" si="44"/>
        <v>0.49859999999999999</v>
      </c>
      <c r="P187" s="54">
        <v>377.91802605761626</v>
      </c>
      <c r="Q187" s="55">
        <f t="shared" si="45"/>
        <v>0.5051495684483861</v>
      </c>
      <c r="R187" s="55">
        <f t="shared" si="46"/>
        <v>0.45082463152994728</v>
      </c>
      <c r="S187" s="54">
        <f t="shared" si="47"/>
        <v>62186.7855187717</v>
      </c>
      <c r="T187" s="56">
        <f t="shared" si="59"/>
        <v>43530.74986314019</v>
      </c>
      <c r="U187" s="66">
        <f t="shared" si="48"/>
        <v>17949.599999999999</v>
      </c>
      <c r="V187" s="54">
        <f t="shared" si="49"/>
        <v>25581.149863140192</v>
      </c>
      <c r="X187" s="67">
        <f t="shared" si="50"/>
        <v>5485.033016947692</v>
      </c>
      <c r="Y187" s="67">
        <f t="shared" si="51"/>
        <v>-39085.033016947695</v>
      </c>
      <c r="Z187" s="67">
        <f t="shared" si="52"/>
        <v>-15085.033016947691</v>
      </c>
      <c r="AA187" s="68">
        <f t="shared" si="53"/>
        <v>-15085.033016947691</v>
      </c>
      <c r="AB187" s="68">
        <f t="shared" si="54"/>
        <v>-21085.033016947691</v>
      </c>
      <c r="AC187" s="69">
        <f t="shared" si="55"/>
        <v>-13503.883153807503</v>
      </c>
      <c r="AD187" s="69">
        <f t="shared" si="56"/>
        <v>10496.116846192501</v>
      </c>
      <c r="AE187" s="69">
        <f t="shared" si="57"/>
        <v>10496.116846192501</v>
      </c>
      <c r="AF187" s="69">
        <f t="shared" si="58"/>
        <v>4496.1168461925008</v>
      </c>
    </row>
    <row r="188" spans="1:32">
      <c r="A188" s="50" t="s">
        <v>317</v>
      </c>
      <c r="B188" s="50" t="s">
        <v>318</v>
      </c>
      <c r="C188" s="50" t="s">
        <v>85</v>
      </c>
      <c r="D188" s="50">
        <v>2</v>
      </c>
      <c r="E188" s="50">
        <v>5600</v>
      </c>
      <c r="F188" s="51">
        <v>0.5151</v>
      </c>
      <c r="G188" s="4">
        <f t="shared" si="40"/>
        <v>34614.720000000001</v>
      </c>
      <c r="H188" s="50">
        <v>373</v>
      </c>
      <c r="I188" s="51">
        <v>0.5151</v>
      </c>
      <c r="J188" s="50">
        <v>196</v>
      </c>
      <c r="K188" s="50">
        <v>612</v>
      </c>
      <c r="L188">
        <f t="shared" si="41"/>
        <v>416</v>
      </c>
      <c r="M188">
        <f t="shared" si="42"/>
        <v>177</v>
      </c>
      <c r="N188" s="52">
        <f t="shared" si="43"/>
        <v>0.44038461538461537</v>
      </c>
      <c r="O188" s="53">
        <f t="shared" si="44"/>
        <v>0.5151</v>
      </c>
      <c r="P188" s="54">
        <v>351.37457389071255</v>
      </c>
      <c r="Q188" s="55">
        <f t="shared" si="45"/>
        <v>0.39879725748213957</v>
      </c>
      <c r="R188" s="55">
        <f t="shared" si="46"/>
        <v>0.53499185042863484</v>
      </c>
      <c r="S188" s="54">
        <f t="shared" si="47"/>
        <v>68613.624719968371</v>
      </c>
      <c r="T188" s="56">
        <f t="shared" si="59"/>
        <v>48029.537303977857</v>
      </c>
      <c r="U188" s="66">
        <f t="shared" si="48"/>
        <v>34614.720000000001</v>
      </c>
      <c r="V188" s="54">
        <f t="shared" si="49"/>
        <v>13414.817303977856</v>
      </c>
      <c r="X188" s="67">
        <f t="shared" si="50"/>
        <v>6509.0675135483907</v>
      </c>
      <c r="Y188" s="67">
        <f t="shared" si="51"/>
        <v>-40109.067513548391</v>
      </c>
      <c r="Z188" s="67">
        <f t="shared" si="52"/>
        <v>-16109.067513548391</v>
      </c>
      <c r="AA188" s="68">
        <f t="shared" si="53"/>
        <v>-16109.067513548391</v>
      </c>
      <c r="AB188" s="68">
        <f t="shared" si="54"/>
        <v>-22109.067513548391</v>
      </c>
      <c r="AC188" s="69">
        <f t="shared" si="55"/>
        <v>-26694.250209570535</v>
      </c>
      <c r="AD188" s="69">
        <f t="shared" si="56"/>
        <v>-2694.2502095705349</v>
      </c>
      <c r="AE188" s="69">
        <f t="shared" si="57"/>
        <v>-2694.2502095705349</v>
      </c>
      <c r="AF188" s="69">
        <f t="shared" si="58"/>
        <v>-8694.2502095705349</v>
      </c>
    </row>
    <row r="189" spans="1:32">
      <c r="A189" s="50" t="s">
        <v>319</v>
      </c>
      <c r="B189" s="50" t="s">
        <v>318</v>
      </c>
      <c r="C189" s="50" t="s">
        <v>94</v>
      </c>
      <c r="D189" s="50">
        <v>1</v>
      </c>
      <c r="E189" s="50">
        <v>3200</v>
      </c>
      <c r="F189" s="51">
        <v>0.87119999999999997</v>
      </c>
      <c r="G189" s="4">
        <f t="shared" si="40"/>
        <v>33454.080000000002</v>
      </c>
      <c r="H189" s="50">
        <v>420</v>
      </c>
      <c r="I189" s="51">
        <v>0.87119999999999997</v>
      </c>
      <c r="J189" s="50">
        <v>165</v>
      </c>
      <c r="K189" s="50">
        <v>1296</v>
      </c>
      <c r="L189">
        <f t="shared" si="41"/>
        <v>1131</v>
      </c>
      <c r="M189">
        <f t="shared" si="42"/>
        <v>255</v>
      </c>
      <c r="N189" s="52">
        <f t="shared" si="43"/>
        <v>0.28037135278514591</v>
      </c>
      <c r="O189" s="53">
        <f t="shared" si="44"/>
        <v>0.87119999999999997</v>
      </c>
      <c r="P189" s="54">
        <v>771.36212476537457</v>
      </c>
      <c r="Q189" s="55">
        <f t="shared" si="45"/>
        <v>0.52890335969257263</v>
      </c>
      <c r="R189" s="55">
        <f t="shared" si="46"/>
        <v>0.43202588113929807</v>
      </c>
      <c r="S189" s="54">
        <f t="shared" si="47"/>
        <v>121635.66659467337</v>
      </c>
      <c r="T189" s="56">
        <f t="shared" si="59"/>
        <v>85144.966616271355</v>
      </c>
      <c r="U189" s="66">
        <f t="shared" si="48"/>
        <v>33454.080000000002</v>
      </c>
      <c r="V189" s="54">
        <f t="shared" si="49"/>
        <v>51690.886616271353</v>
      </c>
      <c r="X189" s="67">
        <f t="shared" si="50"/>
        <v>5256.3148871947942</v>
      </c>
      <c r="Y189" s="67">
        <f t="shared" si="51"/>
        <v>-38856.314887194792</v>
      </c>
      <c r="Z189" s="67">
        <f t="shared" si="52"/>
        <v>-14856.314887194794</v>
      </c>
      <c r="AA189" s="68">
        <f t="shared" si="53"/>
        <v>-14856.314887194794</v>
      </c>
      <c r="AB189" s="68">
        <f t="shared" si="54"/>
        <v>-20856.314887194792</v>
      </c>
      <c r="AC189" s="69">
        <f t="shared" si="55"/>
        <v>12834.571729076561</v>
      </c>
      <c r="AD189" s="69">
        <f t="shared" si="56"/>
        <v>36834.571729076561</v>
      </c>
      <c r="AE189" s="69">
        <f t="shared" si="57"/>
        <v>36834.571729076561</v>
      </c>
      <c r="AF189" s="69">
        <f t="shared" si="58"/>
        <v>30834.571729076561</v>
      </c>
    </row>
    <row r="190" spans="1:32">
      <c r="A190" s="50" t="s">
        <v>320</v>
      </c>
      <c r="B190" s="50" t="s">
        <v>318</v>
      </c>
      <c r="C190" s="50" t="s">
        <v>94</v>
      </c>
      <c r="D190" s="50">
        <v>2</v>
      </c>
      <c r="E190" s="50">
        <v>3500</v>
      </c>
      <c r="F190" s="51">
        <v>0.50680000000000003</v>
      </c>
      <c r="G190" s="4">
        <f t="shared" si="40"/>
        <v>21285.600000000002</v>
      </c>
      <c r="H190" s="50">
        <v>593</v>
      </c>
      <c r="I190" s="51">
        <v>0.50680000000000003</v>
      </c>
      <c r="J190" s="50">
        <v>268</v>
      </c>
      <c r="K190" s="50">
        <v>1032</v>
      </c>
      <c r="L190">
        <f t="shared" si="41"/>
        <v>764</v>
      </c>
      <c r="M190">
        <f t="shared" si="42"/>
        <v>325</v>
      </c>
      <c r="N190" s="52">
        <f t="shared" si="43"/>
        <v>0.44031413612565451</v>
      </c>
      <c r="O190" s="53">
        <f t="shared" si="44"/>
        <v>0.50680000000000003</v>
      </c>
      <c r="P190" s="54">
        <v>599.33214922795071</v>
      </c>
      <c r="Q190" s="55">
        <f t="shared" si="45"/>
        <v>0.44694465887743529</v>
      </c>
      <c r="R190" s="55">
        <f t="shared" si="46"/>
        <v>0.49688799696439773</v>
      </c>
      <c r="S190" s="54">
        <f t="shared" si="47"/>
        <v>108697.34716837904</v>
      </c>
      <c r="T190" s="56">
        <f t="shared" si="59"/>
        <v>76088.143017865325</v>
      </c>
      <c r="U190" s="66">
        <f t="shared" si="48"/>
        <v>21285.600000000002</v>
      </c>
      <c r="V190" s="54">
        <f t="shared" si="49"/>
        <v>54802.543017865319</v>
      </c>
      <c r="X190" s="67">
        <f t="shared" si="50"/>
        <v>6045.470629733506</v>
      </c>
      <c r="Y190" s="67">
        <f t="shared" si="51"/>
        <v>-39645.470629733507</v>
      </c>
      <c r="Z190" s="67">
        <f t="shared" si="52"/>
        <v>-15645.470629733507</v>
      </c>
      <c r="AA190" s="68">
        <f t="shared" si="53"/>
        <v>-15645.470629733507</v>
      </c>
      <c r="AB190" s="68">
        <f t="shared" si="54"/>
        <v>-21645.470629733507</v>
      </c>
      <c r="AC190" s="69">
        <f t="shared" si="55"/>
        <v>15157.072388131812</v>
      </c>
      <c r="AD190" s="69">
        <f t="shared" si="56"/>
        <v>39157.072388131812</v>
      </c>
      <c r="AE190" s="69">
        <f t="shared" si="57"/>
        <v>39157.072388131812</v>
      </c>
      <c r="AF190" s="69">
        <f t="shared" si="58"/>
        <v>33157.072388131812</v>
      </c>
    </row>
    <row r="191" spans="1:32">
      <c r="A191" s="50" t="s">
        <v>321</v>
      </c>
      <c r="B191" s="50" t="s">
        <v>318</v>
      </c>
      <c r="C191" s="50" t="s">
        <v>85</v>
      </c>
      <c r="D191" s="50">
        <v>1</v>
      </c>
      <c r="E191" s="50">
        <v>3400</v>
      </c>
      <c r="F191" s="51">
        <v>0.28220000000000001</v>
      </c>
      <c r="G191" s="4">
        <f t="shared" si="40"/>
        <v>11513.76</v>
      </c>
      <c r="H191" s="50">
        <v>436</v>
      </c>
      <c r="I191" s="51">
        <v>0.28220000000000001</v>
      </c>
      <c r="J191" s="50">
        <v>106</v>
      </c>
      <c r="K191" s="50">
        <v>624</v>
      </c>
      <c r="L191">
        <f t="shared" si="41"/>
        <v>518</v>
      </c>
      <c r="M191">
        <f t="shared" si="42"/>
        <v>330</v>
      </c>
      <c r="N191" s="52">
        <f t="shared" si="43"/>
        <v>0.60965250965250961</v>
      </c>
      <c r="O191" s="53">
        <f t="shared" si="44"/>
        <v>0.28220000000000001</v>
      </c>
      <c r="P191" s="54">
        <v>368.5000693735314</v>
      </c>
      <c r="Q191" s="55">
        <f t="shared" si="45"/>
        <v>0.50540551254599442</v>
      </c>
      <c r="R191" s="55">
        <f t="shared" si="46"/>
        <v>0.45062207737110005</v>
      </c>
      <c r="S191" s="54">
        <f t="shared" si="47"/>
        <v>60609.807371960749</v>
      </c>
      <c r="T191" s="56">
        <f t="shared" si="59"/>
        <v>42426.865160372523</v>
      </c>
      <c r="U191" s="66">
        <f t="shared" si="48"/>
        <v>11513.76</v>
      </c>
      <c r="V191" s="54">
        <f t="shared" si="49"/>
        <v>30913.105160372521</v>
      </c>
      <c r="X191" s="67">
        <f t="shared" si="50"/>
        <v>5482.5686080150508</v>
      </c>
      <c r="Y191" s="67">
        <f t="shared" si="51"/>
        <v>-39082.568608015048</v>
      </c>
      <c r="Z191" s="67">
        <f t="shared" si="52"/>
        <v>-15082.568608015052</v>
      </c>
      <c r="AA191" s="68">
        <f t="shared" si="53"/>
        <v>-15082.568608015052</v>
      </c>
      <c r="AB191" s="68">
        <f t="shared" si="54"/>
        <v>-21082.568608015052</v>
      </c>
      <c r="AC191" s="69">
        <f t="shared" si="55"/>
        <v>-8169.4634476425272</v>
      </c>
      <c r="AD191" s="69">
        <f t="shared" si="56"/>
        <v>15830.536552357469</v>
      </c>
      <c r="AE191" s="69">
        <f t="shared" si="57"/>
        <v>15830.536552357469</v>
      </c>
      <c r="AF191" s="69">
        <f t="shared" si="58"/>
        <v>9830.5365523574692</v>
      </c>
    </row>
    <row r="192" spans="1:32">
      <c r="A192" s="50" t="s">
        <v>322</v>
      </c>
      <c r="B192" s="50" t="s">
        <v>323</v>
      </c>
      <c r="C192" s="50" t="s">
        <v>85</v>
      </c>
      <c r="D192" s="50">
        <v>2</v>
      </c>
      <c r="E192" s="50">
        <v>4200</v>
      </c>
      <c r="F192" s="51">
        <v>0.54249999999999998</v>
      </c>
      <c r="G192" s="4">
        <f t="shared" si="40"/>
        <v>27342</v>
      </c>
      <c r="H192" s="50">
        <v>426</v>
      </c>
      <c r="I192" s="51">
        <v>0.54249999999999998</v>
      </c>
      <c r="J192" s="50">
        <v>210</v>
      </c>
      <c r="K192" s="50">
        <v>654</v>
      </c>
      <c r="L192">
        <f t="shared" si="41"/>
        <v>444</v>
      </c>
      <c r="M192">
        <f t="shared" si="42"/>
        <v>216</v>
      </c>
      <c r="N192" s="52">
        <f t="shared" si="43"/>
        <v>0.48918918918918919</v>
      </c>
      <c r="O192" s="53">
        <f t="shared" si="44"/>
        <v>0.54249999999999998</v>
      </c>
      <c r="P192" s="54">
        <v>375.42863174874128</v>
      </c>
      <c r="Q192" s="55">
        <f t="shared" si="45"/>
        <v>0.39806960675448877</v>
      </c>
      <c r="R192" s="55">
        <f t="shared" si="46"/>
        <v>0.53556771321449759</v>
      </c>
      <c r="S192" s="54">
        <f t="shared" si="47"/>
        <v>73389.62063003621</v>
      </c>
      <c r="T192" s="56">
        <f t="shared" si="59"/>
        <v>51372.734441025343</v>
      </c>
      <c r="U192" s="66">
        <f t="shared" si="48"/>
        <v>27342</v>
      </c>
      <c r="V192" s="54">
        <f t="shared" si="49"/>
        <v>24030.734441025343</v>
      </c>
      <c r="X192" s="67">
        <f t="shared" si="50"/>
        <v>6516.073844109721</v>
      </c>
      <c r="Y192" s="67">
        <f t="shared" si="51"/>
        <v>-40116.07384410972</v>
      </c>
      <c r="Z192" s="67">
        <f t="shared" si="52"/>
        <v>-16116.07384410972</v>
      </c>
      <c r="AA192" s="68">
        <f t="shared" si="53"/>
        <v>-16116.07384410972</v>
      </c>
      <c r="AB192" s="68">
        <f t="shared" si="54"/>
        <v>-22116.07384410972</v>
      </c>
      <c r="AC192" s="69">
        <f t="shared" si="55"/>
        <v>-16085.339403084377</v>
      </c>
      <c r="AD192" s="69">
        <f t="shared" si="56"/>
        <v>7914.6605969156226</v>
      </c>
      <c r="AE192" s="69">
        <f t="shared" si="57"/>
        <v>7914.6605969156226</v>
      </c>
      <c r="AF192" s="69">
        <f t="shared" si="58"/>
        <v>1914.6605969156226</v>
      </c>
    </row>
    <row r="193" spans="1:32">
      <c r="A193" s="50" t="s">
        <v>324</v>
      </c>
      <c r="B193" s="50" t="s">
        <v>325</v>
      </c>
      <c r="C193" s="50" t="s">
        <v>85</v>
      </c>
      <c r="D193" s="50">
        <v>2</v>
      </c>
      <c r="E193" s="50">
        <v>1100</v>
      </c>
      <c r="F193" s="51">
        <v>8.2199999999999995E-2</v>
      </c>
      <c r="G193" s="4">
        <f t="shared" si="40"/>
        <v>1085.04</v>
      </c>
      <c r="H193" s="50">
        <v>142</v>
      </c>
      <c r="I193" s="51">
        <v>8.2199999999999995E-2</v>
      </c>
      <c r="J193" s="50">
        <v>111</v>
      </c>
      <c r="K193" s="50">
        <v>148</v>
      </c>
      <c r="L193">
        <f t="shared" si="41"/>
        <v>37</v>
      </c>
      <c r="M193">
        <f t="shared" si="42"/>
        <v>31</v>
      </c>
      <c r="N193" s="52">
        <f t="shared" si="43"/>
        <v>0.77027027027027029</v>
      </c>
      <c r="O193" s="53">
        <f t="shared" si="44"/>
        <v>8.2199999999999995E-2</v>
      </c>
      <c r="P193" s="54">
        <v>111</v>
      </c>
      <c r="Q193" s="55">
        <f t="shared" si="45"/>
        <v>0.1</v>
      </c>
      <c r="R193" s="55">
        <f t="shared" si="46"/>
        <v>0.77146000000000003</v>
      </c>
      <c r="S193" s="54">
        <f t="shared" si="47"/>
        <v>31255.7019</v>
      </c>
      <c r="T193" s="56">
        <f t="shared" si="59"/>
        <v>21878.991329999997</v>
      </c>
      <c r="U193" s="66">
        <f t="shared" si="48"/>
        <v>1085.04</v>
      </c>
      <c r="V193" s="54">
        <f t="shared" si="49"/>
        <v>20793.951329999996</v>
      </c>
      <c r="X193" s="67">
        <f t="shared" si="50"/>
        <v>9386.0966666666664</v>
      </c>
      <c r="Y193" s="67">
        <f t="shared" si="51"/>
        <v>-42986.096666666665</v>
      </c>
      <c r="Z193" s="67">
        <f t="shared" si="52"/>
        <v>-18986.096666666665</v>
      </c>
      <c r="AA193" s="68">
        <f t="shared" si="53"/>
        <v>-18986.096666666665</v>
      </c>
      <c r="AB193" s="68">
        <f t="shared" si="54"/>
        <v>-24986.096666666665</v>
      </c>
      <c r="AC193" s="69">
        <f t="shared" si="55"/>
        <v>-22192.145336666668</v>
      </c>
      <c r="AD193" s="69">
        <f t="shared" si="56"/>
        <v>1807.8546633333317</v>
      </c>
      <c r="AE193" s="69">
        <f t="shared" si="57"/>
        <v>1807.8546633333317</v>
      </c>
      <c r="AF193" s="69">
        <f t="shared" si="58"/>
        <v>-4192.1453366666683</v>
      </c>
    </row>
    <row r="194" spans="1:32">
      <c r="A194" s="50" t="s">
        <v>326</v>
      </c>
      <c r="B194" s="50" t="s">
        <v>323</v>
      </c>
      <c r="C194" s="50" t="s">
        <v>94</v>
      </c>
      <c r="D194" s="50">
        <v>1</v>
      </c>
      <c r="E194" s="50">
        <v>3000</v>
      </c>
      <c r="F194" s="51">
        <v>0.34789999999999999</v>
      </c>
      <c r="G194" s="4">
        <f t="shared" si="40"/>
        <v>12524.4</v>
      </c>
      <c r="H194" s="50">
        <v>621</v>
      </c>
      <c r="I194" s="51">
        <v>0.34789999999999999</v>
      </c>
      <c r="J194" s="50">
        <v>133</v>
      </c>
      <c r="K194" s="50">
        <v>1040</v>
      </c>
      <c r="L194">
        <f t="shared" si="41"/>
        <v>907</v>
      </c>
      <c r="M194">
        <f t="shared" si="42"/>
        <v>488</v>
      </c>
      <c r="N194" s="52">
        <f t="shared" si="43"/>
        <v>0.53042998897464166</v>
      </c>
      <c r="O194" s="53">
        <f t="shared" si="44"/>
        <v>0.34789999999999999</v>
      </c>
      <c r="P194" s="54">
        <v>618.92965990114487</v>
      </c>
      <c r="Q194" s="55">
        <f t="shared" si="45"/>
        <v>0.52860388965922378</v>
      </c>
      <c r="R194" s="55">
        <f t="shared" si="46"/>
        <v>0.43226288172369032</v>
      </c>
      <c r="S194" s="54">
        <f t="shared" si="47"/>
        <v>97652.216206193349</v>
      </c>
      <c r="T194" s="56">
        <f t="shared" si="59"/>
        <v>68356.551344335341</v>
      </c>
      <c r="U194" s="66">
        <f t="shared" si="48"/>
        <v>12524.4</v>
      </c>
      <c r="V194" s="54">
        <f t="shared" si="49"/>
        <v>55832.15134433534</v>
      </c>
      <c r="X194" s="67">
        <f t="shared" si="50"/>
        <v>5259.198394304899</v>
      </c>
      <c r="Y194" s="67">
        <f t="shared" si="51"/>
        <v>-38859.198394304898</v>
      </c>
      <c r="Z194" s="67">
        <f t="shared" si="52"/>
        <v>-14859.198394304898</v>
      </c>
      <c r="AA194" s="68">
        <f t="shared" si="53"/>
        <v>-14859.198394304898</v>
      </c>
      <c r="AB194" s="68">
        <f t="shared" si="54"/>
        <v>-20859.198394304898</v>
      </c>
      <c r="AC194" s="69">
        <f t="shared" si="55"/>
        <v>16972.952950030442</v>
      </c>
      <c r="AD194" s="69">
        <f t="shared" si="56"/>
        <v>40972.952950030442</v>
      </c>
      <c r="AE194" s="69">
        <f t="shared" si="57"/>
        <v>40972.952950030442</v>
      </c>
      <c r="AF194" s="69">
        <f t="shared" si="58"/>
        <v>34972.952950030442</v>
      </c>
    </row>
    <row r="195" spans="1:32">
      <c r="A195" s="50" t="s">
        <v>327</v>
      </c>
      <c r="B195" s="50" t="s">
        <v>323</v>
      </c>
      <c r="C195" s="50" t="s">
        <v>94</v>
      </c>
      <c r="D195" s="50">
        <v>2</v>
      </c>
      <c r="E195" s="50">
        <v>3900</v>
      </c>
      <c r="F195" s="51">
        <v>0.47670000000000001</v>
      </c>
      <c r="G195" s="4">
        <f t="shared" si="40"/>
        <v>22309.56</v>
      </c>
      <c r="H195" s="50">
        <v>535</v>
      </c>
      <c r="I195" s="51">
        <v>0.47670000000000001</v>
      </c>
      <c r="J195" s="50">
        <v>231</v>
      </c>
      <c r="K195" s="50">
        <v>888</v>
      </c>
      <c r="L195">
        <f t="shared" si="41"/>
        <v>657</v>
      </c>
      <c r="M195">
        <f t="shared" si="42"/>
        <v>304</v>
      </c>
      <c r="N195" s="52">
        <f t="shared" si="43"/>
        <v>0.4701674277016743</v>
      </c>
      <c r="O195" s="53">
        <f t="shared" si="44"/>
        <v>0.47670000000000001</v>
      </c>
      <c r="P195" s="54">
        <v>515.66128566874534</v>
      </c>
      <c r="Q195" s="55">
        <f t="shared" si="45"/>
        <v>0.446619525928457</v>
      </c>
      <c r="R195" s="55">
        <f t="shared" si="46"/>
        <v>0.49714530718021915</v>
      </c>
      <c r="S195" s="54">
        <f t="shared" si="47"/>
        <v>93570.884716628323</v>
      </c>
      <c r="T195" s="56">
        <f t="shared" si="59"/>
        <v>65499.619301639825</v>
      </c>
      <c r="U195" s="66">
        <f t="shared" si="48"/>
        <v>22309.56</v>
      </c>
      <c r="V195" s="54">
        <f t="shared" si="49"/>
        <v>43190.05930163982</v>
      </c>
      <c r="X195" s="67">
        <f t="shared" si="50"/>
        <v>6048.601237359333</v>
      </c>
      <c r="Y195" s="67">
        <f t="shared" si="51"/>
        <v>-39648.601237359333</v>
      </c>
      <c r="Z195" s="67">
        <f t="shared" si="52"/>
        <v>-15648.601237359333</v>
      </c>
      <c r="AA195" s="68">
        <f t="shared" si="53"/>
        <v>-15648.601237359333</v>
      </c>
      <c r="AB195" s="68">
        <f t="shared" si="54"/>
        <v>-21648.601237359333</v>
      </c>
      <c r="AC195" s="69">
        <f t="shared" si="55"/>
        <v>3541.4580642804867</v>
      </c>
      <c r="AD195" s="69">
        <f t="shared" si="56"/>
        <v>27541.458064280487</v>
      </c>
      <c r="AE195" s="69">
        <f t="shared" si="57"/>
        <v>27541.458064280487</v>
      </c>
      <c r="AF195" s="69">
        <f t="shared" si="58"/>
        <v>21541.458064280487</v>
      </c>
    </row>
    <row r="196" spans="1:32">
      <c r="A196" s="50" t="s">
        <v>328</v>
      </c>
      <c r="B196" s="50" t="s">
        <v>323</v>
      </c>
      <c r="C196" s="50" t="s">
        <v>85</v>
      </c>
      <c r="D196" s="50">
        <v>1</v>
      </c>
      <c r="E196" s="50">
        <v>3600</v>
      </c>
      <c r="F196" s="51">
        <v>0.77810000000000001</v>
      </c>
      <c r="G196" s="4">
        <f t="shared" si="40"/>
        <v>33613.919999999998</v>
      </c>
      <c r="H196" s="50">
        <v>196</v>
      </c>
      <c r="I196" s="51">
        <v>0.77810000000000001</v>
      </c>
      <c r="J196" s="50">
        <v>137</v>
      </c>
      <c r="K196" s="50">
        <v>808</v>
      </c>
      <c r="L196">
        <f t="shared" si="41"/>
        <v>671</v>
      </c>
      <c r="M196">
        <f t="shared" si="42"/>
        <v>59</v>
      </c>
      <c r="N196" s="52">
        <f t="shared" si="43"/>
        <v>0.17034277198211625</v>
      </c>
      <c r="O196" s="53">
        <f t="shared" si="44"/>
        <v>0.77810000000000001</v>
      </c>
      <c r="P196" s="54">
        <v>477.18831509775981</v>
      </c>
      <c r="Q196" s="55">
        <f t="shared" si="45"/>
        <v>0.50558964542206841</v>
      </c>
      <c r="R196" s="55">
        <f t="shared" si="46"/>
        <v>0.45047635461297508</v>
      </c>
      <c r="S196" s="54">
        <f t="shared" si="47"/>
        <v>78461.149216938487</v>
      </c>
      <c r="T196" s="56">
        <f t="shared" si="59"/>
        <v>54922.804451856937</v>
      </c>
      <c r="U196" s="66">
        <f t="shared" si="48"/>
        <v>33613.919999999998</v>
      </c>
      <c r="V196" s="54">
        <f t="shared" si="49"/>
        <v>21308.884451856939</v>
      </c>
      <c r="X196" s="67">
        <f t="shared" si="50"/>
        <v>5480.7956477911976</v>
      </c>
      <c r="Y196" s="67">
        <f t="shared" si="51"/>
        <v>-39080.795647791194</v>
      </c>
      <c r="Z196" s="67">
        <f t="shared" si="52"/>
        <v>-15080.795647791198</v>
      </c>
      <c r="AA196" s="68">
        <f t="shared" si="53"/>
        <v>-15080.795647791198</v>
      </c>
      <c r="AB196" s="68">
        <f t="shared" si="54"/>
        <v>-21080.795647791198</v>
      </c>
      <c r="AC196" s="69">
        <f t="shared" si="55"/>
        <v>-17771.911195934255</v>
      </c>
      <c r="AD196" s="69">
        <f t="shared" si="56"/>
        <v>6228.088804065741</v>
      </c>
      <c r="AE196" s="69">
        <f t="shared" si="57"/>
        <v>6228.088804065741</v>
      </c>
      <c r="AF196" s="69">
        <f t="shared" si="58"/>
        <v>228.08880406574099</v>
      </c>
    </row>
    <row r="197" spans="1:32">
      <c r="A197" s="50" t="s">
        <v>329</v>
      </c>
      <c r="B197" s="50" t="s">
        <v>330</v>
      </c>
      <c r="C197" s="50" t="s">
        <v>85</v>
      </c>
      <c r="D197" s="50">
        <v>2</v>
      </c>
      <c r="E197" s="50">
        <v>3500</v>
      </c>
      <c r="F197" s="51">
        <v>0.39729999999999999</v>
      </c>
      <c r="G197" s="4">
        <f t="shared" ref="G197:G247" si="60">(E197*12)*F197</f>
        <v>16686.599999999999</v>
      </c>
      <c r="H197" s="50">
        <v>294</v>
      </c>
      <c r="I197" s="51">
        <v>0.39729999999999999</v>
      </c>
      <c r="J197" s="50">
        <v>155</v>
      </c>
      <c r="K197" s="50">
        <v>483</v>
      </c>
      <c r="L197">
        <f t="shared" ref="L197:L247" si="61">K197-J197</f>
        <v>328</v>
      </c>
      <c r="M197">
        <f t="shared" ref="M197:M247" si="62">H197-J197</f>
        <v>139</v>
      </c>
      <c r="N197" s="52">
        <f t="shared" ref="N197:N247" si="63">((0.8*M197))/(L197)+0.1</f>
        <v>0.4390243902439025</v>
      </c>
      <c r="O197" s="53">
        <f t="shared" ref="O197:O247" si="64">I197</f>
        <v>0.39729999999999999</v>
      </c>
      <c r="P197" s="54">
        <v>277.27610633690796</v>
      </c>
      <c r="Q197" s="55">
        <f t="shared" ref="Q197:Q247" si="65">0.1+0.8*(P197-J197)/(K197-J197)</f>
        <v>0.39823440569977553</v>
      </c>
      <c r="R197" s="55">
        <f t="shared" ref="R197:R246" si="66">($Q$2*Q197)+$R$2</f>
        <v>0.5354372913291976</v>
      </c>
      <c r="S197" s="54">
        <f t="shared" ref="S197:S247" si="67">365*P197*R197</f>
        <v>54189.348074479305</v>
      </c>
      <c r="T197" s="56">
        <f t="shared" si="59"/>
        <v>37932.543652135508</v>
      </c>
      <c r="U197" s="66">
        <f t="shared" ref="U197:U247" si="68">E197*12*F197</f>
        <v>16686.599999999999</v>
      </c>
      <c r="V197" s="54">
        <f t="shared" ref="V197:V247" si="69">T197-U197</f>
        <v>21245.943652135509</v>
      </c>
      <c r="X197" s="67">
        <f t="shared" ref="X197:X248" si="70">(R197)*(365/$W$23)*($W$21)</f>
        <v>6514.4870445052375</v>
      </c>
      <c r="Y197" s="67">
        <f t="shared" ref="Y197:Y247" si="71">-($W$7)-$W$13-(X197)</f>
        <v>-40114.487044505237</v>
      </c>
      <c r="Z197" s="67">
        <f t="shared" ref="Z197:Z247" si="72">-($W$13)-X197-$W$18</f>
        <v>-16114.487044505237</v>
      </c>
      <c r="AA197" s="68">
        <f t="shared" ref="AA197:AA247" si="73">-(($W$7)/($W$9))-$W$13-X197</f>
        <v>-16114.487044505237</v>
      </c>
      <c r="AB197" s="68">
        <f t="shared" ref="AB197:AB247" si="74">-(($W$7)/($W$9))-($W$13)-X197-$W$18</f>
        <v>-22114.487044505237</v>
      </c>
      <c r="AC197" s="69">
        <f t="shared" ref="AC197:AC247" si="75">(V197)+Y197</f>
        <v>-18868.543392369727</v>
      </c>
      <c r="AD197" s="69">
        <f t="shared" ref="AD197:AD247" si="76">(V197)+(Z197)</f>
        <v>5131.4566076302726</v>
      </c>
      <c r="AE197" s="69">
        <f t="shared" ref="AE197:AE247" si="77">(V197)+(AA197)</f>
        <v>5131.4566076302726</v>
      </c>
      <c r="AF197" s="69">
        <f t="shared" ref="AF197:AF247" si="78">(V197)+(AB197)</f>
        <v>-868.54339236972737</v>
      </c>
    </row>
    <row r="198" spans="1:32">
      <c r="A198" s="50" t="s">
        <v>331</v>
      </c>
      <c r="B198" s="50" t="s">
        <v>330</v>
      </c>
      <c r="C198" s="50" t="s">
        <v>94</v>
      </c>
      <c r="D198" s="50">
        <v>1</v>
      </c>
      <c r="E198" s="50">
        <v>2500</v>
      </c>
      <c r="F198" s="51">
        <v>0.6</v>
      </c>
      <c r="G198" s="4">
        <f t="shared" si="60"/>
        <v>18000</v>
      </c>
      <c r="H198" s="50">
        <v>471</v>
      </c>
      <c r="I198" s="51">
        <v>0.6</v>
      </c>
      <c r="J198" s="50">
        <v>111</v>
      </c>
      <c r="K198" s="50">
        <v>868</v>
      </c>
      <c r="L198">
        <f t="shared" si="61"/>
        <v>757</v>
      </c>
      <c r="M198">
        <f t="shared" si="62"/>
        <v>360</v>
      </c>
      <c r="N198" s="52">
        <f t="shared" si="63"/>
        <v>0.480449141347424</v>
      </c>
      <c r="O198" s="53">
        <f t="shared" si="64"/>
        <v>0.6</v>
      </c>
      <c r="P198" s="54">
        <v>516.56863566170534</v>
      </c>
      <c r="Q198" s="55">
        <f t="shared" si="65"/>
        <v>0.52860621998595014</v>
      </c>
      <c r="R198" s="55">
        <f t="shared" si="66"/>
        <v>0.43226103750311906</v>
      </c>
      <c r="S198" s="54">
        <f t="shared" si="67"/>
        <v>81501.760453335301</v>
      </c>
      <c r="T198" s="56">
        <f t="shared" si="59"/>
        <v>57051.23231733471</v>
      </c>
      <c r="U198" s="66">
        <f t="shared" si="68"/>
        <v>18000</v>
      </c>
      <c r="V198" s="54">
        <f t="shared" si="69"/>
        <v>39051.23231733471</v>
      </c>
      <c r="X198" s="67">
        <f t="shared" si="70"/>
        <v>5259.1759562879488</v>
      </c>
      <c r="Y198" s="67">
        <f t="shared" si="71"/>
        <v>-38859.175956287945</v>
      </c>
      <c r="Z198" s="67">
        <f t="shared" si="72"/>
        <v>-14859.175956287949</v>
      </c>
      <c r="AA198" s="68">
        <f t="shared" si="73"/>
        <v>-14859.175956287949</v>
      </c>
      <c r="AB198" s="68">
        <f t="shared" si="74"/>
        <v>-20859.175956287949</v>
      </c>
      <c r="AC198" s="69">
        <f t="shared" si="75"/>
        <v>192.05636104676523</v>
      </c>
      <c r="AD198" s="69">
        <f t="shared" si="76"/>
        <v>24192.056361046762</v>
      </c>
      <c r="AE198" s="69">
        <f t="shared" si="77"/>
        <v>24192.056361046762</v>
      </c>
      <c r="AF198" s="69">
        <f t="shared" si="78"/>
        <v>18192.056361046762</v>
      </c>
    </row>
    <row r="199" spans="1:32">
      <c r="A199" s="50" t="s">
        <v>332</v>
      </c>
      <c r="B199" s="50" t="s">
        <v>330</v>
      </c>
      <c r="C199" s="50" t="s">
        <v>94</v>
      </c>
      <c r="D199" s="50">
        <v>2</v>
      </c>
      <c r="E199" s="50">
        <v>3000</v>
      </c>
      <c r="F199" s="51">
        <v>0.29320000000000002</v>
      </c>
      <c r="G199" s="4">
        <f t="shared" si="60"/>
        <v>10555.2</v>
      </c>
      <c r="H199" s="50">
        <v>620</v>
      </c>
      <c r="I199" s="51">
        <v>0.29320000000000002</v>
      </c>
      <c r="J199" s="50">
        <v>195</v>
      </c>
      <c r="K199" s="50">
        <v>752</v>
      </c>
      <c r="L199">
        <f t="shared" si="61"/>
        <v>557</v>
      </c>
      <c r="M199">
        <f t="shared" si="62"/>
        <v>425</v>
      </c>
      <c r="N199" s="52">
        <f t="shared" si="63"/>
        <v>0.71041292639138243</v>
      </c>
      <c r="O199" s="53">
        <f t="shared" si="64"/>
        <v>0.29320000000000002</v>
      </c>
      <c r="P199" s="54">
        <v>436.75393717578572</v>
      </c>
      <c r="Q199" s="55">
        <f t="shared" si="65"/>
        <v>0.44722289001908189</v>
      </c>
      <c r="R199" s="55">
        <f t="shared" si="66"/>
        <v>0.49666780483889861</v>
      </c>
      <c r="S199" s="54">
        <f t="shared" si="67"/>
        <v>79176.39101962297</v>
      </c>
      <c r="T199" s="56">
        <f t="shared" si="59"/>
        <v>55423.473713736079</v>
      </c>
      <c r="U199" s="66">
        <f t="shared" si="68"/>
        <v>10555.2</v>
      </c>
      <c r="V199" s="54">
        <f t="shared" si="69"/>
        <v>44868.273713736082</v>
      </c>
      <c r="X199" s="67">
        <f t="shared" si="70"/>
        <v>6042.7916255399332</v>
      </c>
      <c r="Y199" s="67">
        <f t="shared" si="71"/>
        <v>-39642.791625539932</v>
      </c>
      <c r="Z199" s="67">
        <f t="shared" si="72"/>
        <v>-15642.791625539932</v>
      </c>
      <c r="AA199" s="68">
        <f t="shared" si="73"/>
        <v>-15642.791625539932</v>
      </c>
      <c r="AB199" s="68">
        <f t="shared" si="74"/>
        <v>-21642.791625539932</v>
      </c>
      <c r="AC199" s="69">
        <f t="shared" si="75"/>
        <v>5225.4820881961496</v>
      </c>
      <c r="AD199" s="69">
        <f t="shared" si="76"/>
        <v>29225.48208819615</v>
      </c>
      <c r="AE199" s="69">
        <f t="shared" si="77"/>
        <v>29225.48208819615</v>
      </c>
      <c r="AF199" s="69">
        <f t="shared" si="78"/>
        <v>23225.48208819615</v>
      </c>
    </row>
    <row r="200" spans="1:32">
      <c r="A200" s="50" t="s">
        <v>333</v>
      </c>
      <c r="B200" s="50" t="s">
        <v>330</v>
      </c>
      <c r="C200" s="50" t="s">
        <v>85</v>
      </c>
      <c r="D200" s="50">
        <v>1</v>
      </c>
      <c r="E200" s="50">
        <v>3000</v>
      </c>
      <c r="F200" s="51">
        <v>0.6411</v>
      </c>
      <c r="G200" s="4">
        <f t="shared" si="60"/>
        <v>23079.599999999999</v>
      </c>
      <c r="H200" s="50">
        <v>235</v>
      </c>
      <c r="I200" s="51">
        <v>0.6411</v>
      </c>
      <c r="J200" s="50">
        <v>80</v>
      </c>
      <c r="K200" s="50">
        <v>469</v>
      </c>
      <c r="L200">
        <f t="shared" si="61"/>
        <v>389</v>
      </c>
      <c r="M200">
        <f t="shared" si="62"/>
        <v>155</v>
      </c>
      <c r="N200" s="52">
        <f t="shared" si="63"/>
        <v>0.41876606683804629</v>
      </c>
      <c r="O200" s="53">
        <f t="shared" si="64"/>
        <v>0.6411</v>
      </c>
      <c r="P200" s="54">
        <v>276.92959002761341</v>
      </c>
      <c r="Q200" s="55">
        <f t="shared" si="65"/>
        <v>0.5049965861750404</v>
      </c>
      <c r="R200" s="55">
        <f t="shared" si="66"/>
        <v>0.45094570170107307</v>
      </c>
      <c r="S200" s="54">
        <f t="shared" si="67"/>
        <v>45581.276028329303</v>
      </c>
      <c r="T200" s="56">
        <f t="shared" si="59"/>
        <v>31906.893219830508</v>
      </c>
      <c r="U200" s="66">
        <f t="shared" si="68"/>
        <v>23079.599999999999</v>
      </c>
      <c r="V200" s="54">
        <f t="shared" si="69"/>
        <v>8827.2932198305098</v>
      </c>
      <c r="X200" s="67">
        <f t="shared" si="70"/>
        <v>5486.5060373630558</v>
      </c>
      <c r="Y200" s="67">
        <f t="shared" si="71"/>
        <v>-39086.506037363055</v>
      </c>
      <c r="Z200" s="67">
        <f t="shared" si="72"/>
        <v>-15086.506037363055</v>
      </c>
      <c r="AA200" s="68">
        <f t="shared" si="73"/>
        <v>-15086.506037363055</v>
      </c>
      <c r="AB200" s="68">
        <f t="shared" si="74"/>
        <v>-21086.506037363055</v>
      </c>
      <c r="AC200" s="69">
        <f t="shared" si="75"/>
        <v>-30259.212817532545</v>
      </c>
      <c r="AD200" s="69">
        <f t="shared" si="76"/>
        <v>-6259.2128175325452</v>
      </c>
      <c r="AE200" s="69">
        <f t="shared" si="77"/>
        <v>-6259.2128175325452</v>
      </c>
      <c r="AF200" s="69">
        <f t="shared" si="78"/>
        <v>-12259.212817532545</v>
      </c>
    </row>
    <row r="201" spans="1:32">
      <c r="A201" s="50" t="s">
        <v>334</v>
      </c>
      <c r="B201" s="50" t="s">
        <v>335</v>
      </c>
      <c r="C201" s="50" t="s">
        <v>85</v>
      </c>
      <c r="D201" s="50">
        <v>2</v>
      </c>
      <c r="E201" s="50">
        <v>3900</v>
      </c>
      <c r="F201" s="51">
        <v>0.50409999999999999</v>
      </c>
      <c r="G201" s="4">
        <f t="shared" si="60"/>
        <v>23591.88</v>
      </c>
      <c r="H201" s="50">
        <v>284</v>
      </c>
      <c r="I201" s="51">
        <v>0.50409999999999999</v>
      </c>
      <c r="J201" s="50">
        <v>116</v>
      </c>
      <c r="K201" s="50">
        <v>361</v>
      </c>
      <c r="L201">
        <f t="shared" si="61"/>
        <v>245</v>
      </c>
      <c r="M201">
        <f t="shared" si="62"/>
        <v>168</v>
      </c>
      <c r="N201" s="52">
        <f t="shared" si="63"/>
        <v>0.64857142857142858</v>
      </c>
      <c r="O201" s="53">
        <f t="shared" si="64"/>
        <v>0.50409999999999999</v>
      </c>
      <c r="P201" s="54">
        <v>207.22300624212644</v>
      </c>
      <c r="Q201" s="55">
        <f t="shared" si="65"/>
        <v>0.39787104079061697</v>
      </c>
      <c r="R201" s="55">
        <f t="shared" si="66"/>
        <v>0.53572485831830574</v>
      </c>
      <c r="S201" s="54">
        <f t="shared" si="67"/>
        <v>40520.298215665156</v>
      </c>
      <c r="T201" s="56">
        <f t="shared" ref="T201:T247" si="79">S201*(1-$T$1)</f>
        <v>28364.208750965608</v>
      </c>
      <c r="U201" s="66">
        <f t="shared" si="68"/>
        <v>23591.88</v>
      </c>
      <c r="V201" s="54">
        <f t="shared" si="69"/>
        <v>4772.3287509656075</v>
      </c>
      <c r="X201" s="67">
        <f t="shared" si="70"/>
        <v>6517.9857762060537</v>
      </c>
      <c r="Y201" s="67">
        <f t="shared" si="71"/>
        <v>-40117.985776206056</v>
      </c>
      <c r="Z201" s="67">
        <f t="shared" si="72"/>
        <v>-16117.985776206053</v>
      </c>
      <c r="AA201" s="68">
        <f t="shared" si="73"/>
        <v>-16117.985776206053</v>
      </c>
      <c r="AB201" s="68">
        <f t="shared" si="74"/>
        <v>-22117.985776206053</v>
      </c>
      <c r="AC201" s="69">
        <f t="shared" si="75"/>
        <v>-35345.657025240449</v>
      </c>
      <c r="AD201" s="69">
        <f t="shared" si="76"/>
        <v>-11345.657025240445</v>
      </c>
      <c r="AE201" s="69">
        <f t="shared" si="77"/>
        <v>-11345.657025240445</v>
      </c>
      <c r="AF201" s="69">
        <f t="shared" si="78"/>
        <v>-17345.657025240445</v>
      </c>
    </row>
    <row r="202" spans="1:32">
      <c r="A202" s="50" t="s">
        <v>336</v>
      </c>
      <c r="B202" s="50" t="s">
        <v>335</v>
      </c>
      <c r="C202" s="50" t="s">
        <v>94</v>
      </c>
      <c r="D202" s="50">
        <v>1</v>
      </c>
      <c r="E202" s="50">
        <v>2800</v>
      </c>
      <c r="F202" s="51">
        <v>0.4027</v>
      </c>
      <c r="G202" s="4">
        <f t="shared" si="60"/>
        <v>13530.72</v>
      </c>
      <c r="H202" s="50">
        <v>355</v>
      </c>
      <c r="I202" s="51">
        <v>0.4027</v>
      </c>
      <c r="J202" s="50">
        <v>102</v>
      </c>
      <c r="K202" s="50">
        <v>799</v>
      </c>
      <c r="L202">
        <f t="shared" si="61"/>
        <v>697</v>
      </c>
      <c r="M202">
        <f t="shared" si="62"/>
        <v>253</v>
      </c>
      <c r="N202" s="52">
        <f t="shared" si="63"/>
        <v>0.39038737446197991</v>
      </c>
      <c r="O202" s="53">
        <f t="shared" si="64"/>
        <v>0.4027</v>
      </c>
      <c r="P202" s="54">
        <v>475.52422596592936</v>
      </c>
      <c r="Q202" s="55">
        <f t="shared" si="65"/>
        <v>0.5287222105778242</v>
      </c>
      <c r="R202" s="55">
        <f t="shared" si="66"/>
        <v>0.43216924254870998</v>
      </c>
      <c r="S202" s="54">
        <f t="shared" si="67"/>
        <v>75010.034760478913</v>
      </c>
      <c r="T202" s="56">
        <f t="shared" si="79"/>
        <v>52507.024332335233</v>
      </c>
      <c r="U202" s="66">
        <f t="shared" si="68"/>
        <v>13530.72</v>
      </c>
      <c r="V202" s="54">
        <f t="shared" si="69"/>
        <v>38976.304332335232</v>
      </c>
      <c r="X202" s="67">
        <f t="shared" si="70"/>
        <v>5258.0591176759717</v>
      </c>
      <c r="Y202" s="67">
        <f t="shared" si="71"/>
        <v>-38858.05911767597</v>
      </c>
      <c r="Z202" s="67">
        <f t="shared" si="72"/>
        <v>-14858.059117675972</v>
      </c>
      <c r="AA202" s="68">
        <f t="shared" si="73"/>
        <v>-14858.059117675972</v>
      </c>
      <c r="AB202" s="68">
        <f t="shared" si="74"/>
        <v>-20858.05911767597</v>
      </c>
      <c r="AC202" s="69">
        <f t="shared" si="75"/>
        <v>118.24521465926227</v>
      </c>
      <c r="AD202" s="69">
        <f t="shared" si="76"/>
        <v>24118.245214659262</v>
      </c>
      <c r="AE202" s="69">
        <f t="shared" si="77"/>
        <v>24118.245214659262</v>
      </c>
      <c r="AF202" s="69">
        <f t="shared" si="78"/>
        <v>18118.245214659262</v>
      </c>
    </row>
    <row r="203" spans="1:32">
      <c r="A203" s="50" t="s">
        <v>337</v>
      </c>
      <c r="B203" s="50" t="s">
        <v>335</v>
      </c>
      <c r="C203" s="50" t="s">
        <v>94</v>
      </c>
      <c r="D203" s="50">
        <v>2</v>
      </c>
      <c r="E203" s="50">
        <v>3500</v>
      </c>
      <c r="F203" s="51">
        <v>0.50680000000000003</v>
      </c>
      <c r="G203" s="4">
        <f t="shared" si="60"/>
        <v>21285.600000000002</v>
      </c>
      <c r="H203" s="50">
        <v>436</v>
      </c>
      <c r="I203" s="51">
        <v>0.50680000000000003</v>
      </c>
      <c r="J203" s="50">
        <v>188</v>
      </c>
      <c r="K203" s="50">
        <v>724</v>
      </c>
      <c r="L203">
        <f t="shared" si="61"/>
        <v>536</v>
      </c>
      <c r="M203">
        <f t="shared" si="62"/>
        <v>248</v>
      </c>
      <c r="N203" s="52">
        <f t="shared" si="63"/>
        <v>0.47014925373134331</v>
      </c>
      <c r="O203" s="53">
        <f t="shared" si="64"/>
        <v>0.50680000000000003</v>
      </c>
      <c r="P203" s="54">
        <v>420.46339328226424</v>
      </c>
      <c r="Q203" s="55">
        <f t="shared" si="65"/>
        <v>0.44696028848099145</v>
      </c>
      <c r="R203" s="55">
        <f t="shared" si="66"/>
        <v>0.49687562769614341</v>
      </c>
      <c r="S203" s="54">
        <f t="shared" si="67"/>
        <v>76255.074548037039</v>
      </c>
      <c r="T203" s="56">
        <f t="shared" si="79"/>
        <v>53378.552183625921</v>
      </c>
      <c r="U203" s="66">
        <f t="shared" si="68"/>
        <v>21285.600000000002</v>
      </c>
      <c r="V203" s="54">
        <f t="shared" si="69"/>
        <v>32092.952183625919</v>
      </c>
      <c r="X203" s="67">
        <f t="shared" si="70"/>
        <v>6045.3201369697454</v>
      </c>
      <c r="Y203" s="67">
        <f t="shared" si="71"/>
        <v>-39645.320136969749</v>
      </c>
      <c r="Z203" s="67">
        <f t="shared" si="72"/>
        <v>-15645.320136969745</v>
      </c>
      <c r="AA203" s="68">
        <f t="shared" si="73"/>
        <v>-15645.320136969745</v>
      </c>
      <c r="AB203" s="68">
        <f t="shared" si="74"/>
        <v>-21645.320136969745</v>
      </c>
      <c r="AC203" s="69">
        <f t="shared" si="75"/>
        <v>-7552.3679533438299</v>
      </c>
      <c r="AD203" s="69">
        <f t="shared" si="76"/>
        <v>16447.632046656174</v>
      </c>
      <c r="AE203" s="69">
        <f t="shared" si="77"/>
        <v>16447.632046656174</v>
      </c>
      <c r="AF203" s="69">
        <f t="shared" si="78"/>
        <v>10447.632046656174</v>
      </c>
    </row>
    <row r="204" spans="1:32">
      <c r="A204" s="50" t="s">
        <v>338</v>
      </c>
      <c r="B204" s="50" t="s">
        <v>325</v>
      </c>
      <c r="C204" s="50" t="s">
        <v>94</v>
      </c>
      <c r="D204" s="50">
        <v>1</v>
      </c>
      <c r="E204" s="50">
        <v>900</v>
      </c>
      <c r="F204" s="51">
        <v>0.54790000000000005</v>
      </c>
      <c r="G204" s="4">
        <f t="shared" si="60"/>
        <v>5917.3200000000006</v>
      </c>
      <c r="H204" s="50">
        <v>141</v>
      </c>
      <c r="I204" s="51">
        <v>0.54790000000000005</v>
      </c>
      <c r="J204" s="50">
        <v>116</v>
      </c>
      <c r="K204" s="50">
        <v>296</v>
      </c>
      <c r="L204">
        <f t="shared" si="61"/>
        <v>180</v>
      </c>
      <c r="M204">
        <f t="shared" si="62"/>
        <v>25</v>
      </c>
      <c r="N204" s="52">
        <f t="shared" si="63"/>
        <v>0.21111111111111111</v>
      </c>
      <c r="O204" s="53">
        <f t="shared" si="64"/>
        <v>0.54790000000000005</v>
      </c>
      <c r="P204" s="54">
        <v>167.63322938520568</v>
      </c>
      <c r="Q204" s="55">
        <f t="shared" si="65"/>
        <v>0.32948101948980307</v>
      </c>
      <c r="R204" s="55">
        <f t="shared" si="66"/>
        <v>0.58984872117576992</v>
      </c>
      <c r="S204" s="54">
        <f t="shared" si="67"/>
        <v>36090.55978249124</v>
      </c>
      <c r="T204" s="56">
        <f t="shared" si="79"/>
        <v>25263.391847743867</v>
      </c>
      <c r="U204" s="66">
        <f t="shared" si="68"/>
        <v>5917.3200000000006</v>
      </c>
      <c r="V204" s="54">
        <f t="shared" si="69"/>
        <v>19346.071847743868</v>
      </c>
      <c r="X204" s="67">
        <f t="shared" si="70"/>
        <v>7176.4927743052012</v>
      </c>
      <c r="Y204" s="67">
        <f t="shared" si="71"/>
        <v>-40776.492774305203</v>
      </c>
      <c r="Z204" s="67">
        <f t="shared" si="72"/>
        <v>-16776.492774305203</v>
      </c>
      <c r="AA204" s="68">
        <f t="shared" si="73"/>
        <v>-16776.492774305203</v>
      </c>
      <c r="AB204" s="68">
        <f t="shared" si="74"/>
        <v>-22776.492774305203</v>
      </c>
      <c r="AC204" s="69">
        <f t="shared" si="75"/>
        <v>-21430.420926561335</v>
      </c>
      <c r="AD204" s="69">
        <f t="shared" si="76"/>
        <v>2569.5790734386646</v>
      </c>
      <c r="AE204" s="69">
        <f t="shared" si="77"/>
        <v>2569.5790734386646</v>
      </c>
      <c r="AF204" s="69">
        <f t="shared" si="78"/>
        <v>-3430.4209265613354</v>
      </c>
    </row>
    <row r="205" spans="1:32">
      <c r="A205" s="50" t="s">
        <v>339</v>
      </c>
      <c r="B205" s="50" t="s">
        <v>335</v>
      </c>
      <c r="C205" s="50" t="s">
        <v>85</v>
      </c>
      <c r="D205" s="50">
        <v>1</v>
      </c>
      <c r="E205" s="50">
        <v>2600</v>
      </c>
      <c r="F205" s="51">
        <v>0.36990000000000001</v>
      </c>
      <c r="G205" s="4">
        <f t="shared" si="60"/>
        <v>11540.880000000001</v>
      </c>
      <c r="H205" s="50">
        <v>250</v>
      </c>
      <c r="I205" s="51">
        <v>0.36990000000000001</v>
      </c>
      <c r="J205" s="50">
        <v>69</v>
      </c>
      <c r="K205" s="50">
        <v>406</v>
      </c>
      <c r="L205">
        <f t="shared" si="61"/>
        <v>337</v>
      </c>
      <c r="M205">
        <f t="shared" si="62"/>
        <v>181</v>
      </c>
      <c r="N205" s="52">
        <f t="shared" si="63"/>
        <v>0.52967359050445106</v>
      </c>
      <c r="O205" s="53">
        <f t="shared" si="64"/>
        <v>0.36990000000000001</v>
      </c>
      <c r="P205" s="54">
        <v>239.75776706052241</v>
      </c>
      <c r="Q205" s="55">
        <f t="shared" si="65"/>
        <v>0.50535968441667045</v>
      </c>
      <c r="R205" s="55">
        <f t="shared" si="66"/>
        <v>0.45065834575264702</v>
      </c>
      <c r="S205" s="54">
        <f t="shared" si="67"/>
        <v>39437.826119967882</v>
      </c>
      <c r="T205" s="56">
        <f t="shared" si="79"/>
        <v>27606.478283977514</v>
      </c>
      <c r="U205" s="66">
        <f t="shared" si="68"/>
        <v>11540.880000000001</v>
      </c>
      <c r="V205" s="54">
        <f t="shared" si="69"/>
        <v>16065.598283977513</v>
      </c>
      <c r="X205" s="67">
        <f t="shared" si="70"/>
        <v>5483.0098733238719</v>
      </c>
      <c r="Y205" s="67">
        <f t="shared" si="71"/>
        <v>-39083.00987332387</v>
      </c>
      <c r="Z205" s="67">
        <f t="shared" si="72"/>
        <v>-15083.009873323872</v>
      </c>
      <c r="AA205" s="68">
        <f t="shared" si="73"/>
        <v>-15083.009873323872</v>
      </c>
      <c r="AB205" s="68">
        <f t="shared" si="74"/>
        <v>-21083.00987332387</v>
      </c>
      <c r="AC205" s="69">
        <f t="shared" si="75"/>
        <v>-23017.411589346357</v>
      </c>
      <c r="AD205" s="69">
        <f t="shared" si="76"/>
        <v>982.5884106536414</v>
      </c>
      <c r="AE205" s="69">
        <f t="shared" si="77"/>
        <v>982.5884106536414</v>
      </c>
      <c r="AF205" s="69">
        <f t="shared" si="78"/>
        <v>-5017.4115893463568</v>
      </c>
    </row>
    <row r="206" spans="1:32">
      <c r="A206" s="50" t="s">
        <v>340</v>
      </c>
      <c r="B206" s="50" t="s">
        <v>341</v>
      </c>
      <c r="C206" s="50" t="s">
        <v>85</v>
      </c>
      <c r="D206" s="50">
        <v>2</v>
      </c>
      <c r="E206" s="50">
        <v>2695</v>
      </c>
      <c r="F206" s="51">
        <v>0.2356</v>
      </c>
      <c r="G206" s="4">
        <f t="shared" si="60"/>
        <v>7619.3040000000001</v>
      </c>
      <c r="H206" s="50">
        <v>443</v>
      </c>
      <c r="I206" s="51">
        <v>0.2356</v>
      </c>
      <c r="J206" s="50">
        <v>265</v>
      </c>
      <c r="K206" s="50">
        <v>534</v>
      </c>
      <c r="L206">
        <f t="shared" si="61"/>
        <v>269</v>
      </c>
      <c r="M206">
        <f t="shared" si="62"/>
        <v>178</v>
      </c>
      <c r="N206" s="52">
        <f t="shared" si="63"/>
        <v>0.6293680297397769</v>
      </c>
      <c r="O206" s="53">
        <f t="shared" si="64"/>
        <v>0.2356</v>
      </c>
      <c r="P206" s="54">
        <v>296.34077013606174</v>
      </c>
      <c r="Q206" s="55">
        <f t="shared" si="65"/>
        <v>0.19320675133401261</v>
      </c>
      <c r="R206" s="55">
        <f t="shared" si="66"/>
        <v>0.69769617699426245</v>
      </c>
      <c r="S206" s="54">
        <f t="shared" si="67"/>
        <v>75465.875180185016</v>
      </c>
      <c r="T206" s="56">
        <f t="shared" si="79"/>
        <v>52826.112626129507</v>
      </c>
      <c r="U206" s="66">
        <f t="shared" si="68"/>
        <v>7619.3040000000001</v>
      </c>
      <c r="V206" s="54">
        <f t="shared" si="69"/>
        <v>45206.80862612951</v>
      </c>
      <c r="X206" s="67">
        <f t="shared" si="70"/>
        <v>8488.6368200968609</v>
      </c>
      <c r="Y206" s="67">
        <f t="shared" si="71"/>
        <v>-42088.636820096857</v>
      </c>
      <c r="Z206" s="67">
        <f t="shared" si="72"/>
        <v>-18088.636820096861</v>
      </c>
      <c r="AA206" s="68">
        <f t="shared" si="73"/>
        <v>-18088.636820096861</v>
      </c>
      <c r="AB206" s="68">
        <f t="shared" si="74"/>
        <v>-24088.636820096861</v>
      </c>
      <c r="AC206" s="69">
        <f t="shared" si="75"/>
        <v>3118.171806032653</v>
      </c>
      <c r="AD206" s="69">
        <f t="shared" si="76"/>
        <v>27118.171806032649</v>
      </c>
      <c r="AE206" s="69">
        <f t="shared" si="77"/>
        <v>27118.171806032649</v>
      </c>
      <c r="AF206" s="69">
        <f t="shared" si="78"/>
        <v>21118.171806032649</v>
      </c>
    </row>
    <row r="207" spans="1:32">
      <c r="A207" s="50" t="s">
        <v>342</v>
      </c>
      <c r="B207" s="50" t="s">
        <v>341</v>
      </c>
      <c r="C207" s="50" t="s">
        <v>94</v>
      </c>
      <c r="D207" s="50">
        <v>1</v>
      </c>
      <c r="E207" s="50">
        <v>3000</v>
      </c>
      <c r="F207" s="51">
        <v>0.58079999999999998</v>
      </c>
      <c r="G207" s="4">
        <f t="shared" si="60"/>
        <v>20908.8</v>
      </c>
      <c r="H207" s="50">
        <v>343</v>
      </c>
      <c r="I207" s="51">
        <v>0.58079999999999998</v>
      </c>
      <c r="J207" s="50">
        <v>158</v>
      </c>
      <c r="K207" s="50">
        <v>706</v>
      </c>
      <c r="L207">
        <f t="shared" si="61"/>
        <v>548</v>
      </c>
      <c r="M207">
        <f t="shared" si="62"/>
        <v>185</v>
      </c>
      <c r="N207" s="52">
        <f t="shared" si="63"/>
        <v>0.37007299270072991</v>
      </c>
      <c r="O207" s="53">
        <f t="shared" si="64"/>
        <v>0.58079999999999998</v>
      </c>
      <c r="P207" s="54">
        <v>412.77227417772787</v>
      </c>
      <c r="Q207" s="55">
        <f t="shared" si="65"/>
        <v>0.47193032726675599</v>
      </c>
      <c r="R207" s="55">
        <f t="shared" si="66"/>
        <v>0.47711433900108935</v>
      </c>
      <c r="S207" s="54">
        <f t="shared" si="67"/>
        <v>71882.943324583321</v>
      </c>
      <c r="T207" s="56">
        <f t="shared" si="79"/>
        <v>50318.060327208324</v>
      </c>
      <c r="U207" s="66">
        <f t="shared" si="68"/>
        <v>20908.8</v>
      </c>
      <c r="V207" s="54">
        <f t="shared" si="69"/>
        <v>29409.260327208325</v>
      </c>
      <c r="X207" s="67">
        <f t="shared" si="70"/>
        <v>5804.891124513254</v>
      </c>
      <c r="Y207" s="67">
        <f t="shared" si="71"/>
        <v>-39404.891124513255</v>
      </c>
      <c r="Z207" s="67">
        <f t="shared" si="72"/>
        <v>-15404.891124513255</v>
      </c>
      <c r="AA207" s="68">
        <f t="shared" si="73"/>
        <v>-15404.891124513255</v>
      </c>
      <c r="AB207" s="68">
        <f t="shared" si="74"/>
        <v>-21404.891124513255</v>
      </c>
      <c r="AC207" s="69">
        <f t="shared" si="75"/>
        <v>-9995.6307973049297</v>
      </c>
      <c r="AD207" s="69">
        <f t="shared" si="76"/>
        <v>14004.36920269507</v>
      </c>
      <c r="AE207" s="69">
        <f t="shared" si="77"/>
        <v>14004.36920269507</v>
      </c>
      <c r="AF207" s="69">
        <f t="shared" si="78"/>
        <v>8004.3692026950703</v>
      </c>
    </row>
    <row r="208" spans="1:32">
      <c r="A208" s="50" t="s">
        <v>343</v>
      </c>
      <c r="B208" s="50" t="s">
        <v>341</v>
      </c>
      <c r="C208" s="50" t="s">
        <v>94</v>
      </c>
      <c r="D208" s="50">
        <v>2</v>
      </c>
      <c r="E208" s="50">
        <v>4000</v>
      </c>
      <c r="F208" s="51">
        <v>1.9199999999999998E-2</v>
      </c>
      <c r="G208" s="4">
        <f t="shared" si="60"/>
        <v>921.59999999999991</v>
      </c>
      <c r="H208" s="50">
        <v>739</v>
      </c>
      <c r="I208" s="51">
        <v>1.9199999999999998E-2</v>
      </c>
      <c r="J208" s="50">
        <v>306</v>
      </c>
      <c r="K208" s="50">
        <v>781</v>
      </c>
      <c r="L208">
        <f t="shared" si="61"/>
        <v>475</v>
      </c>
      <c r="M208">
        <f t="shared" si="62"/>
        <v>433</v>
      </c>
      <c r="N208" s="52">
        <f t="shared" si="63"/>
        <v>0.82926315789473692</v>
      </c>
      <c r="O208" s="53">
        <f t="shared" si="64"/>
        <v>1.9199999999999998E-2</v>
      </c>
      <c r="P208" s="54">
        <v>442.30991009155866</v>
      </c>
      <c r="Q208" s="55">
        <f t="shared" si="65"/>
        <v>0.32957458541736195</v>
      </c>
      <c r="R208" s="55">
        <f t="shared" si="66"/>
        <v>0.58977467310069975</v>
      </c>
      <c r="S208" s="54">
        <f t="shared" si="67"/>
        <v>95215.061661208849</v>
      </c>
      <c r="T208" s="56">
        <f t="shared" si="79"/>
        <v>66650.543162846196</v>
      </c>
      <c r="U208" s="66">
        <f t="shared" si="68"/>
        <v>921.59999999999991</v>
      </c>
      <c r="V208" s="54">
        <f t="shared" si="69"/>
        <v>65728.94316284619</v>
      </c>
      <c r="X208" s="67">
        <f t="shared" si="70"/>
        <v>7175.5918560585142</v>
      </c>
      <c r="Y208" s="67">
        <f t="shared" si="71"/>
        <v>-40775.591856058512</v>
      </c>
      <c r="Z208" s="67">
        <f t="shared" si="72"/>
        <v>-16775.591856058512</v>
      </c>
      <c r="AA208" s="68">
        <f t="shared" si="73"/>
        <v>-16775.591856058512</v>
      </c>
      <c r="AB208" s="68">
        <f t="shared" si="74"/>
        <v>-22775.591856058512</v>
      </c>
      <c r="AC208" s="69">
        <f t="shared" si="75"/>
        <v>24953.351306787677</v>
      </c>
      <c r="AD208" s="69">
        <f t="shared" si="76"/>
        <v>48953.351306787677</v>
      </c>
      <c r="AE208" s="69">
        <f t="shared" si="77"/>
        <v>48953.351306787677</v>
      </c>
      <c r="AF208" s="69">
        <f t="shared" si="78"/>
        <v>42953.351306787677</v>
      </c>
    </row>
    <row r="209" spans="1:32">
      <c r="A209" s="50" t="s">
        <v>344</v>
      </c>
      <c r="B209" s="50" t="s">
        <v>341</v>
      </c>
      <c r="C209" s="50" t="s">
        <v>85</v>
      </c>
      <c r="D209" s="50">
        <v>1</v>
      </c>
      <c r="E209" s="50">
        <v>2295</v>
      </c>
      <c r="F209" s="51">
        <v>0.46850000000000003</v>
      </c>
      <c r="G209" s="4">
        <f t="shared" si="60"/>
        <v>12902.490000000002</v>
      </c>
      <c r="H209" s="50">
        <v>270</v>
      </c>
      <c r="I209" s="51">
        <v>0.46850000000000003</v>
      </c>
      <c r="J209" s="50">
        <v>100</v>
      </c>
      <c r="K209" s="50">
        <v>469</v>
      </c>
      <c r="L209">
        <f t="shared" si="61"/>
        <v>369</v>
      </c>
      <c r="M209">
        <f t="shared" si="62"/>
        <v>170</v>
      </c>
      <c r="N209" s="52">
        <f t="shared" si="63"/>
        <v>0.46856368563685635</v>
      </c>
      <c r="O209" s="53">
        <f t="shared" si="64"/>
        <v>0.46850000000000003</v>
      </c>
      <c r="P209" s="54">
        <v>274.7481196290214</v>
      </c>
      <c r="Q209" s="55">
        <f t="shared" si="65"/>
        <v>0.47885771193283777</v>
      </c>
      <c r="R209" s="55">
        <f t="shared" si="66"/>
        <v>0.4716320067763522</v>
      </c>
      <c r="S209" s="54">
        <f t="shared" si="67"/>
        <v>47296.702561812599</v>
      </c>
      <c r="T209" s="56">
        <f t="shared" si="79"/>
        <v>33107.691793268816</v>
      </c>
      <c r="U209" s="66">
        <f t="shared" si="68"/>
        <v>12902.490000000002</v>
      </c>
      <c r="V209" s="54">
        <f t="shared" si="69"/>
        <v>20205.201793268814</v>
      </c>
      <c r="X209" s="67">
        <f t="shared" si="70"/>
        <v>5738.189415778952</v>
      </c>
      <c r="Y209" s="67">
        <f t="shared" si="71"/>
        <v>-39338.18941577895</v>
      </c>
      <c r="Z209" s="67">
        <f t="shared" si="72"/>
        <v>-15338.189415778952</v>
      </c>
      <c r="AA209" s="68">
        <f t="shared" si="73"/>
        <v>-15338.189415778952</v>
      </c>
      <c r="AB209" s="68">
        <f t="shared" si="74"/>
        <v>-21338.18941577895</v>
      </c>
      <c r="AC209" s="69">
        <f t="shared" si="75"/>
        <v>-19132.987622510136</v>
      </c>
      <c r="AD209" s="69">
        <f t="shared" si="76"/>
        <v>4867.012377489862</v>
      </c>
      <c r="AE209" s="69">
        <f t="shared" si="77"/>
        <v>4867.012377489862</v>
      </c>
      <c r="AF209" s="69">
        <f t="shared" si="78"/>
        <v>-1132.9876225101361</v>
      </c>
    </row>
    <row r="210" spans="1:32">
      <c r="A210" s="50" t="s">
        <v>345</v>
      </c>
      <c r="B210" s="50" t="s">
        <v>346</v>
      </c>
      <c r="C210" s="50" t="s">
        <v>85</v>
      </c>
      <c r="D210" s="50">
        <v>2</v>
      </c>
      <c r="E210" s="50">
        <v>3000</v>
      </c>
      <c r="F210" s="51">
        <v>0.34250000000000003</v>
      </c>
      <c r="G210" s="4">
        <f t="shared" si="60"/>
        <v>12330.000000000002</v>
      </c>
      <c r="H210" s="50">
        <v>424</v>
      </c>
      <c r="I210" s="51">
        <v>0.34250000000000003</v>
      </c>
      <c r="J210" s="50">
        <v>270</v>
      </c>
      <c r="K210" s="50">
        <v>543</v>
      </c>
      <c r="L210">
        <f t="shared" si="61"/>
        <v>273</v>
      </c>
      <c r="M210">
        <f t="shared" si="62"/>
        <v>154</v>
      </c>
      <c r="N210" s="52">
        <f t="shared" si="63"/>
        <v>0.55128205128205132</v>
      </c>
      <c r="O210" s="53">
        <f t="shared" si="64"/>
        <v>0.34250000000000003</v>
      </c>
      <c r="P210" s="54">
        <v>301.27706436577978</v>
      </c>
      <c r="Q210" s="55">
        <f t="shared" si="65"/>
        <v>0.19165440107188214</v>
      </c>
      <c r="R210" s="55">
        <f t="shared" si="66"/>
        <v>0.6989247069917125</v>
      </c>
      <c r="S210" s="54">
        <f t="shared" si="67"/>
        <v>76858.044136339216</v>
      </c>
      <c r="T210" s="56">
        <f t="shared" si="79"/>
        <v>53800.630895437447</v>
      </c>
      <c r="U210" s="66">
        <f t="shared" si="68"/>
        <v>12330.000000000002</v>
      </c>
      <c r="V210" s="54">
        <f t="shared" si="69"/>
        <v>41470.630895437447</v>
      </c>
      <c r="X210" s="67">
        <f t="shared" si="70"/>
        <v>8503.5839350658371</v>
      </c>
      <c r="Y210" s="67">
        <f t="shared" si="71"/>
        <v>-42103.583935065835</v>
      </c>
      <c r="Z210" s="67">
        <f t="shared" si="72"/>
        <v>-18103.583935065835</v>
      </c>
      <c r="AA210" s="68">
        <f t="shared" si="73"/>
        <v>-18103.583935065835</v>
      </c>
      <c r="AB210" s="68">
        <f t="shared" si="74"/>
        <v>-24103.583935065835</v>
      </c>
      <c r="AC210" s="69">
        <f t="shared" si="75"/>
        <v>-632.95303962838807</v>
      </c>
      <c r="AD210" s="69">
        <f t="shared" si="76"/>
        <v>23367.046960371612</v>
      </c>
      <c r="AE210" s="69">
        <f t="shared" si="77"/>
        <v>23367.046960371612</v>
      </c>
      <c r="AF210" s="69">
        <f t="shared" si="78"/>
        <v>17367.046960371612</v>
      </c>
    </row>
    <row r="211" spans="1:32">
      <c r="A211" s="50" t="s">
        <v>347</v>
      </c>
      <c r="B211" s="50" t="s">
        <v>346</v>
      </c>
      <c r="C211" s="50" t="s">
        <v>94</v>
      </c>
      <c r="D211" s="50">
        <v>1</v>
      </c>
      <c r="E211" s="50">
        <v>3300</v>
      </c>
      <c r="F211" s="51">
        <v>0.2712</v>
      </c>
      <c r="G211" s="4">
        <f t="shared" si="60"/>
        <v>10739.52</v>
      </c>
      <c r="H211" s="50">
        <v>980</v>
      </c>
      <c r="I211" s="51">
        <v>0.2712</v>
      </c>
      <c r="J211" s="50">
        <v>283</v>
      </c>
      <c r="K211" s="50">
        <v>1261</v>
      </c>
      <c r="L211">
        <f t="shared" si="61"/>
        <v>978</v>
      </c>
      <c r="M211">
        <f t="shared" si="62"/>
        <v>697</v>
      </c>
      <c r="N211" s="52">
        <f t="shared" si="63"/>
        <v>0.67014314928425356</v>
      </c>
      <c r="O211" s="53">
        <f t="shared" si="64"/>
        <v>0.2712</v>
      </c>
      <c r="P211" s="54">
        <v>737.17387604114629</v>
      </c>
      <c r="Q211" s="55">
        <f t="shared" si="65"/>
        <v>0.47151237303979243</v>
      </c>
      <c r="R211" s="55">
        <f t="shared" si="66"/>
        <v>0.47744510797630829</v>
      </c>
      <c r="S211" s="54">
        <f t="shared" si="67"/>
        <v>128465.42220797927</v>
      </c>
      <c r="T211" s="56">
        <f t="shared" si="79"/>
        <v>89925.795545585483</v>
      </c>
      <c r="U211" s="66">
        <f t="shared" si="68"/>
        <v>10739.52</v>
      </c>
      <c r="V211" s="54">
        <f t="shared" si="69"/>
        <v>79186.275545585479</v>
      </c>
      <c r="X211" s="67">
        <f t="shared" si="70"/>
        <v>5808.9154803784177</v>
      </c>
      <c r="Y211" s="67">
        <f t="shared" si="71"/>
        <v>-39408.915480378419</v>
      </c>
      <c r="Z211" s="67">
        <f t="shared" si="72"/>
        <v>-15408.915480378419</v>
      </c>
      <c r="AA211" s="68">
        <f t="shared" si="73"/>
        <v>-15408.915480378419</v>
      </c>
      <c r="AB211" s="68">
        <f t="shared" si="74"/>
        <v>-21408.915480378419</v>
      </c>
      <c r="AC211" s="69">
        <f t="shared" si="75"/>
        <v>39777.36006520706</v>
      </c>
      <c r="AD211" s="69">
        <f t="shared" si="76"/>
        <v>63777.36006520706</v>
      </c>
      <c r="AE211" s="69">
        <f t="shared" si="77"/>
        <v>63777.36006520706</v>
      </c>
      <c r="AF211" s="69">
        <f t="shared" si="78"/>
        <v>57777.36006520706</v>
      </c>
    </row>
    <row r="212" spans="1:32">
      <c r="A212" s="50" t="s">
        <v>348</v>
      </c>
      <c r="B212" s="50" t="s">
        <v>346</v>
      </c>
      <c r="C212" s="50" t="s">
        <v>94</v>
      </c>
      <c r="D212" s="50">
        <v>2</v>
      </c>
      <c r="E212" s="50">
        <v>4500</v>
      </c>
      <c r="F212" s="51">
        <v>0.43009999999999998</v>
      </c>
      <c r="G212" s="4">
        <f t="shared" si="60"/>
        <v>23225.399999999998</v>
      </c>
      <c r="H212" s="50">
        <v>994</v>
      </c>
      <c r="I212" s="51">
        <v>0.43009999999999998</v>
      </c>
      <c r="J212" s="50">
        <v>530</v>
      </c>
      <c r="K212" s="50">
        <v>1354</v>
      </c>
      <c r="L212">
        <f t="shared" si="61"/>
        <v>824</v>
      </c>
      <c r="M212">
        <f t="shared" si="62"/>
        <v>464</v>
      </c>
      <c r="N212" s="52">
        <f t="shared" si="63"/>
        <v>0.55048543689320395</v>
      </c>
      <c r="O212" s="53">
        <f t="shared" si="64"/>
        <v>0.43009999999999998</v>
      </c>
      <c r="P212" s="54">
        <v>766.87655994698832</v>
      </c>
      <c r="Q212" s="55">
        <f t="shared" si="65"/>
        <v>0.32997724266697898</v>
      </c>
      <c r="R212" s="55">
        <f t="shared" si="66"/>
        <v>0.58945601015335281</v>
      </c>
      <c r="S212" s="54">
        <f t="shared" si="67"/>
        <v>164994.59901686531</v>
      </c>
      <c r="T212" s="56">
        <f t="shared" si="79"/>
        <v>115496.2193118057</v>
      </c>
      <c r="U212" s="66">
        <f t="shared" si="68"/>
        <v>23225.399999999998</v>
      </c>
      <c r="V212" s="54">
        <f t="shared" si="69"/>
        <v>92270.81931180571</v>
      </c>
      <c r="X212" s="67">
        <f t="shared" si="70"/>
        <v>7171.7147901991257</v>
      </c>
      <c r="Y212" s="67">
        <f t="shared" si="71"/>
        <v>-40771.714790199127</v>
      </c>
      <c r="Z212" s="67">
        <f t="shared" si="72"/>
        <v>-16771.714790199127</v>
      </c>
      <c r="AA212" s="68">
        <f t="shared" si="73"/>
        <v>-16771.714790199127</v>
      </c>
      <c r="AB212" s="68">
        <f t="shared" si="74"/>
        <v>-22771.714790199127</v>
      </c>
      <c r="AC212" s="69">
        <f t="shared" si="75"/>
        <v>51499.104521606583</v>
      </c>
      <c r="AD212" s="69">
        <f t="shared" si="76"/>
        <v>75499.104521606583</v>
      </c>
      <c r="AE212" s="69">
        <f t="shared" si="77"/>
        <v>75499.104521606583</v>
      </c>
      <c r="AF212" s="69">
        <f t="shared" si="78"/>
        <v>69499.104521606583</v>
      </c>
    </row>
    <row r="213" spans="1:32">
      <c r="A213" s="50" t="s">
        <v>349</v>
      </c>
      <c r="B213" s="50" t="s">
        <v>346</v>
      </c>
      <c r="C213" s="50" t="s">
        <v>85</v>
      </c>
      <c r="D213" s="50">
        <v>1</v>
      </c>
      <c r="E213" s="50">
        <v>2700</v>
      </c>
      <c r="F213" s="51">
        <v>0.60550000000000004</v>
      </c>
      <c r="G213" s="4">
        <f t="shared" si="60"/>
        <v>19618.2</v>
      </c>
      <c r="H213" s="50">
        <v>284</v>
      </c>
      <c r="I213" s="51">
        <v>0.60550000000000004</v>
      </c>
      <c r="J213" s="50">
        <v>103</v>
      </c>
      <c r="K213" s="50">
        <v>483</v>
      </c>
      <c r="L213">
        <f t="shared" si="61"/>
        <v>380</v>
      </c>
      <c r="M213">
        <f t="shared" si="62"/>
        <v>181</v>
      </c>
      <c r="N213" s="52">
        <f t="shared" si="63"/>
        <v>0.4810526315789474</v>
      </c>
      <c r="O213" s="53">
        <f t="shared" si="64"/>
        <v>0.60550000000000004</v>
      </c>
      <c r="P213" s="54">
        <v>282.94792807321659</v>
      </c>
      <c r="Q213" s="55">
        <f t="shared" si="65"/>
        <v>0.47883774331203488</v>
      </c>
      <c r="R213" s="55">
        <f t="shared" si="66"/>
        <v>0.4716478099428556</v>
      </c>
      <c r="S213" s="54">
        <f t="shared" si="67"/>
        <v>48709.89627031445</v>
      </c>
      <c r="T213" s="56">
        <f t="shared" si="79"/>
        <v>34096.927389220116</v>
      </c>
      <c r="U213" s="66">
        <f t="shared" si="68"/>
        <v>19618.2</v>
      </c>
      <c r="V213" s="54">
        <f t="shared" si="69"/>
        <v>14478.727389220116</v>
      </c>
      <c r="X213" s="67">
        <f t="shared" si="70"/>
        <v>5738.381687638077</v>
      </c>
      <c r="Y213" s="67">
        <f t="shared" si="71"/>
        <v>-39338.381687638073</v>
      </c>
      <c r="Z213" s="67">
        <f t="shared" si="72"/>
        <v>-15338.381687638077</v>
      </c>
      <c r="AA213" s="68">
        <f t="shared" si="73"/>
        <v>-15338.381687638077</v>
      </c>
      <c r="AB213" s="68">
        <f t="shared" si="74"/>
        <v>-21338.381687638077</v>
      </c>
      <c r="AC213" s="69">
        <f t="shared" si="75"/>
        <v>-24859.654298417958</v>
      </c>
      <c r="AD213" s="69">
        <f t="shared" si="76"/>
        <v>-859.6542984179614</v>
      </c>
      <c r="AE213" s="69">
        <f t="shared" si="77"/>
        <v>-859.6542984179614</v>
      </c>
      <c r="AF213" s="69">
        <f t="shared" si="78"/>
        <v>-6859.6542984179614</v>
      </c>
    </row>
    <row r="214" spans="1:32">
      <c r="A214" s="50" t="s">
        <v>350</v>
      </c>
      <c r="B214" s="50" t="s">
        <v>351</v>
      </c>
      <c r="C214" s="50" t="s">
        <v>85</v>
      </c>
      <c r="D214" s="50">
        <v>1</v>
      </c>
      <c r="E214" s="50">
        <v>2700</v>
      </c>
      <c r="F214" s="51">
        <v>0.56710000000000005</v>
      </c>
      <c r="G214" s="4">
        <f t="shared" si="60"/>
        <v>18374.04</v>
      </c>
      <c r="H214" s="50">
        <v>236</v>
      </c>
      <c r="I214" s="51">
        <v>0.56710000000000005</v>
      </c>
      <c r="J214" s="50">
        <v>110</v>
      </c>
      <c r="K214" s="50">
        <v>515</v>
      </c>
      <c r="L214">
        <f t="shared" si="61"/>
        <v>405</v>
      </c>
      <c r="M214">
        <f t="shared" si="62"/>
        <v>126</v>
      </c>
      <c r="N214" s="52">
        <f t="shared" si="63"/>
        <v>0.34888888888888892</v>
      </c>
      <c r="O214" s="53">
        <f t="shared" si="64"/>
        <v>0.56710000000000005</v>
      </c>
      <c r="P214" s="54">
        <v>301.67476544648696</v>
      </c>
      <c r="Q214" s="55">
        <f t="shared" si="65"/>
        <v>0.47861682063503597</v>
      </c>
      <c r="R214" s="55">
        <f t="shared" si="66"/>
        <v>0.47182264814943259</v>
      </c>
      <c r="S214" s="54">
        <f t="shared" si="67"/>
        <v>51953.000150179454</v>
      </c>
      <c r="T214" s="56">
        <f t="shared" si="79"/>
        <v>36367.100105125617</v>
      </c>
      <c r="U214" s="66">
        <f t="shared" si="68"/>
        <v>18374.04</v>
      </c>
      <c r="V214" s="54">
        <f t="shared" si="69"/>
        <v>17993.060105125616</v>
      </c>
      <c r="X214" s="67">
        <f t="shared" si="70"/>
        <v>5740.508885818097</v>
      </c>
      <c r="Y214" s="67">
        <f t="shared" si="71"/>
        <v>-39340.508885818097</v>
      </c>
      <c r="Z214" s="67">
        <f t="shared" si="72"/>
        <v>-15340.508885818097</v>
      </c>
      <c r="AA214" s="68">
        <f t="shared" si="73"/>
        <v>-15340.508885818097</v>
      </c>
      <c r="AB214" s="68">
        <f t="shared" si="74"/>
        <v>-21340.508885818097</v>
      </c>
      <c r="AC214" s="69">
        <f t="shared" si="75"/>
        <v>-21347.448780692481</v>
      </c>
      <c r="AD214" s="69">
        <f t="shared" si="76"/>
        <v>2652.5512193075192</v>
      </c>
      <c r="AE214" s="69">
        <f t="shared" si="77"/>
        <v>2652.5512193075192</v>
      </c>
      <c r="AF214" s="69">
        <f t="shared" si="78"/>
        <v>-3347.4487806924808</v>
      </c>
    </row>
    <row r="215" spans="1:32">
      <c r="A215" s="50" t="s">
        <v>352</v>
      </c>
      <c r="B215" s="50" t="s">
        <v>325</v>
      </c>
      <c r="C215" s="50" t="s">
        <v>94</v>
      </c>
      <c r="D215" s="50">
        <v>2</v>
      </c>
      <c r="E215" s="50">
        <v>1100</v>
      </c>
      <c r="F215" s="51">
        <v>0.61919999999999997</v>
      </c>
      <c r="G215" s="4">
        <f t="shared" si="60"/>
        <v>8173.44</v>
      </c>
      <c r="H215" s="50">
        <v>188</v>
      </c>
      <c r="I215" s="51">
        <v>0.61919999999999997</v>
      </c>
      <c r="J215" s="50">
        <v>136</v>
      </c>
      <c r="K215" s="50">
        <v>335</v>
      </c>
      <c r="L215">
        <f t="shared" si="61"/>
        <v>199</v>
      </c>
      <c r="M215">
        <f t="shared" si="62"/>
        <v>52</v>
      </c>
      <c r="N215" s="52">
        <f t="shared" si="63"/>
        <v>0.30904522613065327</v>
      </c>
      <c r="O215" s="53">
        <f t="shared" si="64"/>
        <v>0.61919999999999997</v>
      </c>
      <c r="P215" s="54">
        <v>189.20562549098992</v>
      </c>
      <c r="Q215" s="55">
        <f t="shared" si="65"/>
        <v>0.3138919617728238</v>
      </c>
      <c r="R215" s="55">
        <f t="shared" si="66"/>
        <v>0.60218590145298723</v>
      </c>
      <c r="S215" s="54">
        <f t="shared" si="67"/>
        <v>41586.990453387843</v>
      </c>
      <c r="T215" s="56">
        <f t="shared" si="79"/>
        <v>29110.893317371487</v>
      </c>
      <c r="U215" s="66">
        <f t="shared" si="68"/>
        <v>8173.44</v>
      </c>
      <c r="V215" s="54">
        <f t="shared" si="69"/>
        <v>20937.453317371488</v>
      </c>
      <c r="X215" s="67">
        <f t="shared" si="70"/>
        <v>7326.5951343446786</v>
      </c>
      <c r="Y215" s="67">
        <f t="shared" si="71"/>
        <v>-40926.59513434468</v>
      </c>
      <c r="Z215" s="67">
        <f t="shared" si="72"/>
        <v>-16926.59513434468</v>
      </c>
      <c r="AA215" s="68">
        <f t="shared" si="73"/>
        <v>-16926.59513434468</v>
      </c>
      <c r="AB215" s="68">
        <f t="shared" si="74"/>
        <v>-22926.59513434468</v>
      </c>
      <c r="AC215" s="69">
        <f t="shared" si="75"/>
        <v>-19989.141816973191</v>
      </c>
      <c r="AD215" s="69">
        <f t="shared" si="76"/>
        <v>4010.8581830268085</v>
      </c>
      <c r="AE215" s="69">
        <f t="shared" si="77"/>
        <v>4010.8581830268085</v>
      </c>
      <c r="AF215" s="69">
        <f t="shared" si="78"/>
        <v>-1989.1418169731915</v>
      </c>
    </row>
    <row r="216" spans="1:32">
      <c r="A216" s="50" t="s">
        <v>353</v>
      </c>
      <c r="B216" s="50" t="s">
        <v>351</v>
      </c>
      <c r="C216" s="50" t="s">
        <v>85</v>
      </c>
      <c r="D216" s="50">
        <v>2</v>
      </c>
      <c r="E216" s="50">
        <v>3000</v>
      </c>
      <c r="F216" s="51">
        <v>0.70409999999999995</v>
      </c>
      <c r="G216" s="4">
        <f t="shared" si="60"/>
        <v>25347.599999999999</v>
      </c>
      <c r="H216" s="50">
        <v>329</v>
      </c>
      <c r="I216" s="51">
        <v>0.70409999999999995</v>
      </c>
      <c r="J216" s="50">
        <v>270</v>
      </c>
      <c r="K216" s="50">
        <v>544</v>
      </c>
      <c r="L216">
        <f t="shared" si="61"/>
        <v>274</v>
      </c>
      <c r="M216">
        <f t="shared" si="62"/>
        <v>59</v>
      </c>
      <c r="N216" s="52">
        <f t="shared" si="63"/>
        <v>0.27226277372262775</v>
      </c>
      <c r="O216" s="53">
        <f t="shared" si="64"/>
        <v>0.70409999999999995</v>
      </c>
      <c r="P216" s="54">
        <v>301.88613814200443</v>
      </c>
      <c r="Q216" s="55">
        <f t="shared" si="65"/>
        <v>0.19309821355329759</v>
      </c>
      <c r="R216" s="55">
        <f t="shared" si="66"/>
        <v>0.69778207379392032</v>
      </c>
      <c r="S216" s="54">
        <f t="shared" si="67"/>
        <v>76887.51846566351</v>
      </c>
      <c r="T216" s="56">
        <f t="shared" si="79"/>
        <v>53821.262925964453</v>
      </c>
      <c r="U216" s="66">
        <f t="shared" si="68"/>
        <v>25347.599999999999</v>
      </c>
      <c r="V216" s="54">
        <f t="shared" si="69"/>
        <v>28473.662925964454</v>
      </c>
      <c r="X216" s="67">
        <f t="shared" si="70"/>
        <v>8489.6818978260308</v>
      </c>
      <c r="Y216" s="67">
        <f t="shared" si="71"/>
        <v>-42089.681897826027</v>
      </c>
      <c r="Z216" s="67">
        <f t="shared" si="72"/>
        <v>-18089.681897826031</v>
      </c>
      <c r="AA216" s="68">
        <f t="shared" si="73"/>
        <v>-18089.681897826031</v>
      </c>
      <c r="AB216" s="68">
        <f t="shared" si="74"/>
        <v>-24089.681897826031</v>
      </c>
      <c r="AC216" s="69">
        <f t="shared" si="75"/>
        <v>-13616.018971861573</v>
      </c>
      <c r="AD216" s="69">
        <f t="shared" si="76"/>
        <v>10383.981028138423</v>
      </c>
      <c r="AE216" s="69">
        <f t="shared" si="77"/>
        <v>10383.981028138423</v>
      </c>
      <c r="AF216" s="69">
        <f t="shared" si="78"/>
        <v>4383.9810281384234</v>
      </c>
    </row>
    <row r="217" spans="1:32">
      <c r="A217" s="50" t="s">
        <v>354</v>
      </c>
      <c r="B217" s="50" t="s">
        <v>351</v>
      </c>
      <c r="C217" s="50" t="s">
        <v>94</v>
      </c>
      <c r="D217" s="50">
        <v>1</v>
      </c>
      <c r="E217" s="50">
        <v>4500</v>
      </c>
      <c r="F217" s="51">
        <v>0.44379999999999997</v>
      </c>
      <c r="G217" s="4">
        <f t="shared" si="60"/>
        <v>23965.199999999997</v>
      </c>
      <c r="H217" s="50">
        <v>549</v>
      </c>
      <c r="I217" s="51">
        <v>0.44379999999999997</v>
      </c>
      <c r="J217" s="50">
        <v>231</v>
      </c>
      <c r="K217" s="50">
        <v>1027</v>
      </c>
      <c r="L217">
        <f t="shared" si="61"/>
        <v>796</v>
      </c>
      <c r="M217">
        <f t="shared" si="62"/>
        <v>318</v>
      </c>
      <c r="N217" s="52">
        <f t="shared" si="63"/>
        <v>0.41959798994974873</v>
      </c>
      <c r="O217" s="53">
        <f t="shared" si="64"/>
        <v>0.44379999999999997</v>
      </c>
      <c r="P217" s="54">
        <v>600.32250417879993</v>
      </c>
      <c r="Q217" s="55">
        <f t="shared" si="65"/>
        <v>0.47117839615959789</v>
      </c>
      <c r="R217" s="55">
        <f t="shared" si="66"/>
        <v>0.47770941727929428</v>
      </c>
      <c r="S217" s="54">
        <f t="shared" si="67"/>
        <v>104674.59548257895</v>
      </c>
      <c r="T217" s="56">
        <f t="shared" si="79"/>
        <v>73272.216837805259</v>
      </c>
      <c r="U217" s="66">
        <f t="shared" si="68"/>
        <v>23965.199999999997</v>
      </c>
      <c r="V217" s="54">
        <f t="shared" si="69"/>
        <v>49307.016837805262</v>
      </c>
      <c r="X217" s="67">
        <f t="shared" si="70"/>
        <v>5812.1312435647478</v>
      </c>
      <c r="Y217" s="67">
        <f t="shared" si="71"/>
        <v>-39412.131243564749</v>
      </c>
      <c r="Z217" s="67">
        <f t="shared" si="72"/>
        <v>-15412.131243564749</v>
      </c>
      <c r="AA217" s="68">
        <f t="shared" si="73"/>
        <v>-15412.131243564749</v>
      </c>
      <c r="AB217" s="68">
        <f t="shared" si="74"/>
        <v>-21412.131243564749</v>
      </c>
      <c r="AC217" s="69">
        <f t="shared" si="75"/>
        <v>9894.8855942405135</v>
      </c>
      <c r="AD217" s="69">
        <f t="shared" si="76"/>
        <v>33894.885594240513</v>
      </c>
      <c r="AE217" s="69">
        <f t="shared" si="77"/>
        <v>33894.885594240513</v>
      </c>
      <c r="AF217" s="69">
        <f t="shared" si="78"/>
        <v>27894.885594240513</v>
      </c>
    </row>
    <row r="218" spans="1:32">
      <c r="A218" s="50" t="s">
        <v>355</v>
      </c>
      <c r="B218" s="50" t="s">
        <v>351</v>
      </c>
      <c r="C218" s="50" t="s">
        <v>94</v>
      </c>
      <c r="D218" s="50">
        <v>2</v>
      </c>
      <c r="E218" s="50">
        <v>4900</v>
      </c>
      <c r="F218" s="51">
        <v>0.4466</v>
      </c>
      <c r="G218" s="4">
        <f t="shared" si="60"/>
        <v>26260.079999999998</v>
      </c>
      <c r="H218" s="50">
        <v>652</v>
      </c>
      <c r="I218" s="51">
        <v>0.4466</v>
      </c>
      <c r="J218" s="50">
        <v>379</v>
      </c>
      <c r="K218" s="50">
        <v>969</v>
      </c>
      <c r="L218">
        <f t="shared" si="61"/>
        <v>590</v>
      </c>
      <c r="M218">
        <f t="shared" si="62"/>
        <v>273</v>
      </c>
      <c r="N218" s="52">
        <f t="shared" si="63"/>
        <v>0.47016949152542376</v>
      </c>
      <c r="O218" s="53">
        <f t="shared" si="64"/>
        <v>0.4466</v>
      </c>
      <c r="P218" s="54">
        <v>548.85336100846246</v>
      </c>
      <c r="Q218" s="55">
        <f t="shared" si="65"/>
        <v>0.33030964204537283</v>
      </c>
      <c r="R218" s="55">
        <f t="shared" si="66"/>
        <v>0.58919294928529198</v>
      </c>
      <c r="S218" s="54">
        <f t="shared" si="67"/>
        <v>118033.89363166818</v>
      </c>
      <c r="T218" s="56">
        <f t="shared" si="79"/>
        <v>82623.725542167726</v>
      </c>
      <c r="U218" s="66">
        <f t="shared" si="68"/>
        <v>26260.079999999998</v>
      </c>
      <c r="V218" s="54">
        <f t="shared" si="69"/>
        <v>56363.645542167724</v>
      </c>
      <c r="X218" s="67">
        <f t="shared" si="70"/>
        <v>7168.5142163043865</v>
      </c>
      <c r="Y218" s="67">
        <f t="shared" si="71"/>
        <v>-40768.514216304386</v>
      </c>
      <c r="Z218" s="67">
        <f t="shared" si="72"/>
        <v>-16768.514216304386</v>
      </c>
      <c r="AA218" s="68">
        <f t="shared" si="73"/>
        <v>-16768.514216304386</v>
      </c>
      <c r="AB218" s="68">
        <f t="shared" si="74"/>
        <v>-22768.514216304386</v>
      </c>
      <c r="AC218" s="69">
        <f t="shared" si="75"/>
        <v>15595.131325863338</v>
      </c>
      <c r="AD218" s="69">
        <f t="shared" si="76"/>
        <v>39595.131325863338</v>
      </c>
      <c r="AE218" s="69">
        <f t="shared" si="77"/>
        <v>39595.131325863338</v>
      </c>
      <c r="AF218" s="69">
        <f t="shared" si="78"/>
        <v>33595.131325863338</v>
      </c>
    </row>
    <row r="219" spans="1:32">
      <c r="A219" s="50" t="s">
        <v>356</v>
      </c>
      <c r="B219" s="50" t="s">
        <v>357</v>
      </c>
      <c r="C219" s="50" t="s">
        <v>85</v>
      </c>
      <c r="D219" s="50">
        <v>2</v>
      </c>
      <c r="E219" s="50">
        <v>3300</v>
      </c>
      <c r="F219" s="51">
        <v>0.4219</v>
      </c>
      <c r="G219" s="4">
        <f t="shared" si="60"/>
        <v>16707.240000000002</v>
      </c>
      <c r="H219" s="50">
        <v>378</v>
      </c>
      <c r="I219" s="51">
        <v>0.4219</v>
      </c>
      <c r="J219" s="50">
        <v>264</v>
      </c>
      <c r="K219" s="50">
        <v>532</v>
      </c>
      <c r="L219">
        <f t="shared" si="61"/>
        <v>268</v>
      </c>
      <c r="M219">
        <f t="shared" si="62"/>
        <v>114</v>
      </c>
      <c r="N219" s="52">
        <f t="shared" si="63"/>
        <v>0.44029850746268662</v>
      </c>
      <c r="O219" s="53">
        <f t="shared" si="64"/>
        <v>0.4219</v>
      </c>
      <c r="P219" s="54">
        <v>295.23169664113198</v>
      </c>
      <c r="Q219" s="55">
        <f t="shared" si="65"/>
        <v>0.19322894519740891</v>
      </c>
      <c r="R219" s="55">
        <f t="shared" si="66"/>
        <v>0.69767861277077059</v>
      </c>
      <c r="S219" s="54">
        <f t="shared" si="67"/>
        <v>75181.546803869263</v>
      </c>
      <c r="T219" s="56">
        <f t="shared" si="79"/>
        <v>52627.08276270848</v>
      </c>
      <c r="U219" s="66">
        <f t="shared" si="68"/>
        <v>16707.240000000002</v>
      </c>
      <c r="V219" s="54">
        <f t="shared" si="69"/>
        <v>35919.842762708475</v>
      </c>
      <c r="X219" s="67">
        <f t="shared" si="70"/>
        <v>8488.4231220443744</v>
      </c>
      <c r="Y219" s="67">
        <f t="shared" si="71"/>
        <v>-42088.423122044376</v>
      </c>
      <c r="Z219" s="67">
        <f t="shared" si="72"/>
        <v>-18088.423122044376</v>
      </c>
      <c r="AA219" s="68">
        <f t="shared" si="73"/>
        <v>-18088.423122044376</v>
      </c>
      <c r="AB219" s="68">
        <f t="shared" si="74"/>
        <v>-24088.423122044376</v>
      </c>
      <c r="AC219" s="69">
        <f t="shared" si="75"/>
        <v>-6168.5803593359014</v>
      </c>
      <c r="AD219" s="69">
        <f t="shared" si="76"/>
        <v>17831.419640664099</v>
      </c>
      <c r="AE219" s="69">
        <f t="shared" si="77"/>
        <v>17831.419640664099</v>
      </c>
      <c r="AF219" s="69">
        <f t="shared" si="78"/>
        <v>11831.419640664099</v>
      </c>
    </row>
    <row r="220" spans="1:32">
      <c r="A220" s="50" t="s">
        <v>358</v>
      </c>
      <c r="B220" s="50" t="s">
        <v>357</v>
      </c>
      <c r="C220" s="50" t="s">
        <v>94</v>
      </c>
      <c r="D220" s="50">
        <v>1</v>
      </c>
      <c r="E220" s="50">
        <v>4500</v>
      </c>
      <c r="F220" s="51">
        <v>0.59179999999999999</v>
      </c>
      <c r="G220" s="4">
        <f t="shared" si="60"/>
        <v>31957.200000000001</v>
      </c>
      <c r="H220" s="50">
        <v>255</v>
      </c>
      <c r="I220" s="51">
        <v>0.59179999999999999</v>
      </c>
      <c r="J220" s="50">
        <v>151</v>
      </c>
      <c r="K220" s="50">
        <v>673</v>
      </c>
      <c r="L220">
        <f t="shared" si="61"/>
        <v>522</v>
      </c>
      <c r="M220">
        <f t="shared" si="62"/>
        <v>104</v>
      </c>
      <c r="N220" s="52">
        <f t="shared" si="63"/>
        <v>0.25938697318007664</v>
      </c>
      <c r="O220" s="53">
        <f t="shared" si="64"/>
        <v>0.59179999999999999</v>
      </c>
      <c r="P220" s="54">
        <v>393.43636441574978</v>
      </c>
      <c r="Q220" s="55">
        <f t="shared" si="65"/>
        <v>0.47154998377892687</v>
      </c>
      <c r="R220" s="55">
        <f t="shared" si="66"/>
        <v>0.47741534283735731</v>
      </c>
      <c r="S220" s="54">
        <f t="shared" si="67"/>
        <v>68558.883232813459</v>
      </c>
      <c r="T220" s="56">
        <f t="shared" si="79"/>
        <v>47991.218262969422</v>
      </c>
      <c r="U220" s="66">
        <f t="shared" si="68"/>
        <v>31957.200000000001</v>
      </c>
      <c r="V220" s="54">
        <f t="shared" si="69"/>
        <v>16034.018262969421</v>
      </c>
      <c r="X220" s="67">
        <f t="shared" si="70"/>
        <v>5808.5533378545142</v>
      </c>
      <c r="Y220" s="67">
        <f t="shared" si="71"/>
        <v>-39408.553337854515</v>
      </c>
      <c r="Z220" s="67">
        <f t="shared" si="72"/>
        <v>-15408.553337854515</v>
      </c>
      <c r="AA220" s="68">
        <f t="shared" si="73"/>
        <v>-15408.553337854515</v>
      </c>
      <c r="AB220" s="68">
        <f t="shared" si="74"/>
        <v>-21408.553337854515</v>
      </c>
      <c r="AC220" s="69">
        <f t="shared" si="75"/>
        <v>-23374.535074885094</v>
      </c>
      <c r="AD220" s="69">
        <f t="shared" si="76"/>
        <v>625.46492511490578</v>
      </c>
      <c r="AE220" s="69">
        <f t="shared" si="77"/>
        <v>625.46492511490578</v>
      </c>
      <c r="AF220" s="69">
        <f t="shared" si="78"/>
        <v>-5374.5350748850942</v>
      </c>
    </row>
    <row r="221" spans="1:32">
      <c r="A221" s="50" t="s">
        <v>359</v>
      </c>
      <c r="B221" s="50" t="s">
        <v>357</v>
      </c>
      <c r="C221" s="50" t="s">
        <v>94</v>
      </c>
      <c r="D221" s="50">
        <v>2</v>
      </c>
      <c r="E221" s="50">
        <v>4200</v>
      </c>
      <c r="F221" s="51">
        <v>0.5726</v>
      </c>
      <c r="G221" s="4">
        <f t="shared" si="60"/>
        <v>28859.040000000001</v>
      </c>
      <c r="H221" s="50">
        <v>441</v>
      </c>
      <c r="I221" s="51">
        <v>0.5726</v>
      </c>
      <c r="J221" s="50">
        <v>278</v>
      </c>
      <c r="K221" s="50">
        <v>711</v>
      </c>
      <c r="L221">
        <f t="shared" si="61"/>
        <v>433</v>
      </c>
      <c r="M221">
        <f t="shared" si="62"/>
        <v>163</v>
      </c>
      <c r="N221" s="52">
        <f t="shared" si="63"/>
        <v>0.40115473441108551</v>
      </c>
      <c r="O221" s="53">
        <f t="shared" si="64"/>
        <v>0.5726</v>
      </c>
      <c r="P221" s="54">
        <v>402.72882380451557</v>
      </c>
      <c r="Q221" s="55">
        <f t="shared" si="65"/>
        <v>0.33044586384206109</v>
      </c>
      <c r="R221" s="55">
        <f t="shared" si="66"/>
        <v>0.58908514335539286</v>
      </c>
      <c r="S221" s="54">
        <f t="shared" si="67"/>
        <v>86593.17192004461</v>
      </c>
      <c r="T221" s="56">
        <f t="shared" si="79"/>
        <v>60615.220344031222</v>
      </c>
      <c r="U221" s="66">
        <f t="shared" si="68"/>
        <v>28859.040000000001</v>
      </c>
      <c r="V221" s="54">
        <f t="shared" si="69"/>
        <v>31756.180344031221</v>
      </c>
      <c r="X221" s="67">
        <f t="shared" si="70"/>
        <v>7167.2025774906133</v>
      </c>
      <c r="Y221" s="67">
        <f t="shared" si="71"/>
        <v>-40767.202577490614</v>
      </c>
      <c r="Z221" s="67">
        <f t="shared" si="72"/>
        <v>-16767.202577490614</v>
      </c>
      <c r="AA221" s="68">
        <f t="shared" si="73"/>
        <v>-16767.202577490614</v>
      </c>
      <c r="AB221" s="68">
        <f t="shared" si="74"/>
        <v>-22767.202577490614</v>
      </c>
      <c r="AC221" s="69">
        <f t="shared" si="75"/>
        <v>-9011.0222334593927</v>
      </c>
      <c r="AD221" s="69">
        <f t="shared" si="76"/>
        <v>14988.977766540607</v>
      </c>
      <c r="AE221" s="69">
        <f t="shared" si="77"/>
        <v>14988.977766540607</v>
      </c>
      <c r="AF221" s="69">
        <f t="shared" si="78"/>
        <v>8988.9777665406073</v>
      </c>
    </row>
    <row r="222" spans="1:32">
      <c r="A222" s="50" t="s">
        <v>360</v>
      </c>
      <c r="B222" s="50" t="s">
        <v>357</v>
      </c>
      <c r="C222" s="50" t="s">
        <v>85</v>
      </c>
      <c r="D222" s="50">
        <v>1</v>
      </c>
      <c r="E222" s="50">
        <v>2500</v>
      </c>
      <c r="F222" s="51">
        <v>0.42470000000000002</v>
      </c>
      <c r="G222" s="4">
        <f t="shared" si="60"/>
        <v>12741</v>
      </c>
      <c r="H222" s="50">
        <v>356</v>
      </c>
      <c r="I222" s="51">
        <v>0.42470000000000002</v>
      </c>
      <c r="J222" s="50">
        <v>98</v>
      </c>
      <c r="K222" s="50">
        <v>460</v>
      </c>
      <c r="L222">
        <f t="shared" si="61"/>
        <v>362</v>
      </c>
      <c r="M222">
        <f t="shared" si="62"/>
        <v>258</v>
      </c>
      <c r="N222" s="52">
        <f t="shared" si="63"/>
        <v>0.67016574585635358</v>
      </c>
      <c r="O222" s="53">
        <f t="shared" si="64"/>
        <v>0.42470000000000002</v>
      </c>
      <c r="P222" s="54">
        <v>269.48460516451428</v>
      </c>
      <c r="Q222" s="55">
        <f t="shared" si="65"/>
        <v>0.47897150312599845</v>
      </c>
      <c r="R222" s="55">
        <f t="shared" si="66"/>
        <v>0.47154195242608488</v>
      </c>
      <c r="S222" s="54">
        <f t="shared" si="67"/>
        <v>46381.753356837391</v>
      </c>
      <c r="T222" s="56">
        <f t="shared" si="79"/>
        <v>32467.227349786172</v>
      </c>
      <c r="U222" s="66">
        <f t="shared" si="68"/>
        <v>12741</v>
      </c>
      <c r="V222" s="54">
        <f t="shared" si="69"/>
        <v>19726.227349786172</v>
      </c>
      <c r="X222" s="67">
        <f t="shared" si="70"/>
        <v>5737.0937545173656</v>
      </c>
      <c r="Y222" s="67">
        <f t="shared" si="71"/>
        <v>-39337.093754517366</v>
      </c>
      <c r="Z222" s="67">
        <f t="shared" si="72"/>
        <v>-15337.093754517366</v>
      </c>
      <c r="AA222" s="68">
        <f t="shared" si="73"/>
        <v>-15337.093754517366</v>
      </c>
      <c r="AB222" s="68">
        <f t="shared" si="74"/>
        <v>-21337.093754517366</v>
      </c>
      <c r="AC222" s="69">
        <f t="shared" si="75"/>
        <v>-19610.866404731194</v>
      </c>
      <c r="AD222" s="69">
        <f t="shared" si="76"/>
        <v>4389.1335952688059</v>
      </c>
      <c r="AE222" s="69">
        <f t="shared" si="77"/>
        <v>4389.1335952688059</v>
      </c>
      <c r="AF222" s="69">
        <f t="shared" si="78"/>
        <v>-1610.8664047311941</v>
      </c>
    </row>
    <row r="223" spans="1:32">
      <c r="A223" s="50" t="s">
        <v>361</v>
      </c>
      <c r="B223" s="50" t="s">
        <v>362</v>
      </c>
      <c r="C223" s="50" t="s">
        <v>85</v>
      </c>
      <c r="D223" s="50">
        <v>1</v>
      </c>
      <c r="E223" s="50">
        <v>2500</v>
      </c>
      <c r="F223" s="51">
        <v>7.9500000000000001E-2</v>
      </c>
      <c r="G223" s="4">
        <f t="shared" si="60"/>
        <v>2385</v>
      </c>
      <c r="H223" s="50">
        <v>437</v>
      </c>
      <c r="I223" s="51">
        <v>7.9500000000000001E-2</v>
      </c>
      <c r="J223" s="50">
        <v>108</v>
      </c>
      <c r="K223" s="50">
        <v>507</v>
      </c>
      <c r="L223">
        <f t="shared" si="61"/>
        <v>399</v>
      </c>
      <c r="M223">
        <f t="shared" si="62"/>
        <v>329</v>
      </c>
      <c r="N223" s="52">
        <f t="shared" si="63"/>
        <v>0.75964912280701746</v>
      </c>
      <c r="O223" s="53">
        <f t="shared" si="64"/>
        <v>7.9500000000000001E-2</v>
      </c>
      <c r="P223" s="54">
        <v>297.02032447690937</v>
      </c>
      <c r="Q223" s="55">
        <f t="shared" si="65"/>
        <v>0.47898811925194862</v>
      </c>
      <c r="R223" s="55">
        <f t="shared" si="66"/>
        <v>0.47152880242400791</v>
      </c>
      <c r="S223" s="54">
        <f t="shared" si="67"/>
        <v>51119.577832108371</v>
      </c>
      <c r="T223" s="56">
        <f t="shared" si="79"/>
        <v>35783.704482475856</v>
      </c>
      <c r="U223" s="66">
        <f t="shared" si="68"/>
        <v>2385</v>
      </c>
      <c r="V223" s="54">
        <f t="shared" si="69"/>
        <v>33398.704482475856</v>
      </c>
      <c r="X223" s="67">
        <f t="shared" si="70"/>
        <v>5736.9337628254298</v>
      </c>
      <c r="Y223" s="67">
        <f t="shared" si="71"/>
        <v>-39336.933762825429</v>
      </c>
      <c r="Z223" s="67">
        <f t="shared" si="72"/>
        <v>-15336.933762825429</v>
      </c>
      <c r="AA223" s="68">
        <f t="shared" si="73"/>
        <v>-15336.933762825429</v>
      </c>
      <c r="AB223" s="68">
        <f t="shared" si="74"/>
        <v>-21336.933762825429</v>
      </c>
      <c r="AC223" s="69">
        <f t="shared" si="75"/>
        <v>-5938.2292803495729</v>
      </c>
      <c r="AD223" s="69">
        <f t="shared" si="76"/>
        <v>18061.770719650427</v>
      </c>
      <c r="AE223" s="69">
        <f t="shared" si="77"/>
        <v>18061.770719650427</v>
      </c>
      <c r="AF223" s="69">
        <f t="shared" si="78"/>
        <v>12061.770719650427</v>
      </c>
    </row>
    <row r="224" spans="1:32">
      <c r="A224" s="50" t="s">
        <v>363</v>
      </c>
      <c r="B224" s="50" t="s">
        <v>362</v>
      </c>
      <c r="C224" s="50" t="s">
        <v>85</v>
      </c>
      <c r="D224" s="50">
        <v>2</v>
      </c>
      <c r="E224" s="50">
        <v>3300</v>
      </c>
      <c r="F224" s="51">
        <v>0.31780000000000003</v>
      </c>
      <c r="G224" s="4">
        <f t="shared" si="60"/>
        <v>12584.880000000001</v>
      </c>
      <c r="H224" s="50">
        <v>461</v>
      </c>
      <c r="I224" s="51">
        <v>0.31780000000000003</v>
      </c>
      <c r="J224" s="50">
        <v>270</v>
      </c>
      <c r="K224" s="50">
        <v>543</v>
      </c>
      <c r="L224">
        <f t="shared" si="61"/>
        <v>273</v>
      </c>
      <c r="M224">
        <f t="shared" si="62"/>
        <v>191</v>
      </c>
      <c r="N224" s="52">
        <f t="shared" si="63"/>
        <v>0.65970695970695969</v>
      </c>
      <c r="O224" s="53">
        <f t="shared" si="64"/>
        <v>0.31780000000000003</v>
      </c>
      <c r="P224" s="54">
        <v>301.27706436577978</v>
      </c>
      <c r="Q224" s="55">
        <f t="shared" si="65"/>
        <v>0.19165440107188214</v>
      </c>
      <c r="R224" s="55">
        <f t="shared" si="66"/>
        <v>0.6989247069917125</v>
      </c>
      <c r="S224" s="54">
        <f t="shared" si="67"/>
        <v>76858.044136339216</v>
      </c>
      <c r="T224" s="56">
        <f t="shared" si="79"/>
        <v>53800.630895437447</v>
      </c>
      <c r="U224" s="66">
        <f t="shared" si="68"/>
        <v>12584.880000000001</v>
      </c>
      <c r="V224" s="54">
        <f t="shared" si="69"/>
        <v>41215.75089543745</v>
      </c>
      <c r="X224" s="67">
        <f t="shared" si="70"/>
        <v>8503.5839350658371</v>
      </c>
      <c r="Y224" s="67">
        <f t="shared" si="71"/>
        <v>-42103.583935065835</v>
      </c>
      <c r="Z224" s="67">
        <f t="shared" si="72"/>
        <v>-18103.583935065835</v>
      </c>
      <c r="AA224" s="68">
        <f t="shared" si="73"/>
        <v>-18103.583935065835</v>
      </c>
      <c r="AB224" s="68">
        <f t="shared" si="74"/>
        <v>-24103.583935065835</v>
      </c>
      <c r="AC224" s="69">
        <f t="shared" si="75"/>
        <v>-887.83303962838545</v>
      </c>
      <c r="AD224" s="69">
        <f t="shared" si="76"/>
        <v>23112.166960371615</v>
      </c>
      <c r="AE224" s="69">
        <f t="shared" si="77"/>
        <v>23112.166960371615</v>
      </c>
      <c r="AF224" s="69">
        <f t="shared" si="78"/>
        <v>17112.166960371615</v>
      </c>
    </row>
    <row r="225" spans="1:32">
      <c r="A225" s="50" t="s">
        <v>364</v>
      </c>
      <c r="B225" s="50" t="s">
        <v>362</v>
      </c>
      <c r="C225" s="50" t="s">
        <v>94</v>
      </c>
      <c r="D225" s="50">
        <v>1</v>
      </c>
      <c r="E225" s="50">
        <v>4500</v>
      </c>
      <c r="F225" s="51">
        <v>0.31230000000000002</v>
      </c>
      <c r="G225" s="4">
        <f t="shared" si="60"/>
        <v>16864.2</v>
      </c>
      <c r="H225" s="50">
        <v>669</v>
      </c>
      <c r="I225" s="51">
        <v>0.31230000000000002</v>
      </c>
      <c r="J225" s="50">
        <v>186</v>
      </c>
      <c r="K225" s="50">
        <v>829</v>
      </c>
      <c r="L225">
        <f t="shared" si="61"/>
        <v>643</v>
      </c>
      <c r="M225">
        <f t="shared" si="62"/>
        <v>483</v>
      </c>
      <c r="N225" s="52">
        <f t="shared" si="63"/>
        <v>0.7009331259720063</v>
      </c>
      <c r="O225" s="53">
        <f t="shared" si="64"/>
        <v>0.31230000000000002</v>
      </c>
      <c r="P225" s="54">
        <v>484.6342572397312</v>
      </c>
      <c r="Q225" s="55">
        <f t="shared" si="65"/>
        <v>0.47155117541490665</v>
      </c>
      <c r="R225" s="55">
        <f t="shared" si="66"/>
        <v>0.47741439977664291</v>
      </c>
      <c r="S225" s="54">
        <f t="shared" si="67"/>
        <v>84450.551156426474</v>
      </c>
      <c r="T225" s="56">
        <f t="shared" si="79"/>
        <v>59115.385809498526</v>
      </c>
      <c r="U225" s="66">
        <f t="shared" si="68"/>
        <v>16864.2</v>
      </c>
      <c r="V225" s="54">
        <f t="shared" si="69"/>
        <v>42251.185809498522</v>
      </c>
      <c r="X225" s="67">
        <f t="shared" si="70"/>
        <v>5808.5418639491554</v>
      </c>
      <c r="Y225" s="67">
        <f t="shared" si="71"/>
        <v>-39408.541863949155</v>
      </c>
      <c r="Z225" s="67">
        <f t="shared" si="72"/>
        <v>-15408.541863949155</v>
      </c>
      <c r="AA225" s="68">
        <f t="shared" si="73"/>
        <v>-15408.541863949155</v>
      </c>
      <c r="AB225" s="68">
        <f t="shared" si="74"/>
        <v>-21408.541863949155</v>
      </c>
      <c r="AC225" s="69">
        <f t="shared" si="75"/>
        <v>2842.6439455493673</v>
      </c>
      <c r="AD225" s="69">
        <f t="shared" si="76"/>
        <v>26842.643945549367</v>
      </c>
      <c r="AE225" s="69">
        <f t="shared" si="77"/>
        <v>26842.643945549367</v>
      </c>
      <c r="AF225" s="69">
        <f t="shared" si="78"/>
        <v>20842.643945549367</v>
      </c>
    </row>
    <row r="226" spans="1:32">
      <c r="A226" s="50" t="s">
        <v>365</v>
      </c>
      <c r="B226" s="50" t="s">
        <v>325</v>
      </c>
      <c r="C226" s="50" t="s">
        <v>85</v>
      </c>
      <c r="D226" s="50">
        <v>1</v>
      </c>
      <c r="E226" s="50">
        <v>500</v>
      </c>
      <c r="F226" s="51">
        <v>0.39729999999999999</v>
      </c>
      <c r="G226" s="4">
        <f t="shared" si="60"/>
        <v>2383.7999999999997</v>
      </c>
      <c r="H226" s="50">
        <v>121</v>
      </c>
      <c r="I226" s="51">
        <v>0.39729999999999999</v>
      </c>
      <c r="J226" s="50">
        <v>50</v>
      </c>
      <c r="K226" s="50">
        <v>174</v>
      </c>
      <c r="L226">
        <f t="shared" si="61"/>
        <v>124</v>
      </c>
      <c r="M226">
        <f t="shared" si="62"/>
        <v>71</v>
      </c>
      <c r="N226" s="52">
        <f t="shared" si="63"/>
        <v>0.5580645161290323</v>
      </c>
      <c r="O226" s="53">
        <f t="shared" si="64"/>
        <v>0.39729999999999999</v>
      </c>
      <c r="P226" s="54">
        <v>100.52511337127076</v>
      </c>
      <c r="Q226" s="55">
        <f t="shared" si="65"/>
        <v>0.42596847336303723</v>
      </c>
      <c r="R226" s="55">
        <f t="shared" si="66"/>
        <v>0.51348855018049244</v>
      </c>
      <c r="S226" s="54">
        <f t="shared" si="67"/>
        <v>18840.750573436362</v>
      </c>
      <c r="T226" s="56">
        <f t="shared" si="79"/>
        <v>13188.525401405454</v>
      </c>
      <c r="U226" s="66">
        <f t="shared" si="68"/>
        <v>2383.7999999999997</v>
      </c>
      <c r="V226" s="54">
        <f t="shared" si="69"/>
        <v>10804.725401405454</v>
      </c>
      <c r="X226" s="67">
        <f t="shared" si="70"/>
        <v>6247.4440271959911</v>
      </c>
      <c r="Y226" s="67">
        <f t="shared" si="71"/>
        <v>-39847.44402719599</v>
      </c>
      <c r="Z226" s="67">
        <f t="shared" si="72"/>
        <v>-15847.44402719599</v>
      </c>
      <c r="AA226" s="68">
        <f t="shared" si="73"/>
        <v>-15847.44402719599</v>
      </c>
      <c r="AB226" s="68">
        <f t="shared" si="74"/>
        <v>-21847.44402719599</v>
      </c>
      <c r="AC226" s="69">
        <f t="shared" si="75"/>
        <v>-29042.718625790534</v>
      </c>
      <c r="AD226" s="69">
        <f t="shared" si="76"/>
        <v>-5042.718625790536</v>
      </c>
      <c r="AE226" s="69">
        <f t="shared" si="77"/>
        <v>-5042.718625790536</v>
      </c>
      <c r="AF226" s="69">
        <f t="shared" si="78"/>
        <v>-11042.718625790536</v>
      </c>
    </row>
    <row r="227" spans="1:32">
      <c r="A227" s="50" t="s">
        <v>366</v>
      </c>
      <c r="B227" s="50" t="s">
        <v>362</v>
      </c>
      <c r="C227" s="50" t="s">
        <v>94</v>
      </c>
      <c r="D227" s="50">
        <v>2</v>
      </c>
      <c r="E227" s="50">
        <v>4200</v>
      </c>
      <c r="F227" s="51">
        <v>0.61099999999999999</v>
      </c>
      <c r="G227" s="4">
        <f t="shared" si="60"/>
        <v>30794.399999999998</v>
      </c>
      <c r="H227" s="50">
        <v>437</v>
      </c>
      <c r="I227" s="51">
        <v>0.61099999999999999</v>
      </c>
      <c r="J227" s="50">
        <v>319</v>
      </c>
      <c r="K227" s="50">
        <v>815</v>
      </c>
      <c r="L227">
        <f t="shared" si="61"/>
        <v>496</v>
      </c>
      <c r="M227">
        <f t="shared" si="62"/>
        <v>118</v>
      </c>
      <c r="N227" s="52">
        <f t="shared" si="63"/>
        <v>0.29032258064516131</v>
      </c>
      <c r="O227" s="53">
        <f t="shared" si="64"/>
        <v>0.61099999999999999</v>
      </c>
      <c r="P227" s="54">
        <v>461.60045398508026</v>
      </c>
      <c r="Q227" s="55">
        <f t="shared" si="65"/>
        <v>0.33000073223400039</v>
      </c>
      <c r="R227" s="55">
        <f t="shared" si="66"/>
        <v>0.58943742051001213</v>
      </c>
      <c r="S227" s="54">
        <f t="shared" si="67"/>
        <v>99310.872029673934</v>
      </c>
      <c r="T227" s="56">
        <f t="shared" si="79"/>
        <v>69517.610420771744</v>
      </c>
      <c r="U227" s="66">
        <f t="shared" si="68"/>
        <v>30794.399999999998</v>
      </c>
      <c r="V227" s="54">
        <f t="shared" si="69"/>
        <v>38723.210420771749</v>
      </c>
      <c r="X227" s="67">
        <f t="shared" si="70"/>
        <v>7171.4886162051489</v>
      </c>
      <c r="Y227" s="67">
        <f t="shared" si="71"/>
        <v>-40771.488616205148</v>
      </c>
      <c r="Z227" s="67">
        <f t="shared" si="72"/>
        <v>-16771.488616205148</v>
      </c>
      <c r="AA227" s="68">
        <f t="shared" si="73"/>
        <v>-16771.488616205148</v>
      </c>
      <c r="AB227" s="68">
        <f t="shared" si="74"/>
        <v>-22771.488616205148</v>
      </c>
      <c r="AC227" s="69">
        <f t="shared" si="75"/>
        <v>-2048.2781954333987</v>
      </c>
      <c r="AD227" s="69">
        <f t="shared" si="76"/>
        <v>21951.721804566601</v>
      </c>
      <c r="AE227" s="69">
        <f t="shared" si="77"/>
        <v>21951.721804566601</v>
      </c>
      <c r="AF227" s="69">
        <f t="shared" si="78"/>
        <v>15951.721804566601</v>
      </c>
    </row>
    <row r="228" spans="1:32">
      <c r="A228" s="50" t="s">
        <v>367</v>
      </c>
      <c r="B228" s="50" t="s">
        <v>368</v>
      </c>
      <c r="C228" s="50" t="s">
        <v>85</v>
      </c>
      <c r="D228" s="50">
        <v>2</v>
      </c>
      <c r="E228" s="50">
        <v>3600</v>
      </c>
      <c r="F228" s="51">
        <v>0.2329</v>
      </c>
      <c r="G228" s="4">
        <f t="shared" si="60"/>
        <v>10061.280000000001</v>
      </c>
      <c r="H228" s="50">
        <v>663</v>
      </c>
      <c r="I228" s="51">
        <v>0.2329</v>
      </c>
      <c r="J228" s="50">
        <v>332</v>
      </c>
      <c r="K228" s="50">
        <v>805</v>
      </c>
      <c r="L228">
        <f t="shared" si="61"/>
        <v>473</v>
      </c>
      <c r="M228">
        <f t="shared" si="62"/>
        <v>331</v>
      </c>
      <c r="N228" s="52">
        <f t="shared" si="63"/>
        <v>0.65983086680761105</v>
      </c>
      <c r="O228" s="53">
        <f t="shared" si="64"/>
        <v>0.2329</v>
      </c>
      <c r="P228" s="54">
        <v>454.09176435646492</v>
      </c>
      <c r="Q228" s="55">
        <f t="shared" si="65"/>
        <v>0.30649769870015209</v>
      </c>
      <c r="R228" s="55">
        <f t="shared" si="66"/>
        <v>0.6080377212486997</v>
      </c>
      <c r="S228" s="54">
        <f t="shared" si="67"/>
        <v>100778.29639754386</v>
      </c>
      <c r="T228" s="56">
        <f t="shared" si="79"/>
        <v>70544.807478280694</v>
      </c>
      <c r="U228" s="66">
        <f t="shared" si="68"/>
        <v>10061.280000000001</v>
      </c>
      <c r="V228" s="54">
        <f t="shared" si="69"/>
        <v>60483.527478280696</v>
      </c>
      <c r="X228" s="67">
        <f t="shared" si="70"/>
        <v>7397.7922751925134</v>
      </c>
      <c r="Y228" s="67">
        <f t="shared" si="71"/>
        <v>-40997.792275192514</v>
      </c>
      <c r="Z228" s="67">
        <f t="shared" si="72"/>
        <v>-16997.792275192514</v>
      </c>
      <c r="AA228" s="68">
        <f t="shared" si="73"/>
        <v>-16997.792275192514</v>
      </c>
      <c r="AB228" s="68">
        <f t="shared" si="74"/>
        <v>-22997.792275192514</v>
      </c>
      <c r="AC228" s="69">
        <f t="shared" si="75"/>
        <v>19485.735203088181</v>
      </c>
      <c r="AD228" s="69">
        <f t="shared" si="76"/>
        <v>43485.735203088181</v>
      </c>
      <c r="AE228" s="69">
        <f t="shared" si="77"/>
        <v>43485.735203088181</v>
      </c>
      <c r="AF228" s="69">
        <f t="shared" si="78"/>
        <v>37485.735203088181</v>
      </c>
    </row>
    <row r="229" spans="1:32">
      <c r="A229" s="50" t="s">
        <v>369</v>
      </c>
      <c r="B229" s="50" t="s">
        <v>368</v>
      </c>
      <c r="C229" s="50" t="s">
        <v>94</v>
      </c>
      <c r="D229" s="50">
        <v>1</v>
      </c>
      <c r="E229" s="50">
        <v>4000</v>
      </c>
      <c r="F229" s="51">
        <v>0.50680000000000003</v>
      </c>
      <c r="G229" s="4">
        <f t="shared" si="60"/>
        <v>24326.400000000001</v>
      </c>
      <c r="H229" s="50">
        <v>337</v>
      </c>
      <c r="I229" s="51">
        <v>0.50680000000000003</v>
      </c>
      <c r="J229" s="50">
        <v>179</v>
      </c>
      <c r="K229" s="50">
        <v>629</v>
      </c>
      <c r="L229">
        <f t="shared" si="61"/>
        <v>450</v>
      </c>
      <c r="M229">
        <f t="shared" si="62"/>
        <v>158</v>
      </c>
      <c r="N229" s="52">
        <f t="shared" si="63"/>
        <v>0.38088888888888894</v>
      </c>
      <c r="O229" s="53">
        <f t="shared" si="64"/>
        <v>0.50680000000000003</v>
      </c>
      <c r="P229" s="54">
        <v>363.58307271831882</v>
      </c>
      <c r="Q229" s="55">
        <f t="shared" si="65"/>
        <v>0.42814768483256682</v>
      </c>
      <c r="R229" s="55">
        <f t="shared" si="66"/>
        <v>0.51176392222350664</v>
      </c>
      <c r="S229" s="54">
        <f t="shared" si="67"/>
        <v>67915.075262166472</v>
      </c>
      <c r="T229" s="56">
        <f t="shared" si="79"/>
        <v>47540.552683516529</v>
      </c>
      <c r="U229" s="66">
        <f t="shared" si="68"/>
        <v>24326.400000000001</v>
      </c>
      <c r="V229" s="54">
        <f t="shared" si="69"/>
        <v>23214.152683516528</v>
      </c>
      <c r="X229" s="67">
        <f t="shared" si="70"/>
        <v>6226.4610537193312</v>
      </c>
      <c r="Y229" s="67">
        <f t="shared" si="71"/>
        <v>-39826.461053719329</v>
      </c>
      <c r="Z229" s="67">
        <f t="shared" si="72"/>
        <v>-15826.461053719331</v>
      </c>
      <c r="AA229" s="68">
        <f t="shared" si="73"/>
        <v>-15826.461053719331</v>
      </c>
      <c r="AB229" s="68">
        <f t="shared" si="74"/>
        <v>-21826.461053719329</v>
      </c>
      <c r="AC229" s="69">
        <f t="shared" si="75"/>
        <v>-16612.308370202802</v>
      </c>
      <c r="AD229" s="69">
        <f t="shared" si="76"/>
        <v>7387.6916297971966</v>
      </c>
      <c r="AE229" s="69">
        <f t="shared" si="77"/>
        <v>7387.6916297971966</v>
      </c>
      <c r="AF229" s="69">
        <f t="shared" si="78"/>
        <v>1387.6916297971984</v>
      </c>
    </row>
    <row r="230" spans="1:32">
      <c r="A230" s="50" t="s">
        <v>370</v>
      </c>
      <c r="B230" s="50" t="s">
        <v>368</v>
      </c>
      <c r="C230" s="50" t="s">
        <v>94</v>
      </c>
      <c r="D230" s="50">
        <v>2</v>
      </c>
      <c r="E230" s="50">
        <v>5500</v>
      </c>
      <c r="F230" s="51">
        <v>0.61639999999999995</v>
      </c>
      <c r="G230" s="4">
        <f t="shared" si="60"/>
        <v>40682.399999999994</v>
      </c>
      <c r="H230" s="50">
        <v>447</v>
      </c>
      <c r="I230" s="51">
        <v>0.61639999999999995</v>
      </c>
      <c r="J230" s="50">
        <v>227</v>
      </c>
      <c r="K230" s="50">
        <v>813</v>
      </c>
      <c r="L230">
        <f t="shared" si="61"/>
        <v>586</v>
      </c>
      <c r="M230">
        <f t="shared" si="62"/>
        <v>220</v>
      </c>
      <c r="N230" s="52">
        <f t="shared" si="63"/>
        <v>0.40034129692832765</v>
      </c>
      <c r="O230" s="53">
        <f t="shared" si="64"/>
        <v>0.61639999999999995</v>
      </c>
      <c r="P230" s="54">
        <v>470.4170670287441</v>
      </c>
      <c r="Q230" s="55">
        <f t="shared" si="65"/>
        <v>0.43230998911773943</v>
      </c>
      <c r="R230" s="55">
        <f t="shared" si="66"/>
        <v>0.50846987461222104</v>
      </c>
      <c r="S230" s="54">
        <f t="shared" si="67"/>
        <v>87305.41108695732</v>
      </c>
      <c r="T230" s="56">
        <f t="shared" si="79"/>
        <v>61113.787760870116</v>
      </c>
      <c r="U230" s="66">
        <f t="shared" si="68"/>
        <v>40682.399999999994</v>
      </c>
      <c r="V230" s="54">
        <f t="shared" si="69"/>
        <v>20431.387760870122</v>
      </c>
      <c r="X230" s="67">
        <f t="shared" si="70"/>
        <v>6186.3834744486894</v>
      </c>
      <c r="Y230" s="67">
        <f t="shared" si="71"/>
        <v>-39786.383474448689</v>
      </c>
      <c r="Z230" s="67">
        <f t="shared" si="72"/>
        <v>-15786.383474448689</v>
      </c>
      <c r="AA230" s="68">
        <f t="shared" si="73"/>
        <v>-15786.383474448689</v>
      </c>
      <c r="AB230" s="68">
        <f t="shared" si="74"/>
        <v>-21786.383474448689</v>
      </c>
      <c r="AC230" s="69">
        <f t="shared" si="75"/>
        <v>-19354.995713578566</v>
      </c>
      <c r="AD230" s="69">
        <f t="shared" si="76"/>
        <v>4645.0042864214338</v>
      </c>
      <c r="AE230" s="69">
        <f t="shared" si="77"/>
        <v>4645.0042864214338</v>
      </c>
      <c r="AF230" s="69">
        <f t="shared" si="78"/>
        <v>-1354.9957135785662</v>
      </c>
    </row>
    <row r="231" spans="1:32">
      <c r="A231" s="50" t="s">
        <v>371</v>
      </c>
      <c r="B231" s="50" t="s">
        <v>368</v>
      </c>
      <c r="C231" s="50" t="s">
        <v>85</v>
      </c>
      <c r="D231" s="50">
        <v>1</v>
      </c>
      <c r="E231" s="50">
        <v>3000</v>
      </c>
      <c r="F231" s="51">
        <v>0.1014</v>
      </c>
      <c r="G231" s="4">
        <f t="shared" si="60"/>
        <v>3650.4</v>
      </c>
      <c r="H231" s="50">
        <v>610</v>
      </c>
      <c r="I231" s="51">
        <v>0.1014</v>
      </c>
      <c r="J231" s="50">
        <v>115</v>
      </c>
      <c r="K231" s="50">
        <v>650</v>
      </c>
      <c r="L231">
        <f t="shared" si="61"/>
        <v>535</v>
      </c>
      <c r="M231">
        <f t="shared" si="62"/>
        <v>495</v>
      </c>
      <c r="N231" s="52">
        <f t="shared" si="63"/>
        <v>0.84018691588785044</v>
      </c>
      <c r="O231" s="53">
        <f t="shared" si="64"/>
        <v>0.1014</v>
      </c>
      <c r="P231" s="54">
        <v>383.35431928733459</v>
      </c>
      <c r="Q231" s="55">
        <f t="shared" si="65"/>
        <v>0.50127748678479944</v>
      </c>
      <c r="R231" s="55">
        <f t="shared" si="66"/>
        <v>0.45388899695850976</v>
      </c>
      <c r="S231" s="54">
        <f t="shared" si="67"/>
        <v>63510.112223279815</v>
      </c>
      <c r="T231" s="56">
        <f t="shared" si="79"/>
        <v>44457.07855629587</v>
      </c>
      <c r="U231" s="66">
        <f t="shared" si="68"/>
        <v>3650.4</v>
      </c>
      <c r="V231" s="54">
        <f t="shared" si="69"/>
        <v>40806.678556295868</v>
      </c>
      <c r="X231" s="67">
        <f t="shared" si="70"/>
        <v>5522.3161296618691</v>
      </c>
      <c r="Y231" s="67">
        <f t="shared" si="71"/>
        <v>-39122.316129661871</v>
      </c>
      <c r="Z231" s="67">
        <f t="shared" si="72"/>
        <v>-15122.316129661869</v>
      </c>
      <c r="AA231" s="68">
        <f t="shared" si="73"/>
        <v>-15122.316129661869</v>
      </c>
      <c r="AB231" s="68">
        <f t="shared" si="74"/>
        <v>-21122.316129661871</v>
      </c>
      <c r="AC231" s="69">
        <f t="shared" si="75"/>
        <v>1684.3624266339975</v>
      </c>
      <c r="AD231" s="69">
        <f t="shared" si="76"/>
        <v>25684.362426633998</v>
      </c>
      <c r="AE231" s="69">
        <f t="shared" si="77"/>
        <v>25684.362426633998</v>
      </c>
      <c r="AF231" s="69">
        <f t="shared" si="78"/>
        <v>19684.362426633998</v>
      </c>
    </row>
    <row r="232" spans="1:32">
      <c r="A232" s="50" t="s">
        <v>372</v>
      </c>
      <c r="B232" s="50" t="s">
        <v>373</v>
      </c>
      <c r="C232" s="50" t="s">
        <v>85</v>
      </c>
      <c r="D232" s="50">
        <v>2</v>
      </c>
      <c r="E232" s="50">
        <v>4000</v>
      </c>
      <c r="F232" s="51">
        <v>0.31509999999999999</v>
      </c>
      <c r="G232" s="4">
        <f t="shared" si="60"/>
        <v>15124.8</v>
      </c>
      <c r="H232" s="50">
        <v>302</v>
      </c>
      <c r="I232" s="51">
        <v>0.31509999999999999</v>
      </c>
      <c r="J232" s="50">
        <v>220</v>
      </c>
      <c r="K232" s="50">
        <v>534</v>
      </c>
      <c r="L232">
        <f t="shared" si="61"/>
        <v>314</v>
      </c>
      <c r="M232">
        <f t="shared" si="62"/>
        <v>82</v>
      </c>
      <c r="N232" s="52">
        <f t="shared" si="63"/>
        <v>0.30891719745222934</v>
      </c>
      <c r="O232" s="53">
        <f t="shared" si="64"/>
        <v>0.31509999999999999</v>
      </c>
      <c r="P232" s="54">
        <v>301.24907740789365</v>
      </c>
      <c r="Q232" s="55">
        <f t="shared" si="65"/>
        <v>0.30700401887361439</v>
      </c>
      <c r="R232" s="55">
        <f t="shared" si="66"/>
        <v>0.60763701946342163</v>
      </c>
      <c r="S232" s="54">
        <f t="shared" si="67"/>
        <v>66813.283401966895</v>
      </c>
      <c r="T232" s="56">
        <f t="shared" si="79"/>
        <v>46769.298381376822</v>
      </c>
      <c r="U232" s="66">
        <f t="shared" si="68"/>
        <v>15124.8</v>
      </c>
      <c r="V232" s="54">
        <f t="shared" si="69"/>
        <v>31644.498381376823</v>
      </c>
      <c r="X232" s="67">
        <f t="shared" si="70"/>
        <v>7392.9170701382973</v>
      </c>
      <c r="Y232" s="67">
        <f t="shared" si="71"/>
        <v>-40992.917070138297</v>
      </c>
      <c r="Z232" s="67">
        <f t="shared" si="72"/>
        <v>-16992.917070138297</v>
      </c>
      <c r="AA232" s="68">
        <f t="shared" si="73"/>
        <v>-16992.917070138297</v>
      </c>
      <c r="AB232" s="68">
        <f t="shared" si="74"/>
        <v>-22992.917070138297</v>
      </c>
      <c r="AC232" s="69">
        <f t="shared" si="75"/>
        <v>-9348.4186887614742</v>
      </c>
      <c r="AD232" s="69">
        <f t="shared" si="76"/>
        <v>14651.581311238526</v>
      </c>
      <c r="AE232" s="69">
        <f t="shared" si="77"/>
        <v>14651.581311238526</v>
      </c>
      <c r="AF232" s="69">
        <f t="shared" si="78"/>
        <v>8651.5813112385258</v>
      </c>
    </row>
    <row r="233" spans="1:32">
      <c r="A233" s="50" t="s">
        <v>374</v>
      </c>
      <c r="B233" s="50" t="s">
        <v>373</v>
      </c>
      <c r="C233" s="50" t="s">
        <v>94</v>
      </c>
      <c r="D233" s="50">
        <v>1</v>
      </c>
      <c r="E233" s="50">
        <v>4000</v>
      </c>
      <c r="F233" s="51">
        <v>0.65210000000000001</v>
      </c>
      <c r="G233" s="4">
        <f t="shared" si="60"/>
        <v>31300.799999999999</v>
      </c>
      <c r="H233" s="50">
        <v>213</v>
      </c>
      <c r="I233" s="51">
        <v>0.65210000000000001</v>
      </c>
      <c r="J233" s="50">
        <v>128</v>
      </c>
      <c r="K233" s="50">
        <v>450</v>
      </c>
      <c r="L233">
        <f t="shared" si="61"/>
        <v>322</v>
      </c>
      <c r="M233">
        <f t="shared" si="62"/>
        <v>85</v>
      </c>
      <c r="N233" s="52">
        <f t="shared" si="63"/>
        <v>0.31118012422360253</v>
      </c>
      <c r="O233" s="53">
        <f t="shared" si="64"/>
        <v>0.65210000000000001</v>
      </c>
      <c r="P233" s="54">
        <v>260.12166605479308</v>
      </c>
      <c r="Q233" s="55">
        <f t="shared" si="65"/>
        <v>0.42825258647153563</v>
      </c>
      <c r="R233" s="55">
        <f t="shared" si="66"/>
        <v>0.51168090306642666</v>
      </c>
      <c r="S233" s="54">
        <f t="shared" si="67"/>
        <v>48581.240482831898</v>
      </c>
      <c r="T233" s="56">
        <f t="shared" si="79"/>
        <v>34006.868337982327</v>
      </c>
      <c r="U233" s="66">
        <f t="shared" si="68"/>
        <v>31300.799999999999</v>
      </c>
      <c r="V233" s="54">
        <f t="shared" si="69"/>
        <v>2706.0683379823276</v>
      </c>
      <c r="X233" s="67">
        <f t="shared" si="70"/>
        <v>6225.4509873081915</v>
      </c>
      <c r="Y233" s="67">
        <f t="shared" si="71"/>
        <v>-39825.450987308192</v>
      </c>
      <c r="Z233" s="67">
        <f t="shared" si="72"/>
        <v>-15825.450987308192</v>
      </c>
      <c r="AA233" s="68">
        <f t="shared" si="73"/>
        <v>-15825.450987308192</v>
      </c>
      <c r="AB233" s="68">
        <f t="shared" si="74"/>
        <v>-21825.450987308192</v>
      </c>
      <c r="AC233" s="69">
        <f t="shared" si="75"/>
        <v>-37119.382649325868</v>
      </c>
      <c r="AD233" s="69">
        <f t="shared" si="76"/>
        <v>-13119.382649325864</v>
      </c>
      <c r="AE233" s="69">
        <f t="shared" si="77"/>
        <v>-13119.382649325864</v>
      </c>
      <c r="AF233" s="69">
        <f t="shared" si="78"/>
        <v>-19119.382649325864</v>
      </c>
    </row>
    <row r="234" spans="1:32">
      <c r="A234" s="50" t="s">
        <v>375</v>
      </c>
      <c r="B234" s="50" t="s">
        <v>373</v>
      </c>
      <c r="C234" s="50" t="s">
        <v>94</v>
      </c>
      <c r="D234" s="50">
        <v>2</v>
      </c>
      <c r="E234" s="50">
        <v>5000</v>
      </c>
      <c r="F234" s="51">
        <v>0.51229999999999998</v>
      </c>
      <c r="G234" s="4">
        <f t="shared" si="60"/>
        <v>30738</v>
      </c>
      <c r="H234" s="50">
        <v>364</v>
      </c>
      <c r="I234" s="51">
        <v>0.51229999999999998</v>
      </c>
      <c r="J234" s="50">
        <v>152</v>
      </c>
      <c r="K234" s="50">
        <v>546</v>
      </c>
      <c r="L234">
        <f t="shared" si="61"/>
        <v>394</v>
      </c>
      <c r="M234">
        <f t="shared" si="62"/>
        <v>212</v>
      </c>
      <c r="N234" s="52">
        <f t="shared" si="63"/>
        <v>0.53045685279187826</v>
      </c>
      <c r="O234" s="53">
        <f t="shared" si="64"/>
        <v>0.51229999999999998</v>
      </c>
      <c r="P234" s="54">
        <v>315.97495700226136</v>
      </c>
      <c r="Q234" s="55">
        <f t="shared" si="65"/>
        <v>0.43294407513149513</v>
      </c>
      <c r="R234" s="55">
        <f t="shared" si="66"/>
        <v>0.50796805894093477</v>
      </c>
      <c r="S234" s="54">
        <f t="shared" si="67"/>
        <v>58584.392737570175</v>
      </c>
      <c r="T234" s="56">
        <f t="shared" si="79"/>
        <v>41009.07491629912</v>
      </c>
      <c r="U234" s="66">
        <f t="shared" si="68"/>
        <v>30738</v>
      </c>
      <c r="V234" s="54">
        <f t="shared" si="69"/>
        <v>10271.07491629912</v>
      </c>
      <c r="X234" s="67">
        <f t="shared" si="70"/>
        <v>6180.2780504480406</v>
      </c>
      <c r="Y234" s="67">
        <f t="shared" si="71"/>
        <v>-39780.27805044804</v>
      </c>
      <c r="Z234" s="67">
        <f t="shared" si="72"/>
        <v>-15780.27805044804</v>
      </c>
      <c r="AA234" s="68">
        <f t="shared" si="73"/>
        <v>-15780.27805044804</v>
      </c>
      <c r="AB234" s="68">
        <f t="shared" si="74"/>
        <v>-21780.27805044804</v>
      </c>
      <c r="AC234" s="69">
        <f t="shared" si="75"/>
        <v>-29509.20313414892</v>
      </c>
      <c r="AD234" s="69">
        <f t="shared" si="76"/>
        <v>-5509.2031341489201</v>
      </c>
      <c r="AE234" s="69">
        <f t="shared" si="77"/>
        <v>-5509.2031341489201</v>
      </c>
      <c r="AF234" s="69">
        <f t="shared" si="78"/>
        <v>-11509.20313414892</v>
      </c>
    </row>
    <row r="235" spans="1:32">
      <c r="A235" s="50" t="s">
        <v>376</v>
      </c>
      <c r="B235" s="50" t="s">
        <v>373</v>
      </c>
      <c r="C235" s="50" t="s">
        <v>85</v>
      </c>
      <c r="D235" s="50">
        <v>1</v>
      </c>
      <c r="E235" s="50">
        <v>3200</v>
      </c>
      <c r="F235" s="51">
        <v>0.62739999999999996</v>
      </c>
      <c r="G235" s="4">
        <f t="shared" si="60"/>
        <v>24092.16</v>
      </c>
      <c r="H235" s="50">
        <v>251</v>
      </c>
      <c r="I235" s="51">
        <v>0.62739999999999996</v>
      </c>
      <c r="J235" s="50">
        <v>94</v>
      </c>
      <c r="K235" s="50">
        <v>528</v>
      </c>
      <c r="L235">
        <f t="shared" si="61"/>
        <v>434</v>
      </c>
      <c r="M235">
        <f t="shared" si="62"/>
        <v>157</v>
      </c>
      <c r="N235" s="52">
        <f t="shared" si="63"/>
        <v>0.38940092165898621</v>
      </c>
      <c r="O235" s="53">
        <f t="shared" si="64"/>
        <v>0.62739999999999996</v>
      </c>
      <c r="P235" s="54">
        <v>311.33789679944528</v>
      </c>
      <c r="Q235" s="55">
        <f t="shared" si="65"/>
        <v>0.50062285124321715</v>
      </c>
      <c r="R235" s="55">
        <f t="shared" si="66"/>
        <v>0.45440707552611798</v>
      </c>
      <c r="S235" s="54">
        <f t="shared" si="67"/>
        <v>51638.062262557214</v>
      </c>
      <c r="T235" s="56">
        <f t="shared" si="79"/>
        <v>36146.64358379005</v>
      </c>
      <c r="U235" s="66">
        <f t="shared" si="68"/>
        <v>24092.16</v>
      </c>
      <c r="V235" s="54">
        <f t="shared" si="69"/>
        <v>12054.48358379005</v>
      </c>
      <c r="X235" s="67">
        <f t="shared" si="70"/>
        <v>5528.6194189011021</v>
      </c>
      <c r="Y235" s="67">
        <f t="shared" si="71"/>
        <v>-39128.6194189011</v>
      </c>
      <c r="Z235" s="67">
        <f t="shared" si="72"/>
        <v>-15128.619418901102</v>
      </c>
      <c r="AA235" s="68">
        <f t="shared" si="73"/>
        <v>-15128.619418901102</v>
      </c>
      <c r="AB235" s="68">
        <f t="shared" si="74"/>
        <v>-21128.6194189011</v>
      </c>
      <c r="AC235" s="69">
        <f t="shared" si="75"/>
        <v>-27074.13583511105</v>
      </c>
      <c r="AD235" s="69">
        <f t="shared" si="76"/>
        <v>-3074.1358351110521</v>
      </c>
      <c r="AE235" s="69">
        <f t="shared" si="77"/>
        <v>-3074.1358351110521</v>
      </c>
      <c r="AF235" s="69">
        <f t="shared" si="78"/>
        <v>-9074.1358351110503</v>
      </c>
    </row>
    <row r="236" spans="1:32">
      <c r="A236" s="50" t="s">
        <v>377</v>
      </c>
      <c r="B236" s="50" t="s">
        <v>378</v>
      </c>
      <c r="C236" s="50" t="s">
        <v>85</v>
      </c>
      <c r="D236" s="50">
        <v>2</v>
      </c>
      <c r="E236" s="50">
        <v>3500</v>
      </c>
      <c r="F236" s="51">
        <v>0.39729999999999999</v>
      </c>
      <c r="G236" s="4">
        <f t="shared" si="60"/>
        <v>16686.599999999999</v>
      </c>
      <c r="H236" s="50">
        <v>343</v>
      </c>
      <c r="I236" s="51">
        <v>0.39729999999999999</v>
      </c>
      <c r="J236" s="50">
        <v>194</v>
      </c>
      <c r="K236" s="50">
        <v>471</v>
      </c>
      <c r="L236">
        <f t="shared" si="61"/>
        <v>277</v>
      </c>
      <c r="M236">
        <f t="shared" si="62"/>
        <v>149</v>
      </c>
      <c r="N236" s="52">
        <f t="shared" si="63"/>
        <v>0.53032490974729241</v>
      </c>
      <c r="O236" s="53">
        <f t="shared" si="64"/>
        <v>0.39729999999999999</v>
      </c>
      <c r="P236" s="54">
        <v>265.71335863040389</v>
      </c>
      <c r="Q236" s="55">
        <f t="shared" si="65"/>
        <v>0.30711439315640116</v>
      </c>
      <c r="R236" s="55">
        <f t="shared" si="66"/>
        <v>0.60754966925602416</v>
      </c>
      <c r="S236" s="54">
        <f t="shared" si="67"/>
        <v>58923.433050775369</v>
      </c>
      <c r="T236" s="56">
        <f t="shared" si="79"/>
        <v>41246.403135542758</v>
      </c>
      <c r="U236" s="66">
        <f t="shared" si="68"/>
        <v>16686.599999999999</v>
      </c>
      <c r="V236" s="54">
        <f t="shared" si="69"/>
        <v>24559.803135542759</v>
      </c>
      <c r="X236" s="67">
        <f t="shared" si="70"/>
        <v>7391.854309281628</v>
      </c>
      <c r="Y236" s="67">
        <f t="shared" si="71"/>
        <v>-40991.854309281625</v>
      </c>
      <c r="Z236" s="67">
        <f t="shared" si="72"/>
        <v>-16991.854309281629</v>
      </c>
      <c r="AA236" s="68">
        <f t="shared" si="73"/>
        <v>-16991.854309281629</v>
      </c>
      <c r="AB236" s="68">
        <f t="shared" si="74"/>
        <v>-22991.854309281629</v>
      </c>
      <c r="AC236" s="69">
        <f t="shared" si="75"/>
        <v>-16432.051173738866</v>
      </c>
      <c r="AD236" s="69">
        <f t="shared" si="76"/>
        <v>7567.9488262611303</v>
      </c>
      <c r="AE236" s="69">
        <f t="shared" si="77"/>
        <v>7567.9488262611303</v>
      </c>
      <c r="AF236" s="69">
        <f t="shared" si="78"/>
        <v>1567.9488262611303</v>
      </c>
    </row>
    <row r="237" spans="1:32">
      <c r="A237" s="50" t="s">
        <v>379</v>
      </c>
      <c r="B237" s="50" t="s">
        <v>87</v>
      </c>
      <c r="C237" s="50" t="s">
        <v>85</v>
      </c>
      <c r="D237" s="50">
        <v>1</v>
      </c>
      <c r="E237" s="50">
        <v>965</v>
      </c>
      <c r="F237" s="51">
        <v>0.37530000000000002</v>
      </c>
      <c r="G237" s="4">
        <f t="shared" si="60"/>
        <v>4345.9740000000002</v>
      </c>
      <c r="H237" s="50">
        <v>125</v>
      </c>
      <c r="I237" s="51">
        <v>0.37530000000000002</v>
      </c>
      <c r="J237" s="50">
        <v>50</v>
      </c>
      <c r="K237" s="50">
        <v>174</v>
      </c>
      <c r="L237">
        <f t="shared" si="61"/>
        <v>124</v>
      </c>
      <c r="M237">
        <f t="shared" si="62"/>
        <v>75</v>
      </c>
      <c r="N237" s="52">
        <f t="shared" si="63"/>
        <v>0.58387096774193548</v>
      </c>
      <c r="O237" s="53">
        <f t="shared" si="64"/>
        <v>0.37530000000000002</v>
      </c>
      <c r="P237" s="54">
        <v>100.52511337127076</v>
      </c>
      <c r="Q237" s="55">
        <f t="shared" si="65"/>
        <v>0.42596847336303723</v>
      </c>
      <c r="R237" s="55">
        <f t="shared" si="66"/>
        <v>0.51348855018049244</v>
      </c>
      <c r="S237" s="54">
        <f t="shared" si="67"/>
        <v>18840.750573436362</v>
      </c>
      <c r="T237" s="56">
        <f t="shared" si="79"/>
        <v>13188.525401405454</v>
      </c>
      <c r="U237" s="66">
        <f t="shared" si="68"/>
        <v>4345.9740000000002</v>
      </c>
      <c r="V237" s="54">
        <f t="shared" si="69"/>
        <v>8842.5514014054534</v>
      </c>
      <c r="X237" s="67">
        <f t="shared" si="70"/>
        <v>6247.4440271959911</v>
      </c>
      <c r="Y237" s="67">
        <f t="shared" si="71"/>
        <v>-39847.44402719599</v>
      </c>
      <c r="Z237" s="67">
        <f t="shared" si="72"/>
        <v>-15847.44402719599</v>
      </c>
      <c r="AA237" s="68">
        <f t="shared" si="73"/>
        <v>-15847.44402719599</v>
      </c>
      <c r="AB237" s="68">
        <f t="shared" si="74"/>
        <v>-21847.44402719599</v>
      </c>
      <c r="AC237" s="69">
        <f t="shared" si="75"/>
        <v>-31004.892625790537</v>
      </c>
      <c r="AD237" s="69">
        <f t="shared" si="76"/>
        <v>-7004.8926257905368</v>
      </c>
      <c r="AE237" s="69">
        <f t="shared" si="77"/>
        <v>-7004.8926257905368</v>
      </c>
      <c r="AF237" s="69">
        <f t="shared" si="78"/>
        <v>-13004.892625790537</v>
      </c>
    </row>
    <row r="238" spans="1:32">
      <c r="A238" s="50" t="s">
        <v>380</v>
      </c>
      <c r="B238" s="50" t="s">
        <v>378</v>
      </c>
      <c r="C238" s="50" t="s">
        <v>94</v>
      </c>
      <c r="D238" s="50">
        <v>1</v>
      </c>
      <c r="E238" s="50">
        <v>3200</v>
      </c>
      <c r="F238" s="51">
        <v>0.3342</v>
      </c>
      <c r="G238" s="4">
        <f t="shared" si="60"/>
        <v>12833.28</v>
      </c>
      <c r="H238" s="50">
        <v>251</v>
      </c>
      <c r="I238" s="51">
        <v>0.3342</v>
      </c>
      <c r="J238" s="50">
        <v>138</v>
      </c>
      <c r="K238" s="50">
        <v>485</v>
      </c>
      <c r="L238">
        <f t="shared" si="61"/>
        <v>347</v>
      </c>
      <c r="M238">
        <f t="shared" si="62"/>
        <v>113</v>
      </c>
      <c r="N238" s="52">
        <f t="shared" si="63"/>
        <v>0.36051873198847262</v>
      </c>
      <c r="O238" s="53">
        <f t="shared" si="64"/>
        <v>0.3342</v>
      </c>
      <c r="P238" s="54">
        <v>280.34850274057027</v>
      </c>
      <c r="Q238" s="55">
        <f t="shared" si="65"/>
        <v>0.42818098614540701</v>
      </c>
      <c r="R238" s="55">
        <f t="shared" si="66"/>
        <v>0.51173756756452493</v>
      </c>
      <c r="S238" s="54">
        <f t="shared" si="67"/>
        <v>52364.674214927836</v>
      </c>
      <c r="T238" s="56">
        <f t="shared" si="79"/>
        <v>36655.271950449482</v>
      </c>
      <c r="U238" s="66">
        <f t="shared" si="68"/>
        <v>12833.28</v>
      </c>
      <c r="V238" s="54">
        <f t="shared" si="69"/>
        <v>23821.991950449483</v>
      </c>
      <c r="X238" s="67">
        <f t="shared" si="70"/>
        <v>6226.1404053683873</v>
      </c>
      <c r="Y238" s="67">
        <f t="shared" si="71"/>
        <v>-39826.140405368387</v>
      </c>
      <c r="Z238" s="67">
        <f t="shared" si="72"/>
        <v>-15826.140405368387</v>
      </c>
      <c r="AA238" s="68">
        <f t="shared" si="73"/>
        <v>-15826.140405368387</v>
      </c>
      <c r="AB238" s="68">
        <f t="shared" si="74"/>
        <v>-21826.140405368387</v>
      </c>
      <c r="AC238" s="69">
        <f t="shared" si="75"/>
        <v>-16004.148454918904</v>
      </c>
      <c r="AD238" s="69">
        <f t="shared" si="76"/>
        <v>7995.8515450810955</v>
      </c>
      <c r="AE238" s="69">
        <f t="shared" si="77"/>
        <v>7995.8515450810955</v>
      </c>
      <c r="AF238" s="69">
        <f t="shared" si="78"/>
        <v>1995.8515450810955</v>
      </c>
    </row>
    <row r="239" spans="1:32">
      <c r="A239" s="50" t="s">
        <v>381</v>
      </c>
      <c r="B239" s="50" t="s">
        <v>378</v>
      </c>
      <c r="C239" s="50" t="s">
        <v>94</v>
      </c>
      <c r="D239" s="50">
        <v>2</v>
      </c>
      <c r="E239" s="50">
        <v>3500</v>
      </c>
      <c r="F239" s="51">
        <v>0.36159999999999998</v>
      </c>
      <c r="G239" s="4">
        <f t="shared" si="60"/>
        <v>15187.199999999999</v>
      </c>
      <c r="H239" s="50">
        <v>404</v>
      </c>
      <c r="I239" s="51">
        <v>0.36159999999999998</v>
      </c>
      <c r="J239" s="50">
        <v>152</v>
      </c>
      <c r="K239" s="50">
        <v>547</v>
      </c>
      <c r="L239">
        <f t="shared" si="61"/>
        <v>395</v>
      </c>
      <c r="M239">
        <f t="shared" si="62"/>
        <v>252</v>
      </c>
      <c r="N239" s="52">
        <f t="shared" si="63"/>
        <v>0.61037974683544305</v>
      </c>
      <c r="O239" s="53">
        <f t="shared" si="64"/>
        <v>0.36159999999999998</v>
      </c>
      <c r="P239" s="54">
        <v>316.58403049719089</v>
      </c>
      <c r="Q239" s="55">
        <f t="shared" si="65"/>
        <v>0.43333474531076643</v>
      </c>
      <c r="R239" s="55">
        <f t="shared" si="66"/>
        <v>0.50765888256105951</v>
      </c>
      <c r="S239" s="54">
        <f t="shared" si="67"/>
        <v>58661.593732991314</v>
      </c>
      <c r="T239" s="56">
        <f t="shared" si="79"/>
        <v>41063.11561309392</v>
      </c>
      <c r="U239" s="66">
        <f t="shared" si="68"/>
        <v>15187.199999999999</v>
      </c>
      <c r="V239" s="54">
        <f t="shared" si="69"/>
        <v>25875.915613093923</v>
      </c>
      <c r="X239" s="67">
        <f t="shared" si="70"/>
        <v>6176.5164044928906</v>
      </c>
      <c r="Y239" s="67">
        <f t="shared" si="71"/>
        <v>-39776.51640449289</v>
      </c>
      <c r="Z239" s="67">
        <f t="shared" si="72"/>
        <v>-15776.51640449289</v>
      </c>
      <c r="AA239" s="68">
        <f t="shared" si="73"/>
        <v>-15776.51640449289</v>
      </c>
      <c r="AB239" s="68">
        <f t="shared" si="74"/>
        <v>-21776.51640449289</v>
      </c>
      <c r="AC239" s="69">
        <f t="shared" si="75"/>
        <v>-13900.600791398967</v>
      </c>
      <c r="AD239" s="69">
        <f t="shared" si="76"/>
        <v>10099.399208601033</v>
      </c>
      <c r="AE239" s="69">
        <f t="shared" si="77"/>
        <v>10099.399208601033</v>
      </c>
      <c r="AF239" s="69">
        <f t="shared" si="78"/>
        <v>4099.399208601033</v>
      </c>
    </row>
    <row r="240" spans="1:32">
      <c r="A240" s="50" t="s">
        <v>382</v>
      </c>
      <c r="B240" s="50" t="s">
        <v>378</v>
      </c>
      <c r="C240" s="50" t="s">
        <v>85</v>
      </c>
      <c r="D240" s="50">
        <v>1</v>
      </c>
      <c r="E240" s="50">
        <v>3000</v>
      </c>
      <c r="F240" s="51">
        <v>0.26579999999999998</v>
      </c>
      <c r="G240" s="4">
        <f t="shared" si="60"/>
        <v>9568.7999999999993</v>
      </c>
      <c r="H240" s="50">
        <v>161</v>
      </c>
      <c r="I240" s="51">
        <v>0.26579999999999998</v>
      </c>
      <c r="J240" s="50">
        <v>77</v>
      </c>
      <c r="K240" s="50">
        <v>432</v>
      </c>
      <c r="L240">
        <f t="shared" si="61"/>
        <v>355</v>
      </c>
      <c r="M240">
        <f t="shared" si="62"/>
        <v>84</v>
      </c>
      <c r="N240" s="52">
        <f t="shared" si="63"/>
        <v>0.28929577464788736</v>
      </c>
      <c r="O240" s="53">
        <f t="shared" si="64"/>
        <v>0.26579999999999998</v>
      </c>
      <c r="P240" s="54">
        <v>254.72109070000701</v>
      </c>
      <c r="Q240" s="55">
        <f t="shared" si="65"/>
        <v>0.50049823256339609</v>
      </c>
      <c r="R240" s="55">
        <f t="shared" si="66"/>
        <v>0.45450569874932834</v>
      </c>
      <c r="S240" s="54">
        <f t="shared" si="67"/>
        <v>42256.84836990117</v>
      </c>
      <c r="T240" s="56">
        <f t="shared" si="79"/>
        <v>29579.793858930818</v>
      </c>
      <c r="U240" s="66">
        <f t="shared" si="68"/>
        <v>9568.7999999999993</v>
      </c>
      <c r="V240" s="54">
        <f t="shared" si="69"/>
        <v>20010.993858930819</v>
      </c>
      <c r="X240" s="67">
        <f t="shared" si="70"/>
        <v>5529.8193347834949</v>
      </c>
      <c r="Y240" s="67">
        <f t="shared" si="71"/>
        <v>-39129.819334783497</v>
      </c>
      <c r="Z240" s="67">
        <f t="shared" si="72"/>
        <v>-15129.819334783495</v>
      </c>
      <c r="AA240" s="68">
        <f t="shared" si="73"/>
        <v>-15129.819334783495</v>
      </c>
      <c r="AB240" s="68">
        <f t="shared" si="74"/>
        <v>-21129.819334783497</v>
      </c>
      <c r="AC240" s="69">
        <f t="shared" si="75"/>
        <v>-19118.825475852678</v>
      </c>
      <c r="AD240" s="69">
        <f t="shared" si="76"/>
        <v>4881.1745241473236</v>
      </c>
      <c r="AE240" s="69">
        <f t="shared" si="77"/>
        <v>4881.1745241473236</v>
      </c>
      <c r="AF240" s="69">
        <f t="shared" si="78"/>
        <v>-1118.8254758526782</v>
      </c>
    </row>
    <row r="241" spans="1:32">
      <c r="A241" s="50" t="s">
        <v>383</v>
      </c>
      <c r="B241" s="50" t="s">
        <v>384</v>
      </c>
      <c r="C241" s="50" t="s">
        <v>85</v>
      </c>
      <c r="D241" s="50">
        <v>1</v>
      </c>
      <c r="E241" s="50">
        <v>2600</v>
      </c>
      <c r="F241" s="51">
        <v>0.38629999999999998</v>
      </c>
      <c r="G241" s="4">
        <f t="shared" si="60"/>
        <v>12052.56</v>
      </c>
      <c r="H241" s="50">
        <v>408</v>
      </c>
      <c r="I241" s="51">
        <v>0.38629999999999998</v>
      </c>
      <c r="J241" s="50">
        <v>100</v>
      </c>
      <c r="K241" s="50">
        <v>565</v>
      </c>
      <c r="L241">
        <f t="shared" si="61"/>
        <v>465</v>
      </c>
      <c r="M241">
        <f t="shared" si="62"/>
        <v>308</v>
      </c>
      <c r="N241" s="52">
        <f t="shared" si="63"/>
        <v>0.62989247311827956</v>
      </c>
      <c r="O241" s="53">
        <f t="shared" si="64"/>
        <v>0.38629999999999998</v>
      </c>
      <c r="P241" s="54">
        <v>333.21917508926282</v>
      </c>
      <c r="Q241" s="55">
        <f t="shared" si="65"/>
        <v>0.50123729047615107</v>
      </c>
      <c r="R241" s="55">
        <f t="shared" si="66"/>
        <v>0.45392080831717407</v>
      </c>
      <c r="S241" s="54">
        <f t="shared" si="67"/>
        <v>55208.117815704551</v>
      </c>
      <c r="T241" s="56">
        <f t="shared" si="79"/>
        <v>38645.682470993183</v>
      </c>
      <c r="U241" s="66">
        <f t="shared" si="68"/>
        <v>12052.56</v>
      </c>
      <c r="V241" s="54">
        <f t="shared" si="69"/>
        <v>26593.122470993185</v>
      </c>
      <c r="X241" s="67">
        <f t="shared" si="70"/>
        <v>5522.703167858951</v>
      </c>
      <c r="Y241" s="67">
        <f t="shared" si="71"/>
        <v>-39122.703167858948</v>
      </c>
      <c r="Z241" s="67">
        <f t="shared" si="72"/>
        <v>-15122.703167858952</v>
      </c>
      <c r="AA241" s="68">
        <f t="shared" si="73"/>
        <v>-15122.703167858952</v>
      </c>
      <c r="AB241" s="68">
        <f t="shared" si="74"/>
        <v>-21122.703167858952</v>
      </c>
      <c r="AC241" s="69">
        <f t="shared" si="75"/>
        <v>-12529.580696865763</v>
      </c>
      <c r="AD241" s="69">
        <f t="shared" si="76"/>
        <v>11470.419303134233</v>
      </c>
      <c r="AE241" s="69">
        <f t="shared" si="77"/>
        <v>11470.419303134233</v>
      </c>
      <c r="AF241" s="69">
        <f t="shared" si="78"/>
        <v>5470.4193031342329</v>
      </c>
    </row>
    <row r="242" spans="1:32">
      <c r="A242" s="50" t="s">
        <v>385</v>
      </c>
      <c r="B242" s="50" t="s">
        <v>384</v>
      </c>
      <c r="C242" s="50" t="s">
        <v>85</v>
      </c>
      <c r="D242" s="50">
        <v>2</v>
      </c>
      <c r="E242" s="50">
        <v>4000</v>
      </c>
      <c r="F242" s="51">
        <v>0.31509999999999999</v>
      </c>
      <c r="G242" s="4">
        <f t="shared" si="60"/>
        <v>15124.8</v>
      </c>
      <c r="H242" s="50">
        <v>284</v>
      </c>
      <c r="I242" s="51">
        <v>0.31509999999999999</v>
      </c>
      <c r="J242" s="50">
        <v>204</v>
      </c>
      <c r="K242" s="50">
        <v>494</v>
      </c>
      <c r="L242">
        <f t="shared" si="61"/>
        <v>290</v>
      </c>
      <c r="M242">
        <f t="shared" si="62"/>
        <v>80</v>
      </c>
      <c r="N242" s="52">
        <f t="shared" si="63"/>
        <v>0.32068965517241377</v>
      </c>
      <c r="O242" s="53">
        <f t="shared" si="64"/>
        <v>0.31509999999999999</v>
      </c>
      <c r="P242" s="54">
        <v>278.6313134370024</v>
      </c>
      <c r="Q242" s="55">
        <f t="shared" si="65"/>
        <v>0.30587948534345488</v>
      </c>
      <c r="R242" s="55">
        <f t="shared" si="66"/>
        <v>0.60852697529918987</v>
      </c>
      <c r="S242" s="54">
        <f t="shared" si="67"/>
        <v>61887.454692152751</v>
      </c>
      <c r="T242" s="56">
        <f t="shared" si="79"/>
        <v>43321.218284506926</v>
      </c>
      <c r="U242" s="66">
        <f t="shared" si="68"/>
        <v>15124.8</v>
      </c>
      <c r="V242" s="54">
        <f t="shared" si="69"/>
        <v>28196.418284506926</v>
      </c>
      <c r="X242" s="67">
        <f t="shared" si="70"/>
        <v>7403.744866140144</v>
      </c>
      <c r="Y242" s="67">
        <f t="shared" si="71"/>
        <v>-41003.744866140143</v>
      </c>
      <c r="Z242" s="67">
        <f t="shared" si="72"/>
        <v>-17003.744866140143</v>
      </c>
      <c r="AA242" s="68">
        <f t="shared" si="73"/>
        <v>-17003.744866140143</v>
      </c>
      <c r="AB242" s="68">
        <f t="shared" si="74"/>
        <v>-23003.744866140143</v>
      </c>
      <c r="AC242" s="69">
        <f t="shared" si="75"/>
        <v>-12807.326581633217</v>
      </c>
      <c r="AD242" s="69">
        <f t="shared" si="76"/>
        <v>11192.673418366783</v>
      </c>
      <c r="AE242" s="69">
        <f t="shared" si="77"/>
        <v>11192.673418366783</v>
      </c>
      <c r="AF242" s="69">
        <f t="shared" si="78"/>
        <v>5192.6734183667832</v>
      </c>
    </row>
    <row r="243" spans="1:32">
      <c r="A243" s="50" t="s">
        <v>386</v>
      </c>
      <c r="B243" s="50" t="s">
        <v>384</v>
      </c>
      <c r="C243" s="50" t="s">
        <v>94</v>
      </c>
      <c r="D243" s="50">
        <v>1</v>
      </c>
      <c r="E243" s="50">
        <v>4000</v>
      </c>
      <c r="F243" s="51">
        <v>0.55620000000000003</v>
      </c>
      <c r="G243" s="4">
        <f t="shared" si="60"/>
        <v>26697.600000000002</v>
      </c>
      <c r="H243" s="50">
        <v>443</v>
      </c>
      <c r="I243" s="51">
        <v>0.55620000000000003</v>
      </c>
      <c r="J243" s="50">
        <v>257</v>
      </c>
      <c r="K243" s="50">
        <v>903</v>
      </c>
      <c r="L243">
        <f t="shared" si="61"/>
        <v>646</v>
      </c>
      <c r="M243">
        <f t="shared" si="62"/>
        <v>186</v>
      </c>
      <c r="N243" s="52">
        <f t="shared" si="63"/>
        <v>0.33034055727554179</v>
      </c>
      <c r="O243" s="53">
        <f t="shared" si="64"/>
        <v>0.55620000000000003</v>
      </c>
      <c r="P243" s="54">
        <v>521.96147774014491</v>
      </c>
      <c r="Q243" s="55">
        <f t="shared" si="65"/>
        <v>0.42812566902804328</v>
      </c>
      <c r="R243" s="55">
        <f t="shared" si="66"/>
        <v>0.51178134553120658</v>
      </c>
      <c r="S243" s="54">
        <f t="shared" si="67"/>
        <v>97502.503798557533</v>
      </c>
      <c r="T243" s="56">
        <f t="shared" si="79"/>
        <v>68251.75265899027</v>
      </c>
      <c r="U243" s="66">
        <f t="shared" si="68"/>
        <v>26697.600000000002</v>
      </c>
      <c r="V243" s="54">
        <f t="shared" si="69"/>
        <v>41554.152658990264</v>
      </c>
      <c r="X243" s="67">
        <f t="shared" si="70"/>
        <v>6226.6730372963475</v>
      </c>
      <c r="Y243" s="67">
        <f t="shared" si="71"/>
        <v>-39826.67303729635</v>
      </c>
      <c r="Z243" s="67">
        <f t="shared" si="72"/>
        <v>-15826.673037296347</v>
      </c>
      <c r="AA243" s="68">
        <f t="shared" si="73"/>
        <v>-15826.673037296347</v>
      </c>
      <c r="AB243" s="68">
        <f t="shared" si="74"/>
        <v>-21826.673037296347</v>
      </c>
      <c r="AC243" s="69">
        <f t="shared" si="75"/>
        <v>1727.4796216939139</v>
      </c>
      <c r="AD243" s="69">
        <f t="shared" si="76"/>
        <v>25727.479621693918</v>
      </c>
      <c r="AE243" s="69">
        <f t="shared" si="77"/>
        <v>25727.479621693918</v>
      </c>
      <c r="AF243" s="69">
        <f t="shared" si="78"/>
        <v>19727.479621693918</v>
      </c>
    </row>
    <row r="244" spans="1:32">
      <c r="A244" s="50" t="s">
        <v>387</v>
      </c>
      <c r="B244" s="50" t="s">
        <v>384</v>
      </c>
      <c r="C244" s="50" t="s">
        <v>94</v>
      </c>
      <c r="D244" s="50">
        <v>2</v>
      </c>
      <c r="E244" s="50">
        <v>5100</v>
      </c>
      <c r="F244" s="51">
        <v>0.44929999999999998</v>
      </c>
      <c r="G244" s="4">
        <f t="shared" si="60"/>
        <v>27497.16</v>
      </c>
      <c r="H244" s="50">
        <v>718</v>
      </c>
      <c r="I244" s="51">
        <v>0.44929999999999998</v>
      </c>
      <c r="J244" s="50">
        <v>256</v>
      </c>
      <c r="K244" s="50">
        <v>916</v>
      </c>
      <c r="L244">
        <f t="shared" si="61"/>
        <v>660</v>
      </c>
      <c r="M244">
        <f t="shared" si="62"/>
        <v>462</v>
      </c>
      <c r="N244" s="52">
        <f t="shared" si="63"/>
        <v>0.66</v>
      </c>
      <c r="O244" s="53">
        <f t="shared" si="64"/>
        <v>0.44929999999999998</v>
      </c>
      <c r="P244" s="54">
        <v>529.98850615353433</v>
      </c>
      <c r="Q244" s="55">
        <f t="shared" si="65"/>
        <v>0.43210728018610223</v>
      </c>
      <c r="R244" s="55">
        <f t="shared" si="66"/>
        <v>0.50863029846071872</v>
      </c>
      <c r="S244" s="54">
        <f t="shared" si="67"/>
        <v>98392.397403952258</v>
      </c>
      <c r="T244" s="56">
        <f t="shared" si="79"/>
        <v>68874.678182766569</v>
      </c>
      <c r="U244" s="66">
        <f t="shared" si="68"/>
        <v>27497.16</v>
      </c>
      <c r="V244" s="54">
        <f t="shared" si="69"/>
        <v>41377.518182766566</v>
      </c>
      <c r="X244" s="67">
        <f t="shared" si="70"/>
        <v>6188.3352979387446</v>
      </c>
      <c r="Y244" s="67">
        <f t="shared" si="71"/>
        <v>-39788.335297938742</v>
      </c>
      <c r="Z244" s="67">
        <f t="shared" si="72"/>
        <v>-15788.335297938745</v>
      </c>
      <c r="AA244" s="68">
        <f t="shared" si="73"/>
        <v>-15788.335297938745</v>
      </c>
      <c r="AB244" s="68">
        <f t="shared" si="74"/>
        <v>-21788.335297938745</v>
      </c>
      <c r="AC244" s="69">
        <f t="shared" si="75"/>
        <v>1589.1828848278237</v>
      </c>
      <c r="AD244" s="69">
        <f t="shared" si="76"/>
        <v>25589.18288482782</v>
      </c>
      <c r="AE244" s="69">
        <f t="shared" si="77"/>
        <v>25589.18288482782</v>
      </c>
      <c r="AF244" s="69">
        <f t="shared" si="78"/>
        <v>19589.18288482782</v>
      </c>
    </row>
    <row r="245" spans="1:32">
      <c r="A245" s="50" t="s">
        <v>388</v>
      </c>
      <c r="B245" s="50" t="s">
        <v>89</v>
      </c>
      <c r="C245" s="50" t="s">
        <v>85</v>
      </c>
      <c r="D245" s="50">
        <v>2</v>
      </c>
      <c r="E245" s="50">
        <v>5600</v>
      </c>
      <c r="F245" s="51">
        <v>0.31780000000000003</v>
      </c>
      <c r="G245" s="4">
        <f t="shared" si="60"/>
        <v>21356.160000000003</v>
      </c>
      <c r="H245" s="50">
        <v>478</v>
      </c>
      <c r="I245" s="51">
        <v>0.31780000000000003</v>
      </c>
      <c r="J245" s="50">
        <v>265</v>
      </c>
      <c r="K245" s="50">
        <v>644</v>
      </c>
      <c r="L245">
        <f t="shared" si="61"/>
        <v>379</v>
      </c>
      <c r="M245">
        <f t="shared" si="62"/>
        <v>213</v>
      </c>
      <c r="N245" s="52">
        <f t="shared" si="63"/>
        <v>0.54960422163588396</v>
      </c>
      <c r="O245" s="53">
        <f t="shared" si="64"/>
        <v>0.31780000000000003</v>
      </c>
      <c r="P245" s="54">
        <v>363.3388545783173</v>
      </c>
      <c r="Q245" s="55">
        <f t="shared" si="65"/>
        <v>0.30757541863497057</v>
      </c>
      <c r="R245" s="55">
        <f t="shared" si="66"/>
        <v>0.60718481369228439</v>
      </c>
      <c r="S245" s="54">
        <f t="shared" si="67"/>
        <v>80524.049674370806</v>
      </c>
      <c r="T245" s="56">
        <f t="shared" si="79"/>
        <v>56366.834772059563</v>
      </c>
      <c r="U245" s="66">
        <f t="shared" si="68"/>
        <v>21356.160000000003</v>
      </c>
      <c r="V245" s="54">
        <f t="shared" si="69"/>
        <v>35010.674772059559</v>
      </c>
      <c r="X245" s="67">
        <f t="shared" si="70"/>
        <v>7387.4152332561262</v>
      </c>
      <c r="Y245" s="67">
        <f t="shared" si="71"/>
        <v>-40987.415233256128</v>
      </c>
      <c r="Z245" s="67">
        <f t="shared" si="72"/>
        <v>-16987.415233256128</v>
      </c>
      <c r="AA245" s="68">
        <f t="shared" si="73"/>
        <v>-16987.415233256128</v>
      </c>
      <c r="AB245" s="68">
        <f t="shared" si="74"/>
        <v>-22987.415233256128</v>
      </c>
      <c r="AC245" s="69">
        <f t="shared" si="75"/>
        <v>-5976.7404611965685</v>
      </c>
      <c r="AD245" s="69">
        <f t="shared" si="76"/>
        <v>18023.259538803431</v>
      </c>
      <c r="AE245" s="69">
        <f t="shared" si="77"/>
        <v>18023.259538803431</v>
      </c>
      <c r="AF245" s="69">
        <f t="shared" si="78"/>
        <v>12023.259538803431</v>
      </c>
    </row>
    <row r="246" spans="1:32">
      <c r="A246" s="50" t="s">
        <v>389</v>
      </c>
      <c r="B246" s="50" t="s">
        <v>89</v>
      </c>
      <c r="C246" s="50" t="s">
        <v>94</v>
      </c>
      <c r="D246" s="50">
        <v>1</v>
      </c>
      <c r="E246" s="50">
        <v>5000</v>
      </c>
      <c r="F246" s="51">
        <v>0.51229999999999998</v>
      </c>
      <c r="G246" s="4">
        <f t="shared" si="60"/>
        <v>30738</v>
      </c>
      <c r="H246" s="50">
        <v>533</v>
      </c>
      <c r="I246" s="51">
        <v>0.51229999999999998</v>
      </c>
      <c r="J246" s="50">
        <v>236</v>
      </c>
      <c r="K246" s="50">
        <v>829</v>
      </c>
      <c r="L246">
        <f t="shared" si="61"/>
        <v>593</v>
      </c>
      <c r="M246">
        <f t="shared" si="62"/>
        <v>297</v>
      </c>
      <c r="N246" s="52">
        <f t="shared" si="63"/>
        <v>0.50067453625632385</v>
      </c>
      <c r="O246" s="53">
        <f t="shared" si="64"/>
        <v>0.51229999999999998</v>
      </c>
      <c r="P246" s="54">
        <v>479.18058199325122</v>
      </c>
      <c r="Q246" s="55">
        <f t="shared" si="65"/>
        <v>0.42806823877673017</v>
      </c>
      <c r="R246" s="55">
        <f t="shared" si="66"/>
        <v>0.51182679583209578</v>
      </c>
      <c r="S246" s="54">
        <f t="shared" si="67"/>
        <v>89518.973595896096</v>
      </c>
      <c r="T246" s="56">
        <f t="shared" si="79"/>
        <v>62663.28151712726</v>
      </c>
      <c r="U246" s="66">
        <f t="shared" si="68"/>
        <v>30738</v>
      </c>
      <c r="V246" s="54">
        <f t="shared" si="69"/>
        <v>31925.28151712726</v>
      </c>
      <c r="X246" s="67">
        <f t="shared" si="70"/>
        <v>6227.2260159571661</v>
      </c>
      <c r="Y246" s="67">
        <f t="shared" si="71"/>
        <v>-39827.226015957167</v>
      </c>
      <c r="Z246" s="67">
        <f t="shared" si="72"/>
        <v>-15827.226015957167</v>
      </c>
      <c r="AA246" s="68">
        <f t="shared" si="73"/>
        <v>-15827.226015957167</v>
      </c>
      <c r="AB246" s="68">
        <f t="shared" si="74"/>
        <v>-21827.226015957167</v>
      </c>
      <c r="AC246" s="69">
        <f t="shared" si="75"/>
        <v>-7901.9444988299074</v>
      </c>
      <c r="AD246" s="69">
        <f t="shared" si="76"/>
        <v>16098.055501170093</v>
      </c>
      <c r="AE246" s="69">
        <f t="shared" si="77"/>
        <v>16098.055501170093</v>
      </c>
      <c r="AF246" s="69">
        <f t="shared" si="78"/>
        <v>10098.055501170093</v>
      </c>
    </row>
    <row r="247" spans="1:32">
      <c r="A247" s="50" t="s">
        <v>390</v>
      </c>
      <c r="B247" s="50" t="s">
        <v>89</v>
      </c>
      <c r="C247" s="50" t="s">
        <v>94</v>
      </c>
      <c r="D247" s="50">
        <v>2</v>
      </c>
      <c r="E247" s="50">
        <v>6000</v>
      </c>
      <c r="F247" s="51">
        <v>0.36990000000000001</v>
      </c>
      <c r="G247" s="4">
        <f t="shared" si="60"/>
        <v>26632.799999999999</v>
      </c>
      <c r="H247" s="50">
        <v>566</v>
      </c>
      <c r="I247" s="51">
        <v>0.36990000000000001</v>
      </c>
      <c r="J247" s="50">
        <v>244</v>
      </c>
      <c r="K247" s="50">
        <v>872</v>
      </c>
      <c r="L247">
        <f t="shared" si="61"/>
        <v>628</v>
      </c>
      <c r="M247">
        <f t="shared" si="62"/>
        <v>322</v>
      </c>
      <c r="N247" s="52">
        <f t="shared" si="63"/>
        <v>0.51019108280254777</v>
      </c>
      <c r="O247" s="53">
        <f t="shared" si="64"/>
        <v>0.36990000000000001</v>
      </c>
      <c r="P247" s="54">
        <v>504.49815416746247</v>
      </c>
      <c r="Q247" s="55">
        <f t="shared" si="65"/>
        <v>0.43184478237893309</v>
      </c>
      <c r="R247" s="55">
        <f>($Q$2*Q247)+$R$2</f>
        <v>0.50883803922531246</v>
      </c>
      <c r="S247" s="54">
        <f t="shared" si="67"/>
        <v>93698.365819166764</v>
      </c>
      <c r="T247" s="56">
        <f t="shared" si="79"/>
        <v>65588.856073416726</v>
      </c>
      <c r="U247" s="66">
        <f t="shared" si="68"/>
        <v>26632.799999999999</v>
      </c>
      <c r="V247" s="54">
        <f t="shared" si="69"/>
        <v>38956.056073416723</v>
      </c>
      <c r="X247" s="67">
        <f t="shared" si="70"/>
        <v>6190.8628105746357</v>
      </c>
      <c r="Y247" s="67">
        <f t="shared" si="71"/>
        <v>-39790.862810574632</v>
      </c>
      <c r="Z247" s="67">
        <f t="shared" si="72"/>
        <v>-15790.862810574636</v>
      </c>
      <c r="AA247" s="68">
        <f t="shared" si="73"/>
        <v>-15790.862810574636</v>
      </c>
      <c r="AB247" s="68">
        <f t="shared" si="74"/>
        <v>-21790.862810574636</v>
      </c>
      <c r="AC247" s="69">
        <f t="shared" si="75"/>
        <v>-834.80673715790908</v>
      </c>
      <c r="AD247" s="69">
        <f t="shared" si="76"/>
        <v>23165.193262842087</v>
      </c>
      <c r="AE247" s="69">
        <f t="shared" si="77"/>
        <v>23165.193262842087</v>
      </c>
      <c r="AF247" s="69">
        <f t="shared" si="78"/>
        <v>17165.193262842087</v>
      </c>
    </row>
    <row r="248" spans="1:32">
      <c r="X248" s="67"/>
      <c r="Y248" s="67"/>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1"/>
  <sheetViews>
    <sheetView workbookViewId="0">
      <selection activeCell="A2" sqref="A2"/>
    </sheetView>
  </sheetViews>
  <sheetFormatPr defaultColWidth="11" defaultRowHeight="15.75"/>
  <cols>
    <col min="1" max="1" width="58.375" customWidth="1"/>
    <col min="2" max="2" width="82" style="9" bestFit="1" customWidth="1"/>
    <col min="3" max="4" width="77.5" style="15" customWidth="1"/>
    <col min="5" max="5" width="89.875" customWidth="1"/>
    <col min="6" max="6" width="88" customWidth="1"/>
    <col min="7" max="7" width="93" customWidth="1"/>
    <col min="8" max="8" width="164.375" customWidth="1"/>
  </cols>
  <sheetData>
    <row r="1" spans="1:8">
      <c r="A1" s="46" t="s">
        <v>75</v>
      </c>
      <c r="B1" s="47" t="s">
        <v>76</v>
      </c>
      <c r="C1" s="48" t="s">
        <v>77</v>
      </c>
      <c r="D1" s="48" t="s">
        <v>78</v>
      </c>
      <c r="E1" s="48" t="s">
        <v>79</v>
      </c>
      <c r="F1" s="47" t="s">
        <v>80</v>
      </c>
      <c r="G1" s="49" t="s">
        <v>81</v>
      </c>
      <c r="H1" s="49" t="s">
        <v>82</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 5-Forecast Cash Flow + Profits</vt:lpstr>
      <vt:lpstr>6 - Sorting by Profitability</vt:lpstr>
    </vt:vector>
  </TitlesOfParts>
  <Company>Duke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Egger</dc:creator>
  <cp:lastModifiedBy>shiva prabhushankar</cp:lastModifiedBy>
  <dcterms:created xsi:type="dcterms:W3CDTF">2016-02-26T18:42:49Z</dcterms:created>
  <dcterms:modified xsi:type="dcterms:W3CDTF">2021-02-10T23:05:41Z</dcterms:modified>
</cp:coreProperties>
</file>