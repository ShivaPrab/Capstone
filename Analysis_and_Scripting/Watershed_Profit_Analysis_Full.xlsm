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C:\Users\shiva\Desktop\Coding\Coursework\Excel 2 SQL\Capstone\Capstone\Analysis_and_Scripting\"/>
    </mc:Choice>
  </mc:AlternateContent>
  <xr:revisionPtr revIDLastSave="0" documentId="13_ncr:1_{8741D592-8B5E-4A51-A7B9-3F250BD81C6D}" xr6:coauthVersionLast="46" xr6:coauthVersionMax="46" xr10:uidLastSave="{00000000-0000-0000-0000-000000000000}"/>
  <bookViews>
    <workbookView xWindow="-120" yWindow="-120" windowWidth="29040" windowHeight="15840" tabRatio="500" firstSheet="4" activeTab="8" xr2:uid="{00000000-000D-0000-FFFF-FFFF00000000}"/>
  </bookViews>
  <sheets>
    <sheet name="Data to Powerpoint" sheetId="6" r:id="rId1"/>
    <sheet name="1 - First Best-Fit Line" sheetId="8" r:id="rId2"/>
    <sheet name="2 - Normalized Data and Model" sheetId="9" r:id="rId3"/>
    <sheet name="3 - &quot;Solver&quot; Rent Optimization" sheetId="10" r:id="rId4"/>
    <sheet name="4- Financial Model" sheetId="12" r:id="rId5"/>
    <sheet name=" 5-Forecast Cash Flow + Profits" sheetId="2" r:id="rId6"/>
    <sheet name="6 - Sorting by Profitability" sheetId="3" r:id="rId7"/>
    <sheet name="7- Ranking" sheetId="13" r:id="rId8"/>
    <sheet name="8- Sensitivity" sheetId="4" r:id="rId9"/>
  </sheets>
  <definedNames>
    <definedName name="solver_adj" localSheetId="3" hidden="1">'3 - "Solver" Rent Optimization'!$P$247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'3 - "Solver" Rent Optimization'!$P$247</definedName>
    <definedName name="solver_lhs2" localSheetId="3" hidden="1">'3 - "Solver" Rent Optimization'!$P$247</definedName>
    <definedName name="solver_lin" localSheetId="3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2</definedName>
    <definedName name="solver_nwt" localSheetId="3" hidden="1">1</definedName>
    <definedName name="solver_opt" localSheetId="3" hidden="1">'3 - "Solver" Rent Optimization'!$S$247</definedName>
    <definedName name="solver_pre" localSheetId="3" hidden="1">0.000001</definedName>
    <definedName name="solver_rbv" localSheetId="3" hidden="1">2</definedName>
    <definedName name="solver_rel1" localSheetId="3" hidden="1">1</definedName>
    <definedName name="solver_rel2" localSheetId="3" hidden="1">3</definedName>
    <definedName name="solver_rhs1" localSheetId="3" hidden="1">'3 - "Solver" Rent Optimization'!$K$247</definedName>
    <definedName name="solver_rhs2" localSheetId="3" hidden="1">'3 - "Solver" Rent Optimization'!$J$247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247" i="13" l="1"/>
  <c r="V247" i="13"/>
  <c r="B247" i="13"/>
  <c r="S246" i="13"/>
  <c r="V246" i="13"/>
  <c r="B246" i="13"/>
  <c r="S245" i="13"/>
  <c r="V245" i="13"/>
  <c r="B245" i="13"/>
  <c r="S244" i="13"/>
  <c r="V244" i="13"/>
  <c r="B244" i="13"/>
  <c r="S243" i="13"/>
  <c r="V243" i="13"/>
  <c r="B243" i="13"/>
  <c r="S242" i="13"/>
  <c r="V242" i="13"/>
  <c r="B242" i="13"/>
  <c r="S241" i="13"/>
  <c r="V241" i="13"/>
  <c r="B241" i="13"/>
  <c r="S240" i="13"/>
  <c r="V240" i="13"/>
  <c r="B240" i="13"/>
  <c r="S239" i="13"/>
  <c r="V239" i="13"/>
  <c r="B239" i="13"/>
  <c r="S238" i="13"/>
  <c r="V238" i="13"/>
  <c r="B238" i="13"/>
  <c r="S237" i="13"/>
  <c r="V237" i="13"/>
  <c r="B237" i="13"/>
  <c r="S236" i="13"/>
  <c r="V236" i="13"/>
  <c r="B236" i="13"/>
  <c r="S235" i="13"/>
  <c r="V235" i="13"/>
  <c r="B235" i="13"/>
  <c r="S234" i="13"/>
  <c r="V234" i="13"/>
  <c r="B234" i="13"/>
  <c r="S233" i="13"/>
  <c r="V233" i="13"/>
  <c r="B233" i="13"/>
  <c r="S232" i="13"/>
  <c r="V232" i="13"/>
  <c r="B232" i="13"/>
  <c r="S231" i="13"/>
  <c r="V231" i="13"/>
  <c r="B231" i="13"/>
  <c r="S230" i="13"/>
  <c r="V230" i="13"/>
  <c r="B230" i="13"/>
  <c r="S229" i="13"/>
  <c r="V229" i="13"/>
  <c r="B229" i="13"/>
  <c r="S228" i="13"/>
  <c r="V228" i="13"/>
  <c r="B228" i="13"/>
  <c r="S227" i="13"/>
  <c r="V227" i="13"/>
  <c r="B227" i="13"/>
  <c r="S226" i="13"/>
  <c r="V226" i="13"/>
  <c r="B226" i="13"/>
  <c r="S225" i="13"/>
  <c r="V225" i="13"/>
  <c r="B225" i="13"/>
  <c r="S224" i="13"/>
  <c r="V224" i="13"/>
  <c r="B224" i="13"/>
  <c r="S223" i="13"/>
  <c r="V223" i="13"/>
  <c r="B223" i="13"/>
  <c r="S222" i="13"/>
  <c r="V222" i="13"/>
  <c r="B222" i="13"/>
  <c r="S221" i="13"/>
  <c r="V221" i="13"/>
  <c r="B221" i="13"/>
  <c r="S220" i="13"/>
  <c r="V220" i="13"/>
  <c r="B220" i="13"/>
  <c r="S219" i="13"/>
  <c r="V219" i="13"/>
  <c r="B219" i="13"/>
  <c r="S218" i="13"/>
  <c r="V218" i="13"/>
  <c r="B218" i="13"/>
  <c r="S217" i="13"/>
  <c r="V217" i="13"/>
  <c r="B217" i="13"/>
  <c r="S216" i="13"/>
  <c r="V216" i="13"/>
  <c r="B216" i="13"/>
  <c r="S215" i="13"/>
  <c r="V215" i="13"/>
  <c r="B215" i="13"/>
  <c r="S214" i="13"/>
  <c r="V214" i="13"/>
  <c r="B214" i="13"/>
  <c r="S213" i="13"/>
  <c r="V213" i="13"/>
  <c r="B213" i="13"/>
  <c r="S212" i="13"/>
  <c r="V212" i="13"/>
  <c r="B212" i="13"/>
  <c r="S211" i="13"/>
  <c r="V211" i="13"/>
  <c r="B211" i="13"/>
  <c r="S210" i="13"/>
  <c r="V210" i="13"/>
  <c r="B210" i="13"/>
  <c r="S209" i="13"/>
  <c r="V209" i="13"/>
  <c r="B209" i="13"/>
  <c r="S208" i="13"/>
  <c r="V208" i="13"/>
  <c r="B208" i="13"/>
  <c r="S207" i="13"/>
  <c r="V207" i="13"/>
  <c r="B207" i="13"/>
  <c r="S206" i="13"/>
  <c r="V206" i="13"/>
  <c r="B206" i="13"/>
  <c r="S205" i="13"/>
  <c r="V205" i="13"/>
  <c r="B205" i="13"/>
  <c r="S204" i="13"/>
  <c r="V204" i="13"/>
  <c r="B204" i="13"/>
  <c r="S203" i="13"/>
  <c r="V203" i="13"/>
  <c r="B203" i="13"/>
  <c r="S202" i="13"/>
  <c r="V202" i="13"/>
  <c r="B202" i="13"/>
  <c r="S201" i="13"/>
  <c r="V201" i="13"/>
  <c r="B201" i="13"/>
  <c r="S200" i="13"/>
  <c r="V200" i="13"/>
  <c r="B200" i="13"/>
  <c r="S199" i="13"/>
  <c r="V199" i="13"/>
  <c r="B199" i="13"/>
  <c r="S198" i="13"/>
  <c r="V198" i="13"/>
  <c r="B198" i="13"/>
  <c r="S197" i="13"/>
  <c r="V197" i="13"/>
  <c r="B197" i="13"/>
  <c r="S196" i="13"/>
  <c r="V196" i="13"/>
  <c r="B196" i="13"/>
  <c r="S195" i="13"/>
  <c r="V195" i="13"/>
  <c r="B195" i="13"/>
  <c r="S194" i="13"/>
  <c r="V194" i="13"/>
  <c r="B194" i="13"/>
  <c r="S193" i="13"/>
  <c r="V193" i="13"/>
  <c r="B193" i="13"/>
  <c r="S192" i="13"/>
  <c r="V192" i="13"/>
  <c r="B192" i="13"/>
  <c r="S191" i="13"/>
  <c r="V191" i="13"/>
  <c r="B191" i="13"/>
  <c r="S190" i="13"/>
  <c r="V190" i="13"/>
  <c r="B190" i="13"/>
  <c r="S189" i="13"/>
  <c r="V189" i="13"/>
  <c r="B189" i="13"/>
  <c r="S188" i="13"/>
  <c r="V188" i="13"/>
  <c r="B188" i="13"/>
  <c r="S187" i="13"/>
  <c r="V187" i="13"/>
  <c r="B187" i="13"/>
  <c r="S186" i="13"/>
  <c r="V186" i="13"/>
  <c r="B186" i="13"/>
  <c r="S185" i="13"/>
  <c r="V185" i="13"/>
  <c r="B185" i="13"/>
  <c r="S184" i="13"/>
  <c r="V184" i="13"/>
  <c r="B184" i="13"/>
  <c r="S183" i="13"/>
  <c r="V183" i="13"/>
  <c r="B183" i="13"/>
  <c r="S182" i="13"/>
  <c r="V182" i="13"/>
  <c r="B182" i="13"/>
  <c r="S181" i="13"/>
  <c r="V181" i="13"/>
  <c r="B181" i="13"/>
  <c r="S180" i="13"/>
  <c r="V180" i="13"/>
  <c r="B180" i="13"/>
  <c r="S179" i="13"/>
  <c r="V179" i="13"/>
  <c r="B179" i="13"/>
  <c r="S178" i="13"/>
  <c r="V178" i="13"/>
  <c r="B178" i="13"/>
  <c r="S177" i="13"/>
  <c r="V177" i="13"/>
  <c r="B177" i="13"/>
  <c r="S176" i="13"/>
  <c r="V176" i="13"/>
  <c r="B176" i="13"/>
  <c r="S175" i="13"/>
  <c r="V175" i="13"/>
  <c r="B175" i="13"/>
  <c r="S174" i="13"/>
  <c r="V174" i="13"/>
  <c r="B174" i="13"/>
  <c r="S173" i="13"/>
  <c r="V173" i="13"/>
  <c r="B173" i="13"/>
  <c r="S172" i="13"/>
  <c r="V172" i="13"/>
  <c r="B172" i="13"/>
  <c r="S171" i="13"/>
  <c r="V171" i="13"/>
  <c r="B171" i="13"/>
  <c r="S170" i="13"/>
  <c r="V170" i="13"/>
  <c r="B170" i="13"/>
  <c r="S169" i="13"/>
  <c r="V169" i="13"/>
  <c r="B169" i="13"/>
  <c r="S168" i="13"/>
  <c r="V168" i="13"/>
  <c r="B168" i="13"/>
  <c r="S167" i="13"/>
  <c r="V167" i="13"/>
  <c r="B167" i="13"/>
  <c r="S166" i="13"/>
  <c r="V166" i="13"/>
  <c r="B166" i="13"/>
  <c r="S165" i="13"/>
  <c r="V165" i="13"/>
  <c r="B165" i="13"/>
  <c r="S164" i="13"/>
  <c r="V164" i="13"/>
  <c r="B164" i="13"/>
  <c r="S163" i="13"/>
  <c r="V163" i="13"/>
  <c r="B163" i="13"/>
  <c r="S162" i="13"/>
  <c r="V162" i="13"/>
  <c r="B162" i="13"/>
  <c r="S161" i="13"/>
  <c r="V161" i="13"/>
  <c r="B161" i="13"/>
  <c r="S160" i="13"/>
  <c r="V160" i="13"/>
  <c r="B160" i="13"/>
  <c r="S159" i="13"/>
  <c r="V159" i="13"/>
  <c r="B159" i="13"/>
  <c r="S158" i="13"/>
  <c r="V158" i="13"/>
  <c r="B158" i="13"/>
  <c r="S157" i="13"/>
  <c r="V157" i="13"/>
  <c r="B157" i="13"/>
  <c r="S156" i="13"/>
  <c r="V156" i="13"/>
  <c r="B156" i="13"/>
  <c r="S155" i="13"/>
  <c r="V155" i="13"/>
  <c r="B155" i="13"/>
  <c r="S154" i="13"/>
  <c r="V154" i="13"/>
  <c r="B154" i="13"/>
  <c r="S153" i="13"/>
  <c r="V153" i="13"/>
  <c r="B153" i="13"/>
  <c r="S152" i="13"/>
  <c r="V152" i="13"/>
  <c r="B152" i="13"/>
  <c r="S151" i="13"/>
  <c r="V151" i="13"/>
  <c r="B151" i="13"/>
  <c r="S150" i="13"/>
  <c r="V150" i="13"/>
  <c r="B150" i="13"/>
  <c r="S149" i="13"/>
  <c r="V149" i="13"/>
  <c r="B149" i="13"/>
  <c r="S148" i="13"/>
  <c r="V148" i="13"/>
  <c r="B148" i="13"/>
  <c r="S147" i="13"/>
  <c r="V147" i="13"/>
  <c r="B147" i="13"/>
  <c r="S146" i="13"/>
  <c r="V146" i="13"/>
  <c r="B146" i="13"/>
  <c r="S145" i="13"/>
  <c r="V145" i="13"/>
  <c r="B145" i="13"/>
  <c r="S144" i="13"/>
  <c r="V144" i="13"/>
  <c r="B144" i="13"/>
  <c r="S143" i="13"/>
  <c r="V143" i="13"/>
  <c r="B143" i="13"/>
  <c r="S142" i="13"/>
  <c r="V142" i="13"/>
  <c r="B142" i="13"/>
  <c r="S141" i="13"/>
  <c r="V141" i="13"/>
  <c r="B141" i="13"/>
  <c r="S140" i="13"/>
  <c r="V140" i="13"/>
  <c r="B140" i="13"/>
  <c r="S139" i="13"/>
  <c r="V139" i="13"/>
  <c r="B139" i="13"/>
  <c r="S138" i="13"/>
  <c r="V138" i="13"/>
  <c r="B138" i="13"/>
  <c r="S137" i="13"/>
  <c r="V137" i="13"/>
  <c r="B137" i="13"/>
  <c r="S136" i="13"/>
  <c r="V136" i="13"/>
  <c r="B136" i="13"/>
  <c r="S135" i="13"/>
  <c r="V135" i="13"/>
  <c r="B135" i="13"/>
  <c r="S134" i="13"/>
  <c r="V134" i="13"/>
  <c r="B134" i="13"/>
  <c r="S133" i="13"/>
  <c r="V133" i="13"/>
  <c r="B133" i="13"/>
  <c r="S132" i="13"/>
  <c r="V132" i="13"/>
  <c r="B132" i="13"/>
  <c r="S131" i="13"/>
  <c r="V131" i="13"/>
  <c r="B131" i="13"/>
  <c r="S130" i="13"/>
  <c r="V130" i="13"/>
  <c r="B130" i="13"/>
  <c r="S129" i="13"/>
  <c r="V129" i="13"/>
  <c r="B129" i="13"/>
  <c r="S128" i="13"/>
  <c r="V128" i="13"/>
  <c r="B128" i="13"/>
  <c r="S127" i="13"/>
  <c r="V127" i="13"/>
  <c r="B127" i="13"/>
  <c r="S126" i="13"/>
  <c r="V126" i="13"/>
  <c r="B126" i="13"/>
  <c r="S125" i="13"/>
  <c r="V125" i="13"/>
  <c r="B125" i="13"/>
  <c r="S124" i="13"/>
  <c r="V124" i="13"/>
  <c r="B124" i="13"/>
  <c r="S123" i="13"/>
  <c r="V123" i="13"/>
  <c r="B123" i="13"/>
  <c r="S122" i="13"/>
  <c r="V122" i="13"/>
  <c r="B122" i="13"/>
  <c r="S121" i="13"/>
  <c r="V121" i="13"/>
  <c r="B121" i="13"/>
  <c r="S120" i="13"/>
  <c r="V120" i="13"/>
  <c r="B120" i="13"/>
  <c r="S119" i="13"/>
  <c r="V119" i="13"/>
  <c r="B119" i="13"/>
  <c r="S118" i="13"/>
  <c r="V118" i="13"/>
  <c r="B118" i="13"/>
  <c r="S117" i="13"/>
  <c r="V117" i="13"/>
  <c r="B117" i="13"/>
  <c r="S116" i="13"/>
  <c r="V116" i="13"/>
  <c r="B116" i="13"/>
  <c r="S115" i="13"/>
  <c r="V115" i="13"/>
  <c r="B115" i="13"/>
  <c r="S114" i="13"/>
  <c r="V114" i="13"/>
  <c r="B114" i="13"/>
  <c r="S113" i="13"/>
  <c r="V113" i="13"/>
  <c r="B113" i="13"/>
  <c r="S112" i="13"/>
  <c r="V112" i="13"/>
  <c r="B112" i="13"/>
  <c r="S111" i="13"/>
  <c r="V111" i="13"/>
  <c r="B111" i="13"/>
  <c r="S110" i="13"/>
  <c r="V110" i="13"/>
  <c r="B110" i="13"/>
  <c r="S109" i="13"/>
  <c r="V109" i="13"/>
  <c r="B109" i="13"/>
  <c r="S108" i="13"/>
  <c r="V108" i="13"/>
  <c r="B108" i="13"/>
  <c r="S107" i="13"/>
  <c r="V107" i="13"/>
  <c r="B107" i="13"/>
  <c r="S106" i="13"/>
  <c r="V106" i="13"/>
  <c r="B106" i="13"/>
  <c r="S105" i="13"/>
  <c r="V105" i="13"/>
  <c r="B105" i="13"/>
  <c r="S104" i="13"/>
  <c r="V104" i="13"/>
  <c r="B104" i="13"/>
  <c r="S103" i="13"/>
  <c r="V103" i="13"/>
  <c r="B103" i="13"/>
  <c r="S102" i="13"/>
  <c r="V102" i="13"/>
  <c r="B102" i="13"/>
  <c r="S101" i="13"/>
  <c r="V101" i="13"/>
  <c r="B101" i="13"/>
  <c r="S100" i="13"/>
  <c r="V100" i="13"/>
  <c r="B100" i="13"/>
  <c r="S99" i="13"/>
  <c r="V99" i="13"/>
  <c r="B99" i="13"/>
  <c r="S98" i="13"/>
  <c r="V98" i="13"/>
  <c r="B98" i="13"/>
  <c r="S97" i="13"/>
  <c r="V97" i="13"/>
  <c r="B97" i="13"/>
  <c r="S96" i="13"/>
  <c r="V96" i="13"/>
  <c r="B96" i="13"/>
  <c r="S95" i="13"/>
  <c r="V95" i="13"/>
  <c r="B95" i="13"/>
  <c r="S94" i="13"/>
  <c r="V94" i="13"/>
  <c r="B94" i="13"/>
  <c r="S93" i="13"/>
  <c r="V93" i="13"/>
  <c r="B93" i="13"/>
  <c r="S92" i="13"/>
  <c r="V92" i="13"/>
  <c r="B92" i="13"/>
  <c r="S91" i="13"/>
  <c r="V91" i="13"/>
  <c r="B91" i="13"/>
  <c r="S90" i="13"/>
  <c r="V90" i="13"/>
  <c r="B90" i="13"/>
  <c r="S89" i="13"/>
  <c r="V89" i="13"/>
  <c r="B89" i="13"/>
  <c r="S88" i="13"/>
  <c r="V88" i="13"/>
  <c r="B88" i="13"/>
  <c r="S87" i="13"/>
  <c r="V87" i="13"/>
  <c r="B87" i="13"/>
  <c r="S86" i="13"/>
  <c r="V86" i="13"/>
  <c r="B86" i="13"/>
  <c r="S85" i="13"/>
  <c r="V85" i="13"/>
  <c r="B85" i="13"/>
  <c r="S84" i="13"/>
  <c r="V84" i="13"/>
  <c r="B84" i="13"/>
  <c r="S83" i="13"/>
  <c r="V83" i="13"/>
  <c r="B83" i="13"/>
  <c r="S82" i="13"/>
  <c r="V82" i="13"/>
  <c r="B82" i="13"/>
  <c r="S81" i="13"/>
  <c r="V81" i="13"/>
  <c r="B81" i="13"/>
  <c r="S80" i="13"/>
  <c r="V80" i="13"/>
  <c r="B80" i="13"/>
  <c r="S79" i="13"/>
  <c r="V79" i="13"/>
  <c r="B79" i="13"/>
  <c r="S78" i="13"/>
  <c r="V78" i="13"/>
  <c r="B78" i="13"/>
  <c r="S77" i="13"/>
  <c r="V77" i="13"/>
  <c r="B77" i="13"/>
  <c r="S76" i="13"/>
  <c r="V76" i="13"/>
  <c r="B76" i="13"/>
  <c r="S75" i="13"/>
  <c r="V75" i="13"/>
  <c r="B75" i="13"/>
  <c r="S74" i="13"/>
  <c r="V74" i="13"/>
  <c r="B74" i="13"/>
  <c r="S73" i="13"/>
  <c r="V73" i="13"/>
  <c r="B73" i="13"/>
  <c r="S72" i="13"/>
  <c r="V72" i="13"/>
  <c r="B72" i="13"/>
  <c r="S71" i="13"/>
  <c r="V71" i="13"/>
  <c r="B71" i="13"/>
  <c r="S70" i="13"/>
  <c r="V70" i="13"/>
  <c r="B70" i="13"/>
  <c r="S69" i="13"/>
  <c r="V69" i="13"/>
  <c r="B69" i="13"/>
  <c r="S68" i="13"/>
  <c r="V68" i="13"/>
  <c r="B68" i="13"/>
  <c r="S67" i="13"/>
  <c r="V67" i="13"/>
  <c r="B67" i="13"/>
  <c r="S66" i="13"/>
  <c r="V66" i="13"/>
  <c r="B66" i="13"/>
  <c r="S65" i="13"/>
  <c r="V65" i="13"/>
  <c r="B65" i="13"/>
  <c r="S64" i="13"/>
  <c r="V64" i="13"/>
  <c r="B64" i="13"/>
  <c r="S63" i="13"/>
  <c r="V63" i="13"/>
  <c r="B63" i="13"/>
  <c r="S62" i="13"/>
  <c r="V62" i="13"/>
  <c r="B62" i="13"/>
  <c r="S61" i="13"/>
  <c r="V61" i="13"/>
  <c r="B61" i="13"/>
  <c r="S60" i="13"/>
  <c r="V60" i="13"/>
  <c r="B60" i="13"/>
  <c r="S59" i="13"/>
  <c r="V59" i="13"/>
  <c r="B59" i="13"/>
  <c r="S58" i="13"/>
  <c r="V58" i="13"/>
  <c r="B58" i="13"/>
  <c r="S57" i="13"/>
  <c r="V57" i="13"/>
  <c r="B57" i="13"/>
  <c r="S56" i="13"/>
  <c r="V56" i="13"/>
  <c r="B56" i="13"/>
  <c r="S55" i="13"/>
  <c r="V55" i="13"/>
  <c r="B55" i="13"/>
  <c r="S54" i="13"/>
  <c r="V54" i="13"/>
  <c r="B54" i="13"/>
  <c r="S53" i="13"/>
  <c r="V53" i="13"/>
  <c r="B53" i="13"/>
  <c r="S52" i="13"/>
  <c r="V52" i="13"/>
  <c r="B52" i="13"/>
  <c r="S51" i="13"/>
  <c r="V51" i="13"/>
  <c r="B51" i="13"/>
  <c r="S50" i="13"/>
  <c r="V50" i="13"/>
  <c r="B50" i="13"/>
  <c r="S49" i="13"/>
  <c r="V49" i="13"/>
  <c r="B49" i="13"/>
  <c r="S48" i="13"/>
  <c r="V48" i="13"/>
  <c r="B48" i="13"/>
  <c r="S47" i="13"/>
  <c r="V47" i="13"/>
  <c r="B47" i="13"/>
  <c r="S46" i="13"/>
  <c r="V46" i="13"/>
  <c r="B46" i="13"/>
  <c r="S45" i="13"/>
  <c r="V45" i="13"/>
  <c r="B45" i="13"/>
  <c r="S44" i="13"/>
  <c r="V44" i="13"/>
  <c r="B44" i="13"/>
  <c r="S43" i="13"/>
  <c r="V43" i="13"/>
  <c r="B43" i="13"/>
  <c r="S42" i="13"/>
  <c r="V42" i="13"/>
  <c r="B42" i="13"/>
  <c r="S41" i="13"/>
  <c r="V41" i="13"/>
  <c r="B41" i="13"/>
  <c r="S40" i="13"/>
  <c r="V40" i="13"/>
  <c r="B40" i="13"/>
  <c r="S39" i="13"/>
  <c r="V39" i="13"/>
  <c r="B39" i="13"/>
  <c r="S38" i="13"/>
  <c r="V38" i="13"/>
  <c r="B38" i="13"/>
  <c r="S37" i="13"/>
  <c r="V37" i="13"/>
  <c r="B37" i="13"/>
  <c r="S36" i="13"/>
  <c r="V36" i="13"/>
  <c r="B36" i="13"/>
  <c r="S35" i="13"/>
  <c r="V35" i="13"/>
  <c r="B35" i="13"/>
  <c r="S34" i="13"/>
  <c r="V34" i="13"/>
  <c r="B34" i="13"/>
  <c r="S33" i="13"/>
  <c r="V33" i="13"/>
  <c r="B33" i="13"/>
  <c r="S32" i="13"/>
  <c r="V32" i="13"/>
  <c r="B32" i="13"/>
  <c r="S31" i="13"/>
  <c r="V31" i="13"/>
  <c r="B31" i="13"/>
  <c r="S30" i="13"/>
  <c r="V30" i="13"/>
  <c r="B30" i="13"/>
  <c r="S29" i="13"/>
  <c r="V29" i="13"/>
  <c r="B29" i="13"/>
  <c r="S28" i="13"/>
  <c r="V28" i="13"/>
  <c r="B28" i="13"/>
  <c r="S27" i="13"/>
  <c r="V27" i="13"/>
  <c r="B27" i="13"/>
  <c r="S26" i="13"/>
  <c r="V26" i="13"/>
  <c r="B26" i="13"/>
  <c r="S25" i="13"/>
  <c r="V25" i="13"/>
  <c r="B25" i="13"/>
  <c r="S24" i="13"/>
  <c r="V24" i="13"/>
  <c r="B24" i="13"/>
  <c r="S23" i="13"/>
  <c r="V23" i="13"/>
  <c r="B23" i="13"/>
  <c r="S22" i="13"/>
  <c r="V22" i="13"/>
  <c r="B22" i="13"/>
  <c r="S21" i="13"/>
  <c r="V21" i="13"/>
  <c r="B21" i="13"/>
  <c r="S20" i="13"/>
  <c r="V20" i="13"/>
  <c r="B20" i="13"/>
  <c r="S19" i="13"/>
  <c r="B19" i="13"/>
  <c r="S18" i="13"/>
  <c r="B18" i="13"/>
  <c r="S17" i="13"/>
  <c r="B17" i="13"/>
  <c r="S16" i="13"/>
  <c r="B16" i="13"/>
  <c r="S15" i="13"/>
  <c r="B15" i="13"/>
  <c r="S14" i="13"/>
  <c r="B14" i="13"/>
  <c r="S13" i="13"/>
  <c r="B13" i="13"/>
  <c r="S12" i="13"/>
  <c r="L9" i="13"/>
  <c r="L12" i="13"/>
  <c r="B12" i="13"/>
  <c r="S11" i="13"/>
  <c r="B11" i="13"/>
  <c r="S10" i="13"/>
  <c r="B10" i="13"/>
  <c r="S9" i="13"/>
  <c r="B9" i="13"/>
  <c r="S8" i="13"/>
  <c r="B8" i="13"/>
  <c r="S7" i="13"/>
  <c r="B7" i="13"/>
  <c r="S6" i="13"/>
  <c r="M3" i="13"/>
  <c r="M6" i="13"/>
  <c r="B6" i="13"/>
  <c r="S5" i="13"/>
  <c r="B5" i="13"/>
  <c r="S4" i="13"/>
  <c r="B4" i="13"/>
  <c r="L3" i="13"/>
  <c r="D24" i="12"/>
  <c r="E24" i="12"/>
  <c r="F24" i="12"/>
  <c r="C8" i="12"/>
  <c r="D8" i="12"/>
  <c r="E8" i="12"/>
  <c r="F8" i="12"/>
  <c r="C10" i="12"/>
  <c r="E27" i="12"/>
  <c r="F27" i="12"/>
  <c r="D10" i="12"/>
  <c r="E10" i="12"/>
  <c r="F10" i="12"/>
  <c r="C11" i="12"/>
  <c r="D11" i="12"/>
  <c r="E11" i="12"/>
  <c r="F11" i="12"/>
  <c r="D14" i="12"/>
  <c r="E14" i="12"/>
  <c r="F14" i="12"/>
  <c r="E15" i="12"/>
  <c r="F15" i="12"/>
  <c r="D16" i="12"/>
  <c r="E16" i="12"/>
  <c r="F16" i="12"/>
  <c r="E33" i="12"/>
  <c r="F33" i="12"/>
  <c r="D17" i="12"/>
  <c r="E17" i="12"/>
  <c r="F17" i="12"/>
  <c r="D18" i="12"/>
  <c r="E18" i="12"/>
  <c r="F18" i="12"/>
  <c r="C20" i="12"/>
  <c r="D20" i="12"/>
  <c r="E20" i="12"/>
  <c r="F20" i="12"/>
  <c r="B24" i="12"/>
  <c r="K2" i="10"/>
  <c r="G4" i="10"/>
  <c r="L4" i="10"/>
  <c r="M4" i="10"/>
  <c r="N4" i="10"/>
  <c r="O4" i="10"/>
  <c r="Q4" i="10"/>
  <c r="G5" i="10"/>
  <c r="L5" i="10"/>
  <c r="M5" i="10"/>
  <c r="N5" i="10"/>
  <c r="O5" i="10"/>
  <c r="Q5" i="10"/>
  <c r="G6" i="10"/>
  <c r="L6" i="10"/>
  <c r="M6" i="10"/>
  <c r="N6" i="10"/>
  <c r="O6" i="10"/>
  <c r="Q6" i="10"/>
  <c r="G7" i="10"/>
  <c r="L7" i="10"/>
  <c r="M7" i="10"/>
  <c r="N7" i="10"/>
  <c r="O7" i="10"/>
  <c r="Q7" i="10"/>
  <c r="G8" i="10"/>
  <c r="L8" i="10"/>
  <c r="M8" i="10"/>
  <c r="N8" i="10"/>
  <c r="O8" i="10"/>
  <c r="Q8" i="10"/>
  <c r="G9" i="10"/>
  <c r="L9" i="10"/>
  <c r="M9" i="10"/>
  <c r="N9" i="10"/>
  <c r="O9" i="10"/>
  <c r="Q9" i="10"/>
  <c r="G10" i="10"/>
  <c r="L10" i="10"/>
  <c r="M10" i="10"/>
  <c r="N10" i="10"/>
  <c r="O10" i="10"/>
  <c r="Q10" i="10"/>
  <c r="G11" i="10"/>
  <c r="L11" i="10"/>
  <c r="M11" i="10"/>
  <c r="N11" i="10"/>
  <c r="O11" i="10"/>
  <c r="Q11" i="10"/>
  <c r="G12" i="10"/>
  <c r="L12" i="10"/>
  <c r="M12" i="10"/>
  <c r="N12" i="10"/>
  <c r="O12" i="10"/>
  <c r="Q12" i="10"/>
  <c r="G13" i="10"/>
  <c r="L13" i="10"/>
  <c r="M13" i="10"/>
  <c r="N13" i="10"/>
  <c r="O13" i="10"/>
  <c r="Q13" i="10"/>
  <c r="G14" i="10"/>
  <c r="L14" i="10"/>
  <c r="M14" i="10"/>
  <c r="N14" i="10"/>
  <c r="O14" i="10"/>
  <c r="Q14" i="10"/>
  <c r="G15" i="10"/>
  <c r="L15" i="10"/>
  <c r="M15" i="10"/>
  <c r="N15" i="10"/>
  <c r="O15" i="10"/>
  <c r="Q15" i="10"/>
  <c r="G16" i="10"/>
  <c r="L16" i="10"/>
  <c r="M16" i="10"/>
  <c r="N16" i="10"/>
  <c r="O16" i="10"/>
  <c r="Q16" i="10"/>
  <c r="G17" i="10"/>
  <c r="L17" i="10"/>
  <c r="M17" i="10"/>
  <c r="N17" i="10"/>
  <c r="O17" i="10"/>
  <c r="Q17" i="10"/>
  <c r="G18" i="10"/>
  <c r="L18" i="10"/>
  <c r="M18" i="10"/>
  <c r="N18" i="10"/>
  <c r="O18" i="10"/>
  <c r="Q18" i="10"/>
  <c r="G19" i="10"/>
  <c r="L19" i="10"/>
  <c r="M19" i="10"/>
  <c r="N19" i="10"/>
  <c r="O19" i="10"/>
  <c r="Q19" i="10"/>
  <c r="G20" i="10"/>
  <c r="L20" i="10"/>
  <c r="M20" i="10"/>
  <c r="N20" i="10"/>
  <c r="O20" i="10"/>
  <c r="Q20" i="10"/>
  <c r="G21" i="10"/>
  <c r="L21" i="10"/>
  <c r="M21" i="10"/>
  <c r="N21" i="10"/>
  <c r="O21" i="10"/>
  <c r="Q21" i="10"/>
  <c r="G22" i="10"/>
  <c r="L22" i="10"/>
  <c r="M22" i="10"/>
  <c r="N22" i="10"/>
  <c r="O22" i="10"/>
  <c r="Q22" i="10"/>
  <c r="G23" i="10"/>
  <c r="L23" i="10"/>
  <c r="M23" i="10"/>
  <c r="N23" i="10"/>
  <c r="O23" i="10"/>
  <c r="Q23" i="10"/>
  <c r="G24" i="10"/>
  <c r="L24" i="10"/>
  <c r="M24" i="10"/>
  <c r="N24" i="10"/>
  <c r="O24" i="10"/>
  <c r="Q24" i="10"/>
  <c r="G25" i="10"/>
  <c r="L25" i="10"/>
  <c r="M25" i="10"/>
  <c r="N25" i="10"/>
  <c r="O25" i="10"/>
  <c r="Q25" i="10"/>
  <c r="G26" i="10"/>
  <c r="L26" i="10"/>
  <c r="M26" i="10"/>
  <c r="N26" i="10"/>
  <c r="O26" i="10"/>
  <c r="Q26" i="10"/>
  <c r="G27" i="10"/>
  <c r="L27" i="10"/>
  <c r="M27" i="10"/>
  <c r="N27" i="10"/>
  <c r="O27" i="10"/>
  <c r="Q27" i="10"/>
  <c r="G28" i="10"/>
  <c r="L28" i="10"/>
  <c r="M28" i="10"/>
  <c r="N28" i="10"/>
  <c r="O28" i="10"/>
  <c r="Q28" i="10"/>
  <c r="G29" i="10"/>
  <c r="L29" i="10"/>
  <c r="M29" i="10"/>
  <c r="N29" i="10"/>
  <c r="O29" i="10"/>
  <c r="Q29" i="10"/>
  <c r="G30" i="10"/>
  <c r="L30" i="10"/>
  <c r="M30" i="10"/>
  <c r="N30" i="10"/>
  <c r="O30" i="10"/>
  <c r="Q30" i="10"/>
  <c r="G31" i="10"/>
  <c r="L31" i="10"/>
  <c r="M31" i="10"/>
  <c r="N31" i="10"/>
  <c r="O31" i="10"/>
  <c r="Q31" i="10"/>
  <c r="G32" i="10"/>
  <c r="L32" i="10"/>
  <c r="M32" i="10"/>
  <c r="N32" i="10"/>
  <c r="O32" i="10"/>
  <c r="Q32" i="10"/>
  <c r="G33" i="10"/>
  <c r="L33" i="10"/>
  <c r="M33" i="10"/>
  <c r="N33" i="10"/>
  <c r="O33" i="10"/>
  <c r="Q33" i="10"/>
  <c r="G34" i="10"/>
  <c r="L34" i="10"/>
  <c r="M34" i="10"/>
  <c r="N34" i="10"/>
  <c r="O34" i="10"/>
  <c r="Q34" i="10"/>
  <c r="G35" i="10"/>
  <c r="L35" i="10"/>
  <c r="M35" i="10"/>
  <c r="N35" i="10"/>
  <c r="O35" i="10"/>
  <c r="Q35" i="10"/>
  <c r="G36" i="10"/>
  <c r="L36" i="10"/>
  <c r="M36" i="10"/>
  <c r="N36" i="10"/>
  <c r="O36" i="10"/>
  <c r="Q36" i="10"/>
  <c r="G37" i="10"/>
  <c r="L37" i="10"/>
  <c r="M37" i="10"/>
  <c r="N37" i="10"/>
  <c r="O37" i="10"/>
  <c r="Q37" i="10"/>
  <c r="G38" i="10"/>
  <c r="L38" i="10"/>
  <c r="M38" i="10"/>
  <c r="N38" i="10"/>
  <c r="O38" i="10"/>
  <c r="Q38" i="10"/>
  <c r="G39" i="10"/>
  <c r="L39" i="10"/>
  <c r="M39" i="10"/>
  <c r="N39" i="10"/>
  <c r="O39" i="10"/>
  <c r="Q39" i="10"/>
  <c r="G40" i="10"/>
  <c r="L40" i="10"/>
  <c r="M40" i="10"/>
  <c r="N40" i="10"/>
  <c r="O40" i="10"/>
  <c r="Q40" i="10"/>
  <c r="G41" i="10"/>
  <c r="L41" i="10"/>
  <c r="M41" i="10"/>
  <c r="N41" i="10"/>
  <c r="O41" i="10"/>
  <c r="Q41" i="10"/>
  <c r="G42" i="10"/>
  <c r="L42" i="10"/>
  <c r="M42" i="10"/>
  <c r="N42" i="10"/>
  <c r="O42" i="10"/>
  <c r="Q42" i="10"/>
  <c r="G43" i="10"/>
  <c r="L43" i="10"/>
  <c r="M43" i="10"/>
  <c r="N43" i="10"/>
  <c r="O43" i="10"/>
  <c r="Q43" i="10"/>
  <c r="G44" i="10"/>
  <c r="L44" i="10"/>
  <c r="M44" i="10"/>
  <c r="N44" i="10"/>
  <c r="O44" i="10"/>
  <c r="Q44" i="10"/>
  <c r="G45" i="10"/>
  <c r="L45" i="10"/>
  <c r="M45" i="10"/>
  <c r="N45" i="10"/>
  <c r="O45" i="10"/>
  <c r="Q45" i="10"/>
  <c r="G46" i="10"/>
  <c r="L46" i="10"/>
  <c r="M46" i="10"/>
  <c r="N46" i="10"/>
  <c r="O46" i="10"/>
  <c r="Q46" i="10"/>
  <c r="G47" i="10"/>
  <c r="L47" i="10"/>
  <c r="M47" i="10"/>
  <c r="N47" i="10"/>
  <c r="O47" i="10"/>
  <c r="Q47" i="10"/>
  <c r="G48" i="10"/>
  <c r="L48" i="10"/>
  <c r="M48" i="10"/>
  <c r="N48" i="10"/>
  <c r="O48" i="10"/>
  <c r="Q48" i="10"/>
  <c r="G49" i="10"/>
  <c r="L49" i="10"/>
  <c r="M49" i="10"/>
  <c r="N49" i="10"/>
  <c r="O49" i="10"/>
  <c r="Q49" i="10"/>
  <c r="G50" i="10"/>
  <c r="L50" i="10"/>
  <c r="M50" i="10"/>
  <c r="N50" i="10"/>
  <c r="O50" i="10"/>
  <c r="Q50" i="10"/>
  <c r="G51" i="10"/>
  <c r="L51" i="10"/>
  <c r="M51" i="10"/>
  <c r="N51" i="10"/>
  <c r="O51" i="10"/>
  <c r="Q51" i="10"/>
  <c r="G52" i="10"/>
  <c r="L52" i="10"/>
  <c r="M52" i="10"/>
  <c r="N52" i="10"/>
  <c r="O52" i="10"/>
  <c r="Q52" i="10"/>
  <c r="G53" i="10"/>
  <c r="L53" i="10"/>
  <c r="M53" i="10"/>
  <c r="N53" i="10"/>
  <c r="O53" i="10"/>
  <c r="Q53" i="10"/>
  <c r="G54" i="10"/>
  <c r="L54" i="10"/>
  <c r="M54" i="10"/>
  <c r="N54" i="10"/>
  <c r="O54" i="10"/>
  <c r="Q54" i="10"/>
  <c r="G55" i="10"/>
  <c r="L55" i="10"/>
  <c r="M55" i="10"/>
  <c r="N55" i="10"/>
  <c r="O55" i="10"/>
  <c r="Q55" i="10"/>
  <c r="G56" i="10"/>
  <c r="L56" i="10"/>
  <c r="M56" i="10"/>
  <c r="N56" i="10"/>
  <c r="O56" i="10"/>
  <c r="Q56" i="10"/>
  <c r="G57" i="10"/>
  <c r="L57" i="10"/>
  <c r="M57" i="10"/>
  <c r="N57" i="10"/>
  <c r="O57" i="10"/>
  <c r="Q57" i="10"/>
  <c r="G58" i="10"/>
  <c r="L58" i="10"/>
  <c r="M58" i="10"/>
  <c r="N58" i="10"/>
  <c r="O58" i="10"/>
  <c r="Q58" i="10"/>
  <c r="G59" i="10"/>
  <c r="L59" i="10"/>
  <c r="M59" i="10"/>
  <c r="N59" i="10"/>
  <c r="O59" i="10"/>
  <c r="Q59" i="10"/>
  <c r="G60" i="10"/>
  <c r="L60" i="10"/>
  <c r="M60" i="10"/>
  <c r="N60" i="10"/>
  <c r="O60" i="10"/>
  <c r="Q60" i="10"/>
  <c r="G61" i="10"/>
  <c r="L61" i="10"/>
  <c r="M61" i="10"/>
  <c r="N61" i="10"/>
  <c r="O61" i="10"/>
  <c r="Q61" i="10"/>
  <c r="G62" i="10"/>
  <c r="L62" i="10"/>
  <c r="M62" i="10"/>
  <c r="N62" i="10"/>
  <c r="O62" i="10"/>
  <c r="Q62" i="10"/>
  <c r="G63" i="10"/>
  <c r="L63" i="10"/>
  <c r="M63" i="10"/>
  <c r="N63" i="10"/>
  <c r="O63" i="10"/>
  <c r="Q63" i="10"/>
  <c r="G64" i="10"/>
  <c r="L64" i="10"/>
  <c r="M64" i="10"/>
  <c r="N64" i="10"/>
  <c r="O64" i="10"/>
  <c r="Q64" i="10"/>
  <c r="G65" i="10"/>
  <c r="L65" i="10"/>
  <c r="M65" i="10"/>
  <c r="N65" i="10"/>
  <c r="O65" i="10"/>
  <c r="Q65" i="10"/>
  <c r="G66" i="10"/>
  <c r="L66" i="10"/>
  <c r="M66" i="10"/>
  <c r="N66" i="10"/>
  <c r="O66" i="10"/>
  <c r="Q66" i="10"/>
  <c r="G67" i="10"/>
  <c r="L67" i="10"/>
  <c r="M67" i="10"/>
  <c r="N67" i="10"/>
  <c r="O67" i="10"/>
  <c r="Q67" i="10"/>
  <c r="G68" i="10"/>
  <c r="L68" i="10"/>
  <c r="M68" i="10"/>
  <c r="N68" i="10"/>
  <c r="O68" i="10"/>
  <c r="Q68" i="10"/>
  <c r="G69" i="10"/>
  <c r="L69" i="10"/>
  <c r="M69" i="10"/>
  <c r="N69" i="10"/>
  <c r="O69" i="10"/>
  <c r="Q69" i="10"/>
  <c r="G70" i="10"/>
  <c r="L70" i="10"/>
  <c r="M70" i="10"/>
  <c r="N70" i="10"/>
  <c r="O70" i="10"/>
  <c r="Q70" i="10"/>
  <c r="G71" i="10"/>
  <c r="L71" i="10"/>
  <c r="M71" i="10"/>
  <c r="N71" i="10"/>
  <c r="O71" i="10"/>
  <c r="Q71" i="10"/>
  <c r="G72" i="10"/>
  <c r="L72" i="10"/>
  <c r="M72" i="10"/>
  <c r="N72" i="10"/>
  <c r="O72" i="10"/>
  <c r="Q72" i="10"/>
  <c r="G73" i="10"/>
  <c r="L73" i="10"/>
  <c r="M73" i="10"/>
  <c r="N73" i="10"/>
  <c r="O73" i="10"/>
  <c r="Q73" i="10"/>
  <c r="G74" i="10"/>
  <c r="L74" i="10"/>
  <c r="M74" i="10"/>
  <c r="N74" i="10"/>
  <c r="O74" i="10"/>
  <c r="Q74" i="10"/>
  <c r="G75" i="10"/>
  <c r="L75" i="10"/>
  <c r="M75" i="10"/>
  <c r="N75" i="10"/>
  <c r="O75" i="10"/>
  <c r="Q75" i="10"/>
  <c r="G76" i="10"/>
  <c r="L76" i="10"/>
  <c r="M76" i="10"/>
  <c r="N76" i="10"/>
  <c r="O76" i="10"/>
  <c r="Q76" i="10"/>
  <c r="G77" i="10"/>
  <c r="L77" i="10"/>
  <c r="M77" i="10"/>
  <c r="N77" i="10"/>
  <c r="O77" i="10"/>
  <c r="Q77" i="10"/>
  <c r="G78" i="10"/>
  <c r="L78" i="10"/>
  <c r="M78" i="10"/>
  <c r="N78" i="10"/>
  <c r="O78" i="10"/>
  <c r="Q78" i="10"/>
  <c r="G79" i="10"/>
  <c r="L79" i="10"/>
  <c r="M79" i="10"/>
  <c r="N79" i="10"/>
  <c r="O79" i="10"/>
  <c r="Q79" i="10"/>
  <c r="G80" i="10"/>
  <c r="L80" i="10"/>
  <c r="M80" i="10"/>
  <c r="N80" i="10"/>
  <c r="O80" i="10"/>
  <c r="Q80" i="10"/>
  <c r="G81" i="10"/>
  <c r="L81" i="10"/>
  <c r="M81" i="10"/>
  <c r="N81" i="10"/>
  <c r="O81" i="10"/>
  <c r="Q81" i="10"/>
  <c r="G82" i="10"/>
  <c r="L82" i="10"/>
  <c r="M82" i="10"/>
  <c r="N82" i="10"/>
  <c r="O82" i="10"/>
  <c r="Q82" i="10"/>
  <c r="G83" i="10"/>
  <c r="L83" i="10"/>
  <c r="M83" i="10"/>
  <c r="N83" i="10"/>
  <c r="O83" i="10"/>
  <c r="Q83" i="10"/>
  <c r="G84" i="10"/>
  <c r="L84" i="10"/>
  <c r="M84" i="10"/>
  <c r="N84" i="10"/>
  <c r="O84" i="10"/>
  <c r="Q84" i="10"/>
  <c r="G85" i="10"/>
  <c r="L85" i="10"/>
  <c r="M85" i="10"/>
  <c r="N85" i="10"/>
  <c r="O85" i="10"/>
  <c r="Q85" i="10"/>
  <c r="G86" i="10"/>
  <c r="L86" i="10"/>
  <c r="M86" i="10"/>
  <c r="N86" i="10"/>
  <c r="O86" i="10"/>
  <c r="Q86" i="10"/>
  <c r="G87" i="10"/>
  <c r="L87" i="10"/>
  <c r="M87" i="10"/>
  <c r="N87" i="10"/>
  <c r="O87" i="10"/>
  <c r="Q87" i="10"/>
  <c r="G88" i="10"/>
  <c r="L88" i="10"/>
  <c r="M88" i="10"/>
  <c r="N88" i="10"/>
  <c r="O88" i="10"/>
  <c r="Q88" i="10"/>
  <c r="G89" i="10"/>
  <c r="L89" i="10"/>
  <c r="M89" i="10"/>
  <c r="N89" i="10"/>
  <c r="O89" i="10"/>
  <c r="Q89" i="10"/>
  <c r="G90" i="10"/>
  <c r="L90" i="10"/>
  <c r="M90" i="10"/>
  <c r="N90" i="10"/>
  <c r="O90" i="10"/>
  <c r="Q90" i="10"/>
  <c r="G91" i="10"/>
  <c r="L91" i="10"/>
  <c r="M91" i="10"/>
  <c r="N91" i="10"/>
  <c r="O91" i="10"/>
  <c r="Q91" i="10"/>
  <c r="G92" i="10"/>
  <c r="L92" i="10"/>
  <c r="M92" i="10"/>
  <c r="N92" i="10"/>
  <c r="O92" i="10"/>
  <c r="Q92" i="10"/>
  <c r="G93" i="10"/>
  <c r="L93" i="10"/>
  <c r="M93" i="10"/>
  <c r="N93" i="10"/>
  <c r="O93" i="10"/>
  <c r="Q93" i="10"/>
  <c r="G94" i="10"/>
  <c r="L94" i="10"/>
  <c r="M94" i="10"/>
  <c r="N94" i="10"/>
  <c r="O94" i="10"/>
  <c r="Q94" i="10"/>
  <c r="G95" i="10"/>
  <c r="L95" i="10"/>
  <c r="M95" i="10"/>
  <c r="N95" i="10"/>
  <c r="O95" i="10"/>
  <c r="Q95" i="10"/>
  <c r="G96" i="10"/>
  <c r="L96" i="10"/>
  <c r="M96" i="10"/>
  <c r="N96" i="10"/>
  <c r="O96" i="10"/>
  <c r="Q96" i="10"/>
  <c r="G97" i="10"/>
  <c r="L97" i="10"/>
  <c r="M97" i="10"/>
  <c r="N97" i="10"/>
  <c r="O97" i="10"/>
  <c r="Q97" i="10"/>
  <c r="G98" i="10"/>
  <c r="L98" i="10"/>
  <c r="M98" i="10"/>
  <c r="N98" i="10"/>
  <c r="O98" i="10"/>
  <c r="Q98" i="10"/>
  <c r="G99" i="10"/>
  <c r="L99" i="10"/>
  <c r="M99" i="10"/>
  <c r="N99" i="10"/>
  <c r="O99" i="10"/>
  <c r="Q99" i="10"/>
  <c r="G100" i="10"/>
  <c r="L100" i="10"/>
  <c r="M100" i="10"/>
  <c r="N100" i="10"/>
  <c r="O100" i="10"/>
  <c r="Q100" i="10"/>
  <c r="G101" i="10"/>
  <c r="L101" i="10"/>
  <c r="M101" i="10"/>
  <c r="N101" i="10"/>
  <c r="O101" i="10"/>
  <c r="Q101" i="10"/>
  <c r="G102" i="10"/>
  <c r="L102" i="10"/>
  <c r="M102" i="10"/>
  <c r="N102" i="10"/>
  <c r="O102" i="10"/>
  <c r="Q102" i="10"/>
  <c r="G103" i="10"/>
  <c r="L103" i="10"/>
  <c r="M103" i="10"/>
  <c r="N103" i="10"/>
  <c r="O103" i="10"/>
  <c r="Q103" i="10"/>
  <c r="G104" i="10"/>
  <c r="L104" i="10"/>
  <c r="M104" i="10"/>
  <c r="N104" i="10"/>
  <c r="O104" i="10"/>
  <c r="Q104" i="10"/>
  <c r="G105" i="10"/>
  <c r="L105" i="10"/>
  <c r="M105" i="10"/>
  <c r="N105" i="10"/>
  <c r="O105" i="10"/>
  <c r="Q105" i="10"/>
  <c r="G106" i="10"/>
  <c r="L106" i="10"/>
  <c r="M106" i="10"/>
  <c r="N106" i="10"/>
  <c r="O106" i="10"/>
  <c r="Q106" i="10"/>
  <c r="G107" i="10"/>
  <c r="L107" i="10"/>
  <c r="M107" i="10"/>
  <c r="N107" i="10"/>
  <c r="O107" i="10"/>
  <c r="Q107" i="10"/>
  <c r="G108" i="10"/>
  <c r="L108" i="10"/>
  <c r="M108" i="10"/>
  <c r="N108" i="10"/>
  <c r="O108" i="10"/>
  <c r="Q108" i="10"/>
  <c r="G109" i="10"/>
  <c r="L109" i="10"/>
  <c r="M109" i="10"/>
  <c r="N109" i="10"/>
  <c r="O109" i="10"/>
  <c r="Q109" i="10"/>
  <c r="G110" i="10"/>
  <c r="L110" i="10"/>
  <c r="M110" i="10"/>
  <c r="N110" i="10"/>
  <c r="O110" i="10"/>
  <c r="Q110" i="10"/>
  <c r="G111" i="10"/>
  <c r="L111" i="10"/>
  <c r="M111" i="10"/>
  <c r="N111" i="10"/>
  <c r="O111" i="10"/>
  <c r="Q111" i="10"/>
  <c r="G112" i="10"/>
  <c r="L112" i="10"/>
  <c r="M112" i="10"/>
  <c r="N112" i="10"/>
  <c r="O112" i="10"/>
  <c r="Q112" i="10"/>
  <c r="G113" i="10"/>
  <c r="L113" i="10"/>
  <c r="M113" i="10"/>
  <c r="N113" i="10"/>
  <c r="O113" i="10"/>
  <c r="Q113" i="10"/>
  <c r="G114" i="10"/>
  <c r="L114" i="10"/>
  <c r="M114" i="10"/>
  <c r="N114" i="10"/>
  <c r="O114" i="10"/>
  <c r="Q114" i="10"/>
  <c r="G115" i="10"/>
  <c r="L115" i="10"/>
  <c r="M115" i="10"/>
  <c r="N115" i="10"/>
  <c r="O115" i="10"/>
  <c r="Q115" i="10"/>
  <c r="G116" i="10"/>
  <c r="L116" i="10"/>
  <c r="M116" i="10"/>
  <c r="N116" i="10"/>
  <c r="O116" i="10"/>
  <c r="Q116" i="10"/>
  <c r="G117" i="10"/>
  <c r="L117" i="10"/>
  <c r="M117" i="10"/>
  <c r="N117" i="10"/>
  <c r="O117" i="10"/>
  <c r="Q117" i="10"/>
  <c r="G118" i="10"/>
  <c r="L118" i="10"/>
  <c r="M118" i="10"/>
  <c r="N118" i="10"/>
  <c r="O118" i="10"/>
  <c r="Q118" i="10"/>
  <c r="G119" i="10"/>
  <c r="L119" i="10"/>
  <c r="M119" i="10"/>
  <c r="N119" i="10"/>
  <c r="O119" i="10"/>
  <c r="Q119" i="10"/>
  <c r="G120" i="10"/>
  <c r="L120" i="10"/>
  <c r="M120" i="10"/>
  <c r="N120" i="10"/>
  <c r="O120" i="10"/>
  <c r="Q120" i="10"/>
  <c r="G121" i="10"/>
  <c r="L121" i="10"/>
  <c r="M121" i="10"/>
  <c r="N121" i="10"/>
  <c r="O121" i="10"/>
  <c r="Q121" i="10"/>
  <c r="G122" i="10"/>
  <c r="L122" i="10"/>
  <c r="M122" i="10"/>
  <c r="N122" i="10"/>
  <c r="O122" i="10"/>
  <c r="Q122" i="10"/>
  <c r="G123" i="10"/>
  <c r="L123" i="10"/>
  <c r="M123" i="10"/>
  <c r="N123" i="10"/>
  <c r="O123" i="10"/>
  <c r="Q123" i="10"/>
  <c r="G124" i="10"/>
  <c r="L124" i="10"/>
  <c r="M124" i="10"/>
  <c r="N124" i="10"/>
  <c r="O124" i="10"/>
  <c r="Q124" i="10"/>
  <c r="G125" i="10"/>
  <c r="L125" i="10"/>
  <c r="M125" i="10"/>
  <c r="N125" i="10"/>
  <c r="O125" i="10"/>
  <c r="Q125" i="10"/>
  <c r="G126" i="10"/>
  <c r="L126" i="10"/>
  <c r="M126" i="10"/>
  <c r="N126" i="10"/>
  <c r="O126" i="10"/>
  <c r="Q126" i="10"/>
  <c r="G127" i="10"/>
  <c r="L127" i="10"/>
  <c r="M127" i="10"/>
  <c r="N127" i="10"/>
  <c r="O127" i="10"/>
  <c r="Q127" i="10"/>
  <c r="G128" i="10"/>
  <c r="L128" i="10"/>
  <c r="M128" i="10"/>
  <c r="N128" i="10"/>
  <c r="O128" i="10"/>
  <c r="Q128" i="10"/>
  <c r="G129" i="10"/>
  <c r="L129" i="10"/>
  <c r="M129" i="10"/>
  <c r="N129" i="10"/>
  <c r="O129" i="10"/>
  <c r="Q129" i="10"/>
  <c r="G130" i="10"/>
  <c r="L130" i="10"/>
  <c r="M130" i="10"/>
  <c r="N130" i="10"/>
  <c r="O130" i="10"/>
  <c r="Q130" i="10"/>
  <c r="G131" i="10"/>
  <c r="L131" i="10"/>
  <c r="M131" i="10"/>
  <c r="N131" i="10"/>
  <c r="O131" i="10"/>
  <c r="Q131" i="10"/>
  <c r="G132" i="10"/>
  <c r="L132" i="10"/>
  <c r="M132" i="10"/>
  <c r="N132" i="10"/>
  <c r="O132" i="10"/>
  <c r="Q132" i="10"/>
  <c r="G133" i="10"/>
  <c r="L133" i="10"/>
  <c r="M133" i="10"/>
  <c r="N133" i="10"/>
  <c r="O133" i="10"/>
  <c r="Q133" i="10"/>
  <c r="G134" i="10"/>
  <c r="L134" i="10"/>
  <c r="M134" i="10"/>
  <c r="N134" i="10"/>
  <c r="O134" i="10"/>
  <c r="Q134" i="10"/>
  <c r="G135" i="10"/>
  <c r="L135" i="10"/>
  <c r="M135" i="10"/>
  <c r="N135" i="10"/>
  <c r="O135" i="10"/>
  <c r="Q135" i="10"/>
  <c r="G136" i="10"/>
  <c r="L136" i="10"/>
  <c r="M136" i="10"/>
  <c r="N136" i="10"/>
  <c r="O136" i="10"/>
  <c r="Q136" i="10"/>
  <c r="G137" i="10"/>
  <c r="L137" i="10"/>
  <c r="M137" i="10"/>
  <c r="N137" i="10"/>
  <c r="O137" i="10"/>
  <c r="Q137" i="10"/>
  <c r="G138" i="10"/>
  <c r="L138" i="10"/>
  <c r="M138" i="10"/>
  <c r="N138" i="10"/>
  <c r="O138" i="10"/>
  <c r="Q138" i="10"/>
  <c r="G139" i="10"/>
  <c r="L139" i="10"/>
  <c r="M139" i="10"/>
  <c r="N139" i="10"/>
  <c r="O139" i="10"/>
  <c r="Q139" i="10"/>
  <c r="G140" i="10"/>
  <c r="L140" i="10"/>
  <c r="M140" i="10"/>
  <c r="N140" i="10"/>
  <c r="O140" i="10"/>
  <c r="Q140" i="10"/>
  <c r="G141" i="10"/>
  <c r="L141" i="10"/>
  <c r="M141" i="10"/>
  <c r="N141" i="10"/>
  <c r="O141" i="10"/>
  <c r="Q141" i="10"/>
  <c r="G142" i="10"/>
  <c r="L142" i="10"/>
  <c r="M142" i="10"/>
  <c r="N142" i="10"/>
  <c r="O142" i="10"/>
  <c r="Q142" i="10"/>
  <c r="G143" i="10"/>
  <c r="L143" i="10"/>
  <c r="M143" i="10"/>
  <c r="N143" i="10"/>
  <c r="O143" i="10"/>
  <c r="Q143" i="10"/>
  <c r="G144" i="10"/>
  <c r="L144" i="10"/>
  <c r="M144" i="10"/>
  <c r="N144" i="10"/>
  <c r="O144" i="10"/>
  <c r="Q144" i="10"/>
  <c r="G145" i="10"/>
  <c r="L145" i="10"/>
  <c r="M145" i="10"/>
  <c r="N145" i="10"/>
  <c r="O145" i="10"/>
  <c r="Q145" i="10"/>
  <c r="G146" i="10"/>
  <c r="L146" i="10"/>
  <c r="M146" i="10"/>
  <c r="N146" i="10"/>
  <c r="O146" i="10"/>
  <c r="Q146" i="10"/>
  <c r="G147" i="10"/>
  <c r="L147" i="10"/>
  <c r="M147" i="10"/>
  <c r="N147" i="10"/>
  <c r="O147" i="10"/>
  <c r="Q147" i="10"/>
  <c r="G148" i="10"/>
  <c r="L148" i="10"/>
  <c r="M148" i="10"/>
  <c r="N148" i="10"/>
  <c r="O148" i="10"/>
  <c r="Q148" i="10"/>
  <c r="G149" i="10"/>
  <c r="L149" i="10"/>
  <c r="M149" i="10"/>
  <c r="N149" i="10"/>
  <c r="O149" i="10"/>
  <c r="Q149" i="10"/>
  <c r="G150" i="10"/>
  <c r="L150" i="10"/>
  <c r="M150" i="10"/>
  <c r="N150" i="10"/>
  <c r="O150" i="10"/>
  <c r="Q150" i="10"/>
  <c r="G151" i="10"/>
  <c r="L151" i="10"/>
  <c r="M151" i="10"/>
  <c r="N151" i="10"/>
  <c r="O151" i="10"/>
  <c r="Q151" i="10"/>
  <c r="G152" i="10"/>
  <c r="L152" i="10"/>
  <c r="M152" i="10"/>
  <c r="N152" i="10"/>
  <c r="O152" i="10"/>
  <c r="Q152" i="10"/>
  <c r="G153" i="10"/>
  <c r="L153" i="10"/>
  <c r="M153" i="10"/>
  <c r="N153" i="10"/>
  <c r="O153" i="10"/>
  <c r="Q153" i="10"/>
  <c r="G154" i="10"/>
  <c r="L154" i="10"/>
  <c r="M154" i="10"/>
  <c r="N154" i="10"/>
  <c r="O154" i="10"/>
  <c r="Q154" i="10"/>
  <c r="G155" i="10"/>
  <c r="L155" i="10"/>
  <c r="M155" i="10"/>
  <c r="N155" i="10"/>
  <c r="O155" i="10"/>
  <c r="Q155" i="10"/>
  <c r="G156" i="10"/>
  <c r="L156" i="10"/>
  <c r="M156" i="10"/>
  <c r="N156" i="10"/>
  <c r="O156" i="10"/>
  <c r="Q156" i="10"/>
  <c r="G157" i="10"/>
  <c r="L157" i="10"/>
  <c r="M157" i="10"/>
  <c r="N157" i="10"/>
  <c r="O157" i="10"/>
  <c r="Q157" i="10"/>
  <c r="G158" i="10"/>
  <c r="L158" i="10"/>
  <c r="M158" i="10"/>
  <c r="N158" i="10"/>
  <c r="O158" i="10"/>
  <c r="Q158" i="10"/>
  <c r="G159" i="10"/>
  <c r="L159" i="10"/>
  <c r="M159" i="10"/>
  <c r="N159" i="10"/>
  <c r="O159" i="10"/>
  <c r="Q159" i="10"/>
  <c r="G160" i="10"/>
  <c r="L160" i="10"/>
  <c r="M160" i="10"/>
  <c r="N160" i="10"/>
  <c r="O160" i="10"/>
  <c r="Q160" i="10"/>
  <c r="G161" i="10"/>
  <c r="L161" i="10"/>
  <c r="M161" i="10"/>
  <c r="N161" i="10"/>
  <c r="O161" i="10"/>
  <c r="Q161" i="10"/>
  <c r="G162" i="10"/>
  <c r="L162" i="10"/>
  <c r="M162" i="10"/>
  <c r="N162" i="10"/>
  <c r="O162" i="10"/>
  <c r="Q162" i="10"/>
  <c r="G163" i="10"/>
  <c r="L163" i="10"/>
  <c r="M163" i="10"/>
  <c r="N163" i="10"/>
  <c r="O163" i="10"/>
  <c r="Q163" i="10"/>
  <c r="G164" i="10"/>
  <c r="L164" i="10"/>
  <c r="M164" i="10"/>
  <c r="N164" i="10"/>
  <c r="O164" i="10"/>
  <c r="Q164" i="10"/>
  <c r="G165" i="10"/>
  <c r="L165" i="10"/>
  <c r="M165" i="10"/>
  <c r="N165" i="10"/>
  <c r="O165" i="10"/>
  <c r="Q165" i="10"/>
  <c r="G166" i="10"/>
  <c r="L166" i="10"/>
  <c r="M166" i="10"/>
  <c r="N166" i="10"/>
  <c r="O166" i="10"/>
  <c r="Q166" i="10"/>
  <c r="G167" i="10"/>
  <c r="L167" i="10"/>
  <c r="M167" i="10"/>
  <c r="N167" i="10"/>
  <c r="O167" i="10"/>
  <c r="Q167" i="10"/>
  <c r="G168" i="10"/>
  <c r="L168" i="10"/>
  <c r="M168" i="10"/>
  <c r="N168" i="10"/>
  <c r="O168" i="10"/>
  <c r="Q168" i="10"/>
  <c r="G169" i="10"/>
  <c r="L169" i="10"/>
  <c r="M169" i="10"/>
  <c r="N169" i="10"/>
  <c r="O169" i="10"/>
  <c r="Q169" i="10"/>
  <c r="G170" i="10"/>
  <c r="L170" i="10"/>
  <c r="M170" i="10"/>
  <c r="N170" i="10"/>
  <c r="O170" i="10"/>
  <c r="Q170" i="10"/>
  <c r="G171" i="10"/>
  <c r="L171" i="10"/>
  <c r="M171" i="10"/>
  <c r="N171" i="10"/>
  <c r="O171" i="10"/>
  <c r="Q171" i="10"/>
  <c r="G172" i="10"/>
  <c r="L172" i="10"/>
  <c r="M172" i="10"/>
  <c r="N172" i="10"/>
  <c r="O172" i="10"/>
  <c r="Q172" i="10"/>
  <c r="G173" i="10"/>
  <c r="L173" i="10"/>
  <c r="M173" i="10"/>
  <c r="N173" i="10"/>
  <c r="O173" i="10"/>
  <c r="Q173" i="10"/>
  <c r="G174" i="10"/>
  <c r="L174" i="10"/>
  <c r="M174" i="10"/>
  <c r="N174" i="10"/>
  <c r="O174" i="10"/>
  <c r="Q174" i="10"/>
  <c r="G175" i="10"/>
  <c r="L175" i="10"/>
  <c r="M175" i="10"/>
  <c r="N175" i="10"/>
  <c r="O175" i="10"/>
  <c r="Q175" i="10"/>
  <c r="G176" i="10"/>
  <c r="L176" i="10"/>
  <c r="M176" i="10"/>
  <c r="N176" i="10"/>
  <c r="O176" i="10"/>
  <c r="Q176" i="10"/>
  <c r="G177" i="10"/>
  <c r="L177" i="10"/>
  <c r="M177" i="10"/>
  <c r="N177" i="10"/>
  <c r="O177" i="10"/>
  <c r="Q177" i="10"/>
  <c r="G178" i="10"/>
  <c r="L178" i="10"/>
  <c r="M178" i="10"/>
  <c r="N178" i="10"/>
  <c r="O178" i="10"/>
  <c r="Q178" i="10"/>
  <c r="G179" i="10"/>
  <c r="L179" i="10"/>
  <c r="M179" i="10"/>
  <c r="N179" i="10"/>
  <c r="O179" i="10"/>
  <c r="Q179" i="10"/>
  <c r="G180" i="10"/>
  <c r="L180" i="10"/>
  <c r="M180" i="10"/>
  <c r="N180" i="10"/>
  <c r="O180" i="10"/>
  <c r="Q180" i="10"/>
  <c r="G181" i="10"/>
  <c r="L181" i="10"/>
  <c r="M181" i="10"/>
  <c r="N181" i="10"/>
  <c r="O181" i="10"/>
  <c r="Q181" i="10"/>
  <c r="G182" i="10"/>
  <c r="L182" i="10"/>
  <c r="M182" i="10"/>
  <c r="N182" i="10"/>
  <c r="O182" i="10"/>
  <c r="Q182" i="10"/>
  <c r="G183" i="10"/>
  <c r="L183" i="10"/>
  <c r="M183" i="10"/>
  <c r="N183" i="10"/>
  <c r="O183" i="10"/>
  <c r="Q183" i="10"/>
  <c r="G184" i="10"/>
  <c r="L184" i="10"/>
  <c r="M184" i="10"/>
  <c r="N184" i="10"/>
  <c r="O184" i="10"/>
  <c r="Q184" i="10"/>
  <c r="G185" i="10"/>
  <c r="L185" i="10"/>
  <c r="M185" i="10"/>
  <c r="N185" i="10"/>
  <c r="O185" i="10"/>
  <c r="Q185" i="10"/>
  <c r="G186" i="10"/>
  <c r="L186" i="10"/>
  <c r="M186" i="10"/>
  <c r="N186" i="10"/>
  <c r="O186" i="10"/>
  <c r="Q186" i="10"/>
  <c r="G187" i="10"/>
  <c r="L187" i="10"/>
  <c r="M187" i="10"/>
  <c r="N187" i="10"/>
  <c r="O187" i="10"/>
  <c r="Q187" i="10"/>
  <c r="G188" i="10"/>
  <c r="L188" i="10"/>
  <c r="M188" i="10"/>
  <c r="N188" i="10"/>
  <c r="O188" i="10"/>
  <c r="Q188" i="10"/>
  <c r="G189" i="10"/>
  <c r="L189" i="10"/>
  <c r="M189" i="10"/>
  <c r="N189" i="10"/>
  <c r="O189" i="10"/>
  <c r="Q189" i="10"/>
  <c r="G190" i="10"/>
  <c r="L190" i="10"/>
  <c r="M190" i="10"/>
  <c r="N190" i="10"/>
  <c r="O190" i="10"/>
  <c r="Q190" i="10"/>
  <c r="G191" i="10"/>
  <c r="L191" i="10"/>
  <c r="M191" i="10"/>
  <c r="N191" i="10"/>
  <c r="O191" i="10"/>
  <c r="Q191" i="10"/>
  <c r="G192" i="10"/>
  <c r="L192" i="10"/>
  <c r="M192" i="10"/>
  <c r="N192" i="10"/>
  <c r="O192" i="10"/>
  <c r="Q192" i="10"/>
  <c r="G193" i="10"/>
  <c r="L193" i="10"/>
  <c r="M193" i="10"/>
  <c r="N193" i="10"/>
  <c r="O193" i="10"/>
  <c r="Q193" i="10"/>
  <c r="G194" i="10"/>
  <c r="L194" i="10"/>
  <c r="M194" i="10"/>
  <c r="N194" i="10"/>
  <c r="O194" i="10"/>
  <c r="Q194" i="10"/>
  <c r="G195" i="10"/>
  <c r="L195" i="10"/>
  <c r="M195" i="10"/>
  <c r="N195" i="10"/>
  <c r="O195" i="10"/>
  <c r="Q195" i="10"/>
  <c r="G196" i="10"/>
  <c r="L196" i="10"/>
  <c r="M196" i="10"/>
  <c r="N196" i="10"/>
  <c r="O196" i="10"/>
  <c r="Q196" i="10"/>
  <c r="G197" i="10"/>
  <c r="L197" i="10"/>
  <c r="M197" i="10"/>
  <c r="N197" i="10"/>
  <c r="O197" i="10"/>
  <c r="Q197" i="10"/>
  <c r="G198" i="10"/>
  <c r="L198" i="10"/>
  <c r="M198" i="10"/>
  <c r="N198" i="10"/>
  <c r="O198" i="10"/>
  <c r="Q198" i="10"/>
  <c r="G199" i="10"/>
  <c r="L199" i="10"/>
  <c r="M199" i="10"/>
  <c r="N199" i="10"/>
  <c r="O199" i="10"/>
  <c r="Q199" i="10"/>
  <c r="G200" i="10"/>
  <c r="L200" i="10"/>
  <c r="M200" i="10"/>
  <c r="N200" i="10"/>
  <c r="O200" i="10"/>
  <c r="Q200" i="10"/>
  <c r="G201" i="10"/>
  <c r="L201" i="10"/>
  <c r="M201" i="10"/>
  <c r="N201" i="10"/>
  <c r="O201" i="10"/>
  <c r="Q201" i="10"/>
  <c r="G202" i="10"/>
  <c r="L202" i="10"/>
  <c r="M202" i="10"/>
  <c r="N202" i="10"/>
  <c r="O202" i="10"/>
  <c r="Q202" i="10"/>
  <c r="G203" i="10"/>
  <c r="L203" i="10"/>
  <c r="M203" i="10"/>
  <c r="N203" i="10"/>
  <c r="O203" i="10"/>
  <c r="Q203" i="10"/>
  <c r="G204" i="10"/>
  <c r="L204" i="10"/>
  <c r="M204" i="10"/>
  <c r="N204" i="10"/>
  <c r="O204" i="10"/>
  <c r="Q204" i="10"/>
  <c r="G205" i="10"/>
  <c r="L205" i="10"/>
  <c r="M205" i="10"/>
  <c r="N205" i="10"/>
  <c r="O205" i="10"/>
  <c r="Q205" i="10"/>
  <c r="G206" i="10"/>
  <c r="L206" i="10"/>
  <c r="M206" i="10"/>
  <c r="N206" i="10"/>
  <c r="O206" i="10"/>
  <c r="Q206" i="10"/>
  <c r="G207" i="10"/>
  <c r="L207" i="10"/>
  <c r="M207" i="10"/>
  <c r="N207" i="10"/>
  <c r="O207" i="10"/>
  <c r="Q207" i="10"/>
  <c r="G208" i="10"/>
  <c r="L208" i="10"/>
  <c r="M208" i="10"/>
  <c r="N208" i="10"/>
  <c r="O208" i="10"/>
  <c r="Q208" i="10"/>
  <c r="G209" i="10"/>
  <c r="L209" i="10"/>
  <c r="M209" i="10"/>
  <c r="N209" i="10"/>
  <c r="O209" i="10"/>
  <c r="Q209" i="10"/>
  <c r="G210" i="10"/>
  <c r="L210" i="10"/>
  <c r="M210" i="10"/>
  <c r="N210" i="10"/>
  <c r="O210" i="10"/>
  <c r="Q210" i="10"/>
  <c r="G211" i="10"/>
  <c r="L211" i="10"/>
  <c r="M211" i="10"/>
  <c r="N211" i="10"/>
  <c r="O211" i="10"/>
  <c r="Q211" i="10"/>
  <c r="G212" i="10"/>
  <c r="L212" i="10"/>
  <c r="M212" i="10"/>
  <c r="N212" i="10"/>
  <c r="O212" i="10"/>
  <c r="Q212" i="10"/>
  <c r="G213" i="10"/>
  <c r="L213" i="10"/>
  <c r="M213" i="10"/>
  <c r="N213" i="10"/>
  <c r="O213" i="10"/>
  <c r="Q213" i="10"/>
  <c r="G214" i="10"/>
  <c r="L214" i="10"/>
  <c r="M214" i="10"/>
  <c r="N214" i="10"/>
  <c r="O214" i="10"/>
  <c r="Q214" i="10"/>
  <c r="G215" i="10"/>
  <c r="L215" i="10"/>
  <c r="M215" i="10"/>
  <c r="N215" i="10"/>
  <c r="O215" i="10"/>
  <c r="Q215" i="10"/>
  <c r="G216" i="10"/>
  <c r="L216" i="10"/>
  <c r="M216" i="10"/>
  <c r="N216" i="10"/>
  <c r="O216" i="10"/>
  <c r="Q216" i="10"/>
  <c r="G217" i="10"/>
  <c r="L217" i="10"/>
  <c r="M217" i="10"/>
  <c r="N217" i="10"/>
  <c r="O217" i="10"/>
  <c r="Q217" i="10"/>
  <c r="G218" i="10"/>
  <c r="L218" i="10"/>
  <c r="M218" i="10"/>
  <c r="N218" i="10"/>
  <c r="O218" i="10"/>
  <c r="Q218" i="10"/>
  <c r="G219" i="10"/>
  <c r="L219" i="10"/>
  <c r="M219" i="10"/>
  <c r="N219" i="10"/>
  <c r="O219" i="10"/>
  <c r="Q219" i="10"/>
  <c r="G220" i="10"/>
  <c r="L220" i="10"/>
  <c r="M220" i="10"/>
  <c r="N220" i="10"/>
  <c r="O220" i="10"/>
  <c r="Q220" i="10"/>
  <c r="G221" i="10"/>
  <c r="L221" i="10"/>
  <c r="M221" i="10"/>
  <c r="N221" i="10"/>
  <c r="O221" i="10"/>
  <c r="Q221" i="10"/>
  <c r="G222" i="10"/>
  <c r="L222" i="10"/>
  <c r="M222" i="10"/>
  <c r="N222" i="10"/>
  <c r="O222" i="10"/>
  <c r="Q222" i="10"/>
  <c r="G223" i="10"/>
  <c r="L223" i="10"/>
  <c r="M223" i="10"/>
  <c r="N223" i="10"/>
  <c r="O223" i="10"/>
  <c r="Q223" i="10"/>
  <c r="G224" i="10"/>
  <c r="L224" i="10"/>
  <c r="M224" i="10"/>
  <c r="N224" i="10"/>
  <c r="O224" i="10"/>
  <c r="Q224" i="10"/>
  <c r="G225" i="10"/>
  <c r="L225" i="10"/>
  <c r="M225" i="10"/>
  <c r="N225" i="10"/>
  <c r="O225" i="10"/>
  <c r="Q225" i="10"/>
  <c r="G226" i="10"/>
  <c r="L226" i="10"/>
  <c r="M226" i="10"/>
  <c r="N226" i="10"/>
  <c r="O226" i="10"/>
  <c r="Q226" i="10"/>
  <c r="G227" i="10"/>
  <c r="L227" i="10"/>
  <c r="M227" i="10"/>
  <c r="N227" i="10"/>
  <c r="O227" i="10"/>
  <c r="Q227" i="10"/>
  <c r="G228" i="10"/>
  <c r="L228" i="10"/>
  <c r="M228" i="10"/>
  <c r="N228" i="10"/>
  <c r="O228" i="10"/>
  <c r="Q228" i="10"/>
  <c r="G229" i="10"/>
  <c r="L229" i="10"/>
  <c r="M229" i="10"/>
  <c r="N229" i="10"/>
  <c r="O229" i="10"/>
  <c r="Q229" i="10"/>
  <c r="G230" i="10"/>
  <c r="L230" i="10"/>
  <c r="M230" i="10"/>
  <c r="N230" i="10"/>
  <c r="O230" i="10"/>
  <c r="Q230" i="10"/>
  <c r="G231" i="10"/>
  <c r="L231" i="10"/>
  <c r="M231" i="10"/>
  <c r="N231" i="10"/>
  <c r="O231" i="10"/>
  <c r="Q231" i="10"/>
  <c r="G232" i="10"/>
  <c r="L232" i="10"/>
  <c r="M232" i="10"/>
  <c r="N232" i="10"/>
  <c r="O232" i="10"/>
  <c r="Q232" i="10"/>
  <c r="G233" i="10"/>
  <c r="L233" i="10"/>
  <c r="M233" i="10"/>
  <c r="N233" i="10"/>
  <c r="O233" i="10"/>
  <c r="Q233" i="10"/>
  <c r="G234" i="10"/>
  <c r="L234" i="10"/>
  <c r="M234" i="10"/>
  <c r="N234" i="10"/>
  <c r="O234" i="10"/>
  <c r="Q234" i="10"/>
  <c r="G235" i="10"/>
  <c r="L235" i="10"/>
  <c r="M235" i="10"/>
  <c r="N235" i="10"/>
  <c r="O235" i="10"/>
  <c r="Q235" i="10"/>
  <c r="G236" i="10"/>
  <c r="L236" i="10"/>
  <c r="M236" i="10"/>
  <c r="N236" i="10"/>
  <c r="O236" i="10"/>
  <c r="Q236" i="10"/>
  <c r="G237" i="10"/>
  <c r="L237" i="10"/>
  <c r="M237" i="10"/>
  <c r="N237" i="10"/>
  <c r="O237" i="10"/>
  <c r="Q237" i="10"/>
  <c r="G238" i="10"/>
  <c r="L238" i="10"/>
  <c r="M238" i="10"/>
  <c r="N238" i="10"/>
  <c r="O238" i="10"/>
  <c r="Q238" i="10"/>
  <c r="G239" i="10"/>
  <c r="L239" i="10"/>
  <c r="M239" i="10"/>
  <c r="N239" i="10"/>
  <c r="O239" i="10"/>
  <c r="Q239" i="10"/>
  <c r="G240" i="10"/>
  <c r="L240" i="10"/>
  <c r="M240" i="10"/>
  <c r="N240" i="10"/>
  <c r="O240" i="10"/>
  <c r="Q240" i="10"/>
  <c r="G241" i="10"/>
  <c r="L241" i="10"/>
  <c r="M241" i="10"/>
  <c r="N241" i="10"/>
  <c r="O241" i="10"/>
  <c r="Q241" i="10"/>
  <c r="G242" i="10"/>
  <c r="L242" i="10"/>
  <c r="M242" i="10"/>
  <c r="N242" i="10"/>
  <c r="O242" i="10"/>
  <c r="Q242" i="10"/>
  <c r="G243" i="10"/>
  <c r="L243" i="10"/>
  <c r="M243" i="10"/>
  <c r="N243" i="10"/>
  <c r="O243" i="10"/>
  <c r="Q243" i="10"/>
  <c r="G244" i="10"/>
  <c r="L244" i="10"/>
  <c r="M244" i="10"/>
  <c r="N244" i="10"/>
  <c r="O244" i="10"/>
  <c r="Q244" i="10"/>
  <c r="G245" i="10"/>
  <c r="L245" i="10"/>
  <c r="M245" i="10"/>
  <c r="N245" i="10"/>
  <c r="O245" i="10"/>
  <c r="Q245" i="10"/>
  <c r="G246" i="10"/>
  <c r="L246" i="10"/>
  <c r="M246" i="10"/>
  <c r="N246" i="10"/>
  <c r="O246" i="10"/>
  <c r="Q246" i="10"/>
  <c r="G247" i="10"/>
  <c r="L247" i="10"/>
  <c r="M247" i="10"/>
  <c r="N247" i="10"/>
  <c r="O247" i="10"/>
  <c r="Q247" i="10"/>
  <c r="F2" i="9"/>
  <c r="K2" i="9"/>
  <c r="M4" i="9"/>
  <c r="L4" i="9"/>
  <c r="N4" i="9"/>
  <c r="M5" i="9"/>
  <c r="L5" i="9"/>
  <c r="N5" i="9"/>
  <c r="M6" i="9"/>
  <c r="L6" i="9"/>
  <c r="N6" i="9"/>
  <c r="M7" i="9"/>
  <c r="L7" i="9"/>
  <c r="N7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M8" i="9"/>
  <c r="L8" i="9"/>
  <c r="N8" i="9"/>
  <c r="M9" i="9"/>
  <c r="L9" i="9"/>
  <c r="N9" i="9"/>
  <c r="M10" i="9"/>
  <c r="L10" i="9"/>
  <c r="N10" i="9"/>
  <c r="M11" i="9"/>
  <c r="L11" i="9"/>
  <c r="N11" i="9"/>
  <c r="M12" i="9"/>
  <c r="L12" i="9"/>
  <c r="N12" i="9"/>
  <c r="M13" i="9"/>
  <c r="L13" i="9"/>
  <c r="N13" i="9"/>
  <c r="M14" i="9"/>
  <c r="L14" i="9"/>
  <c r="N14" i="9"/>
  <c r="M15" i="9"/>
  <c r="L15" i="9"/>
  <c r="N15" i="9"/>
  <c r="M16" i="9"/>
  <c r="L16" i="9"/>
  <c r="N16" i="9"/>
  <c r="M17" i="9"/>
  <c r="L17" i="9"/>
  <c r="N17" i="9"/>
  <c r="M18" i="9"/>
  <c r="L18" i="9"/>
  <c r="N18" i="9"/>
  <c r="M19" i="9"/>
  <c r="L19" i="9"/>
  <c r="N19" i="9"/>
  <c r="M20" i="9"/>
  <c r="L20" i="9"/>
  <c r="N20" i="9"/>
  <c r="M21" i="9"/>
  <c r="L21" i="9"/>
  <c r="N21" i="9"/>
  <c r="M22" i="9"/>
  <c r="L22" i="9"/>
  <c r="N22" i="9"/>
  <c r="M23" i="9"/>
  <c r="L23" i="9"/>
  <c r="N23" i="9"/>
  <c r="M24" i="9"/>
  <c r="L24" i="9"/>
  <c r="N24" i="9"/>
  <c r="M25" i="9"/>
  <c r="L25" i="9"/>
  <c r="N25" i="9"/>
  <c r="M26" i="9"/>
  <c r="L26" i="9"/>
  <c r="N26" i="9"/>
  <c r="M27" i="9"/>
  <c r="L27" i="9"/>
  <c r="N27" i="9"/>
  <c r="M28" i="9"/>
  <c r="L28" i="9"/>
  <c r="N28" i="9"/>
  <c r="M29" i="9"/>
  <c r="L29" i="9"/>
  <c r="N29" i="9"/>
  <c r="M30" i="9"/>
  <c r="L30" i="9"/>
  <c r="N30" i="9"/>
  <c r="M31" i="9"/>
  <c r="L31" i="9"/>
  <c r="N31" i="9"/>
  <c r="M32" i="9"/>
  <c r="L32" i="9"/>
  <c r="N32" i="9"/>
  <c r="M33" i="9"/>
  <c r="L33" i="9"/>
  <c r="N33" i="9"/>
  <c r="M34" i="9"/>
  <c r="L34" i="9"/>
  <c r="N34" i="9"/>
  <c r="M35" i="9"/>
  <c r="L35" i="9"/>
  <c r="N35" i="9"/>
  <c r="M36" i="9"/>
  <c r="L36" i="9"/>
  <c r="N36" i="9"/>
  <c r="M37" i="9"/>
  <c r="L37" i="9"/>
  <c r="N37" i="9"/>
  <c r="M38" i="9"/>
  <c r="L38" i="9"/>
  <c r="N38" i="9"/>
  <c r="M39" i="9"/>
  <c r="L39" i="9"/>
  <c r="N39" i="9"/>
  <c r="M40" i="9"/>
  <c r="L40" i="9"/>
  <c r="N40" i="9"/>
  <c r="M41" i="9"/>
  <c r="L41" i="9"/>
  <c r="N41" i="9"/>
  <c r="M42" i="9"/>
  <c r="L42" i="9"/>
  <c r="N42" i="9"/>
  <c r="M43" i="9"/>
  <c r="L43" i="9"/>
  <c r="N43" i="9"/>
  <c r="M44" i="9"/>
  <c r="L44" i="9"/>
  <c r="N44" i="9"/>
  <c r="M45" i="9"/>
  <c r="L45" i="9"/>
  <c r="N45" i="9"/>
  <c r="M46" i="9"/>
  <c r="L46" i="9"/>
  <c r="N46" i="9"/>
  <c r="M47" i="9"/>
  <c r="L47" i="9"/>
  <c r="N47" i="9"/>
  <c r="M48" i="9"/>
  <c r="L48" i="9"/>
  <c r="N48" i="9"/>
  <c r="M49" i="9"/>
  <c r="L49" i="9"/>
  <c r="N49" i="9"/>
  <c r="M50" i="9"/>
  <c r="L50" i="9"/>
  <c r="N50" i="9"/>
  <c r="M51" i="9"/>
  <c r="L51" i="9"/>
  <c r="N51" i="9"/>
  <c r="M52" i="9"/>
  <c r="L52" i="9"/>
  <c r="N52" i="9"/>
  <c r="M53" i="9"/>
  <c r="L53" i="9"/>
  <c r="N53" i="9"/>
  <c r="M54" i="9"/>
  <c r="L54" i="9"/>
  <c r="N54" i="9"/>
  <c r="M55" i="9"/>
  <c r="L55" i="9"/>
  <c r="N55" i="9"/>
  <c r="M56" i="9"/>
  <c r="L56" i="9"/>
  <c r="N56" i="9"/>
  <c r="M57" i="9"/>
  <c r="L57" i="9"/>
  <c r="N57" i="9"/>
  <c r="M58" i="9"/>
  <c r="L58" i="9"/>
  <c r="N58" i="9"/>
  <c r="M59" i="9"/>
  <c r="L59" i="9"/>
  <c r="N59" i="9"/>
  <c r="M60" i="9"/>
  <c r="L60" i="9"/>
  <c r="N60" i="9"/>
  <c r="M61" i="9"/>
  <c r="L61" i="9"/>
  <c r="N61" i="9"/>
  <c r="M62" i="9"/>
  <c r="L62" i="9"/>
  <c r="N62" i="9"/>
  <c r="M63" i="9"/>
  <c r="L63" i="9"/>
  <c r="N63" i="9"/>
  <c r="M64" i="9"/>
  <c r="L64" i="9"/>
  <c r="N64" i="9"/>
  <c r="M65" i="9"/>
  <c r="L65" i="9"/>
  <c r="N65" i="9"/>
  <c r="M66" i="9"/>
  <c r="L66" i="9"/>
  <c r="N66" i="9"/>
  <c r="M67" i="9"/>
  <c r="L67" i="9"/>
  <c r="N67" i="9"/>
  <c r="M68" i="9"/>
  <c r="L68" i="9"/>
  <c r="N68" i="9"/>
  <c r="M69" i="9"/>
  <c r="L69" i="9"/>
  <c r="N69" i="9"/>
  <c r="M70" i="9"/>
  <c r="L70" i="9"/>
  <c r="N70" i="9"/>
  <c r="M71" i="9"/>
  <c r="L71" i="9"/>
  <c r="N71" i="9"/>
  <c r="M72" i="9"/>
  <c r="L72" i="9"/>
  <c r="N72" i="9"/>
  <c r="M73" i="9"/>
  <c r="L73" i="9"/>
  <c r="N73" i="9"/>
  <c r="M74" i="9"/>
  <c r="L74" i="9"/>
  <c r="N74" i="9"/>
  <c r="M75" i="9"/>
  <c r="L75" i="9"/>
  <c r="N75" i="9"/>
  <c r="M76" i="9"/>
  <c r="L76" i="9"/>
  <c r="N76" i="9"/>
  <c r="M77" i="9"/>
  <c r="L77" i="9"/>
  <c r="N77" i="9"/>
  <c r="M78" i="9"/>
  <c r="L78" i="9"/>
  <c r="N78" i="9"/>
  <c r="M79" i="9"/>
  <c r="L79" i="9"/>
  <c r="N79" i="9"/>
  <c r="M80" i="9"/>
  <c r="L80" i="9"/>
  <c r="N80" i="9"/>
  <c r="M81" i="9"/>
  <c r="L81" i="9"/>
  <c r="N81" i="9"/>
  <c r="M82" i="9"/>
  <c r="L82" i="9"/>
  <c r="N82" i="9"/>
  <c r="M83" i="9"/>
  <c r="L83" i="9"/>
  <c r="N83" i="9"/>
  <c r="M84" i="9"/>
  <c r="L84" i="9"/>
  <c r="N84" i="9"/>
  <c r="M85" i="9"/>
  <c r="L85" i="9"/>
  <c r="N85" i="9"/>
  <c r="M86" i="9"/>
  <c r="L86" i="9"/>
  <c r="N86" i="9"/>
  <c r="M87" i="9"/>
  <c r="L87" i="9"/>
  <c r="N87" i="9"/>
  <c r="M88" i="9"/>
  <c r="L88" i="9"/>
  <c r="N88" i="9"/>
  <c r="M89" i="9"/>
  <c r="L89" i="9"/>
  <c r="N89" i="9"/>
  <c r="M90" i="9"/>
  <c r="L90" i="9"/>
  <c r="N90" i="9"/>
  <c r="M91" i="9"/>
  <c r="L91" i="9"/>
  <c r="N91" i="9"/>
  <c r="M92" i="9"/>
  <c r="L92" i="9"/>
  <c r="N92" i="9"/>
  <c r="M93" i="9"/>
  <c r="L93" i="9"/>
  <c r="N93" i="9"/>
  <c r="M94" i="9"/>
  <c r="L94" i="9"/>
  <c r="N94" i="9"/>
  <c r="M95" i="9"/>
  <c r="L95" i="9"/>
  <c r="N95" i="9"/>
  <c r="M96" i="9"/>
  <c r="L96" i="9"/>
  <c r="N96" i="9"/>
  <c r="M97" i="9"/>
  <c r="L97" i="9"/>
  <c r="N97" i="9"/>
  <c r="M98" i="9"/>
  <c r="L98" i="9"/>
  <c r="N98" i="9"/>
  <c r="M99" i="9"/>
  <c r="L99" i="9"/>
  <c r="N99" i="9"/>
  <c r="M100" i="9"/>
  <c r="L100" i="9"/>
  <c r="N100" i="9"/>
  <c r="M101" i="9"/>
  <c r="L101" i="9"/>
  <c r="N101" i="9"/>
  <c r="M102" i="9"/>
  <c r="L102" i="9"/>
  <c r="N102" i="9"/>
  <c r="M103" i="9"/>
  <c r="L103" i="9"/>
  <c r="N103" i="9"/>
  <c r="M104" i="9"/>
  <c r="L104" i="9"/>
  <c r="N104" i="9"/>
  <c r="M105" i="9"/>
  <c r="L105" i="9"/>
  <c r="N105" i="9"/>
  <c r="M106" i="9"/>
  <c r="L106" i="9"/>
  <c r="N106" i="9"/>
  <c r="M107" i="9"/>
  <c r="L107" i="9"/>
  <c r="N107" i="9"/>
  <c r="M108" i="9"/>
  <c r="L108" i="9"/>
  <c r="N108" i="9"/>
  <c r="M109" i="9"/>
  <c r="L109" i="9"/>
  <c r="N109" i="9"/>
  <c r="M110" i="9"/>
  <c r="L110" i="9"/>
  <c r="N110" i="9"/>
  <c r="M111" i="9"/>
  <c r="L111" i="9"/>
  <c r="N111" i="9"/>
  <c r="M112" i="9"/>
  <c r="L112" i="9"/>
  <c r="N112" i="9"/>
  <c r="M113" i="9"/>
  <c r="L113" i="9"/>
  <c r="N113" i="9"/>
  <c r="M114" i="9"/>
  <c r="L114" i="9"/>
  <c r="N114" i="9"/>
  <c r="M115" i="9"/>
  <c r="L115" i="9"/>
  <c r="N115" i="9"/>
  <c r="M116" i="9"/>
  <c r="L116" i="9"/>
  <c r="N116" i="9"/>
  <c r="M117" i="9"/>
  <c r="L117" i="9"/>
  <c r="N117" i="9"/>
  <c r="M118" i="9"/>
  <c r="L118" i="9"/>
  <c r="N118" i="9"/>
  <c r="M119" i="9"/>
  <c r="L119" i="9"/>
  <c r="N119" i="9"/>
  <c r="M120" i="9"/>
  <c r="L120" i="9"/>
  <c r="N120" i="9"/>
  <c r="M121" i="9"/>
  <c r="L121" i="9"/>
  <c r="N121" i="9"/>
  <c r="M122" i="9"/>
  <c r="L122" i="9"/>
  <c r="N122" i="9"/>
  <c r="M123" i="9"/>
  <c r="L123" i="9"/>
  <c r="N123" i="9"/>
  <c r="M124" i="9"/>
  <c r="L124" i="9"/>
  <c r="N124" i="9"/>
  <c r="M125" i="9"/>
  <c r="L125" i="9"/>
  <c r="N125" i="9"/>
  <c r="M126" i="9"/>
  <c r="L126" i="9"/>
  <c r="N126" i="9"/>
  <c r="M127" i="9"/>
  <c r="L127" i="9"/>
  <c r="N127" i="9"/>
  <c r="M128" i="9"/>
  <c r="L128" i="9"/>
  <c r="N128" i="9"/>
  <c r="M129" i="9"/>
  <c r="L129" i="9"/>
  <c r="N129" i="9"/>
  <c r="M130" i="9"/>
  <c r="L130" i="9"/>
  <c r="N130" i="9"/>
  <c r="M131" i="9"/>
  <c r="L131" i="9"/>
  <c r="N131" i="9"/>
  <c r="M132" i="9"/>
  <c r="L132" i="9"/>
  <c r="N132" i="9"/>
  <c r="M133" i="9"/>
  <c r="L133" i="9"/>
  <c r="N133" i="9"/>
  <c r="M134" i="9"/>
  <c r="L134" i="9"/>
  <c r="N134" i="9"/>
  <c r="M135" i="9"/>
  <c r="L135" i="9"/>
  <c r="N135" i="9"/>
  <c r="M136" i="9"/>
  <c r="L136" i="9"/>
  <c r="N136" i="9"/>
  <c r="M137" i="9"/>
  <c r="L137" i="9"/>
  <c r="N137" i="9"/>
  <c r="M138" i="9"/>
  <c r="L138" i="9"/>
  <c r="N138" i="9"/>
  <c r="M139" i="9"/>
  <c r="L139" i="9"/>
  <c r="N139" i="9"/>
  <c r="M140" i="9"/>
  <c r="L140" i="9"/>
  <c r="N140" i="9"/>
  <c r="M141" i="9"/>
  <c r="L141" i="9"/>
  <c r="N141" i="9"/>
  <c r="M142" i="9"/>
  <c r="L142" i="9"/>
  <c r="N142" i="9"/>
  <c r="M143" i="9"/>
  <c r="L143" i="9"/>
  <c r="N143" i="9"/>
  <c r="M144" i="9"/>
  <c r="L144" i="9"/>
  <c r="N144" i="9"/>
  <c r="M145" i="9"/>
  <c r="L145" i="9"/>
  <c r="N145" i="9"/>
  <c r="M146" i="9"/>
  <c r="L146" i="9"/>
  <c r="N146" i="9"/>
  <c r="M147" i="9"/>
  <c r="L147" i="9"/>
  <c r="N147" i="9"/>
  <c r="M148" i="9"/>
  <c r="L148" i="9"/>
  <c r="N148" i="9"/>
  <c r="M149" i="9"/>
  <c r="L149" i="9"/>
  <c r="N149" i="9"/>
  <c r="M150" i="9"/>
  <c r="L150" i="9"/>
  <c r="N150" i="9"/>
  <c r="M151" i="9"/>
  <c r="L151" i="9"/>
  <c r="N151" i="9"/>
  <c r="M152" i="9"/>
  <c r="L152" i="9"/>
  <c r="N152" i="9"/>
  <c r="M153" i="9"/>
  <c r="L153" i="9"/>
  <c r="N153" i="9"/>
  <c r="M154" i="9"/>
  <c r="L154" i="9"/>
  <c r="N154" i="9"/>
  <c r="M155" i="9"/>
  <c r="L155" i="9"/>
  <c r="N155" i="9"/>
  <c r="M156" i="9"/>
  <c r="L156" i="9"/>
  <c r="N156" i="9"/>
  <c r="M157" i="9"/>
  <c r="L157" i="9"/>
  <c r="N157" i="9"/>
  <c r="M158" i="9"/>
  <c r="L158" i="9"/>
  <c r="N158" i="9"/>
  <c r="M159" i="9"/>
  <c r="L159" i="9"/>
  <c r="N159" i="9"/>
  <c r="M160" i="9"/>
  <c r="L160" i="9"/>
  <c r="N160" i="9"/>
  <c r="M161" i="9"/>
  <c r="L161" i="9"/>
  <c r="N161" i="9"/>
  <c r="M162" i="9"/>
  <c r="L162" i="9"/>
  <c r="N162" i="9"/>
  <c r="M163" i="9"/>
  <c r="L163" i="9"/>
  <c r="N163" i="9"/>
  <c r="M164" i="9"/>
  <c r="L164" i="9"/>
  <c r="N164" i="9"/>
  <c r="M165" i="9"/>
  <c r="L165" i="9"/>
  <c r="N165" i="9"/>
  <c r="M166" i="9"/>
  <c r="L166" i="9"/>
  <c r="N166" i="9"/>
  <c r="M167" i="9"/>
  <c r="L167" i="9"/>
  <c r="N167" i="9"/>
  <c r="M168" i="9"/>
  <c r="L168" i="9"/>
  <c r="N168" i="9"/>
  <c r="M169" i="9"/>
  <c r="L169" i="9"/>
  <c r="N169" i="9"/>
  <c r="M170" i="9"/>
  <c r="L170" i="9"/>
  <c r="N170" i="9"/>
  <c r="M171" i="9"/>
  <c r="L171" i="9"/>
  <c r="N171" i="9"/>
  <c r="M172" i="9"/>
  <c r="L172" i="9"/>
  <c r="N172" i="9"/>
  <c r="M173" i="9"/>
  <c r="L173" i="9"/>
  <c r="N173" i="9"/>
  <c r="M174" i="9"/>
  <c r="L174" i="9"/>
  <c r="N174" i="9"/>
  <c r="M175" i="9"/>
  <c r="L175" i="9"/>
  <c r="N175" i="9"/>
  <c r="M176" i="9"/>
  <c r="L176" i="9"/>
  <c r="N176" i="9"/>
  <c r="M177" i="9"/>
  <c r="L177" i="9"/>
  <c r="N177" i="9"/>
  <c r="M178" i="9"/>
  <c r="L178" i="9"/>
  <c r="N178" i="9"/>
  <c r="M179" i="9"/>
  <c r="L179" i="9"/>
  <c r="N179" i="9"/>
  <c r="M180" i="9"/>
  <c r="L180" i="9"/>
  <c r="N180" i="9"/>
  <c r="M181" i="9"/>
  <c r="L181" i="9"/>
  <c r="N181" i="9"/>
  <c r="M182" i="9"/>
  <c r="L182" i="9"/>
  <c r="N182" i="9"/>
  <c r="M183" i="9"/>
  <c r="L183" i="9"/>
  <c r="N183" i="9"/>
  <c r="M184" i="9"/>
  <c r="L184" i="9"/>
  <c r="N184" i="9"/>
  <c r="M185" i="9"/>
  <c r="L185" i="9"/>
  <c r="N185" i="9"/>
  <c r="M186" i="9"/>
  <c r="L186" i="9"/>
  <c r="N186" i="9"/>
  <c r="M187" i="9"/>
  <c r="L187" i="9"/>
  <c r="N187" i="9"/>
  <c r="M188" i="9"/>
  <c r="L188" i="9"/>
  <c r="N188" i="9"/>
  <c r="M189" i="9"/>
  <c r="L189" i="9"/>
  <c r="N189" i="9"/>
  <c r="M190" i="9"/>
  <c r="L190" i="9"/>
  <c r="N190" i="9"/>
  <c r="M191" i="9"/>
  <c r="L191" i="9"/>
  <c r="N191" i="9"/>
  <c r="M192" i="9"/>
  <c r="L192" i="9"/>
  <c r="N192" i="9"/>
  <c r="M193" i="9"/>
  <c r="L193" i="9"/>
  <c r="N193" i="9"/>
  <c r="M194" i="9"/>
  <c r="L194" i="9"/>
  <c r="N194" i="9"/>
  <c r="M195" i="9"/>
  <c r="L195" i="9"/>
  <c r="N195" i="9"/>
  <c r="M196" i="9"/>
  <c r="L196" i="9"/>
  <c r="N196" i="9"/>
  <c r="M197" i="9"/>
  <c r="L197" i="9"/>
  <c r="N197" i="9"/>
  <c r="M198" i="9"/>
  <c r="L198" i="9"/>
  <c r="N198" i="9"/>
  <c r="M199" i="9"/>
  <c r="L199" i="9"/>
  <c r="N199" i="9"/>
  <c r="M200" i="9"/>
  <c r="L200" i="9"/>
  <c r="N200" i="9"/>
  <c r="M201" i="9"/>
  <c r="L201" i="9"/>
  <c r="N201" i="9"/>
  <c r="M202" i="9"/>
  <c r="L202" i="9"/>
  <c r="N202" i="9"/>
  <c r="M203" i="9"/>
  <c r="L203" i="9"/>
  <c r="N203" i="9"/>
  <c r="M204" i="9"/>
  <c r="L204" i="9"/>
  <c r="N204" i="9"/>
  <c r="M205" i="9"/>
  <c r="L205" i="9"/>
  <c r="N205" i="9"/>
  <c r="M206" i="9"/>
  <c r="L206" i="9"/>
  <c r="N206" i="9"/>
  <c r="M207" i="9"/>
  <c r="L207" i="9"/>
  <c r="N207" i="9"/>
  <c r="M208" i="9"/>
  <c r="L208" i="9"/>
  <c r="N208" i="9"/>
  <c r="M209" i="9"/>
  <c r="L209" i="9"/>
  <c r="N209" i="9"/>
  <c r="M210" i="9"/>
  <c r="L210" i="9"/>
  <c r="N210" i="9"/>
  <c r="M211" i="9"/>
  <c r="L211" i="9"/>
  <c r="N211" i="9"/>
  <c r="M212" i="9"/>
  <c r="L212" i="9"/>
  <c r="N212" i="9"/>
  <c r="M213" i="9"/>
  <c r="L213" i="9"/>
  <c r="N213" i="9"/>
  <c r="M214" i="9"/>
  <c r="L214" i="9"/>
  <c r="N214" i="9"/>
  <c r="M215" i="9"/>
  <c r="L215" i="9"/>
  <c r="N215" i="9"/>
  <c r="M216" i="9"/>
  <c r="L216" i="9"/>
  <c r="N216" i="9"/>
  <c r="M217" i="9"/>
  <c r="L217" i="9"/>
  <c r="N217" i="9"/>
  <c r="M218" i="9"/>
  <c r="L218" i="9"/>
  <c r="N218" i="9"/>
  <c r="M219" i="9"/>
  <c r="L219" i="9"/>
  <c r="N219" i="9"/>
  <c r="M220" i="9"/>
  <c r="L220" i="9"/>
  <c r="N220" i="9"/>
  <c r="M221" i="9"/>
  <c r="L221" i="9"/>
  <c r="N221" i="9"/>
  <c r="M222" i="9"/>
  <c r="L222" i="9"/>
  <c r="N222" i="9"/>
  <c r="M223" i="9"/>
  <c r="L223" i="9"/>
  <c r="N223" i="9"/>
  <c r="M224" i="9"/>
  <c r="L224" i="9"/>
  <c r="N224" i="9"/>
  <c r="M225" i="9"/>
  <c r="L225" i="9"/>
  <c r="N225" i="9"/>
  <c r="M226" i="9"/>
  <c r="L226" i="9"/>
  <c r="N226" i="9"/>
  <c r="M227" i="9"/>
  <c r="L227" i="9"/>
  <c r="N227" i="9"/>
  <c r="M228" i="9"/>
  <c r="L228" i="9"/>
  <c r="N228" i="9"/>
  <c r="M229" i="9"/>
  <c r="L229" i="9"/>
  <c r="N229" i="9"/>
  <c r="M230" i="9"/>
  <c r="L230" i="9"/>
  <c r="N230" i="9"/>
  <c r="M231" i="9"/>
  <c r="L231" i="9"/>
  <c r="N231" i="9"/>
  <c r="M232" i="9"/>
  <c r="L232" i="9"/>
  <c r="N232" i="9"/>
  <c r="M233" i="9"/>
  <c r="L233" i="9"/>
  <c r="N233" i="9"/>
  <c r="M234" i="9"/>
  <c r="L234" i="9"/>
  <c r="N234" i="9"/>
  <c r="M235" i="9"/>
  <c r="L235" i="9"/>
  <c r="N235" i="9"/>
  <c r="M236" i="9"/>
  <c r="L236" i="9"/>
  <c r="N236" i="9"/>
  <c r="M237" i="9"/>
  <c r="L237" i="9"/>
  <c r="N237" i="9"/>
  <c r="M238" i="9"/>
  <c r="L238" i="9"/>
  <c r="N238" i="9"/>
  <c r="M239" i="9"/>
  <c r="L239" i="9"/>
  <c r="N239" i="9"/>
  <c r="M240" i="9"/>
  <c r="L240" i="9"/>
  <c r="N240" i="9"/>
  <c r="M241" i="9"/>
  <c r="L241" i="9"/>
  <c r="N241" i="9"/>
  <c r="M242" i="9"/>
  <c r="L242" i="9"/>
  <c r="N242" i="9"/>
  <c r="M243" i="9"/>
  <c r="L243" i="9"/>
  <c r="N243" i="9"/>
  <c r="M244" i="9"/>
  <c r="L244" i="9"/>
  <c r="N244" i="9"/>
  <c r="M245" i="9"/>
  <c r="L245" i="9"/>
  <c r="N245" i="9"/>
  <c r="M246" i="9"/>
  <c r="L246" i="9"/>
  <c r="N246" i="9"/>
  <c r="M247" i="9"/>
  <c r="L247" i="9"/>
  <c r="N247" i="9"/>
  <c r="S2" i="9" a="1"/>
  <c r="S2" i="9"/>
  <c r="G4" i="9"/>
  <c r="Q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N1" i="8" a="1"/>
  <c r="N1" i="8"/>
  <c r="F2" i="8"/>
  <c r="G4" i="8"/>
  <c r="L4" i="8"/>
  <c r="G5" i="8"/>
  <c r="L5" i="8"/>
  <c r="G6" i="8"/>
  <c r="L6" i="8"/>
  <c r="G7" i="8"/>
  <c r="L7" i="8"/>
  <c r="G8" i="8"/>
  <c r="L8" i="8"/>
  <c r="G9" i="8"/>
  <c r="L9" i="8"/>
  <c r="G10" i="8"/>
  <c r="L10" i="8"/>
  <c r="G11" i="8"/>
  <c r="L11" i="8"/>
  <c r="G12" i="8"/>
  <c r="L12" i="8"/>
  <c r="G13" i="8"/>
  <c r="L13" i="8"/>
  <c r="G14" i="8"/>
  <c r="L14" i="8"/>
  <c r="G15" i="8"/>
  <c r="L15" i="8"/>
  <c r="G16" i="8"/>
  <c r="L16" i="8"/>
  <c r="G17" i="8"/>
  <c r="L17" i="8"/>
  <c r="G18" i="8"/>
  <c r="L18" i="8"/>
  <c r="G19" i="8"/>
  <c r="L19" i="8"/>
  <c r="G20" i="8"/>
  <c r="L20" i="8"/>
  <c r="G21" i="8"/>
  <c r="L21" i="8"/>
  <c r="G22" i="8"/>
  <c r="L22" i="8"/>
  <c r="G23" i="8"/>
  <c r="L23" i="8"/>
  <c r="G24" i="8"/>
  <c r="L24" i="8"/>
  <c r="G25" i="8"/>
  <c r="L25" i="8"/>
  <c r="G26" i="8"/>
  <c r="L26" i="8"/>
  <c r="G27" i="8"/>
  <c r="L27" i="8"/>
  <c r="G28" i="8"/>
  <c r="L28" i="8"/>
  <c r="G29" i="8"/>
  <c r="L29" i="8"/>
  <c r="G30" i="8"/>
  <c r="L30" i="8"/>
  <c r="G31" i="8"/>
  <c r="L31" i="8"/>
  <c r="G32" i="8"/>
  <c r="L32" i="8"/>
  <c r="G33" i="8"/>
  <c r="L33" i="8"/>
  <c r="G34" i="8"/>
  <c r="L34" i="8"/>
  <c r="G35" i="8"/>
  <c r="L35" i="8"/>
  <c r="G36" i="8"/>
  <c r="L36" i="8"/>
  <c r="G37" i="8"/>
  <c r="L37" i="8"/>
  <c r="G38" i="8"/>
  <c r="L38" i="8"/>
  <c r="G39" i="8"/>
  <c r="L39" i="8"/>
  <c r="G40" i="8"/>
  <c r="L40" i="8"/>
  <c r="G41" i="8"/>
  <c r="L41" i="8"/>
  <c r="G42" i="8"/>
  <c r="L42" i="8"/>
  <c r="G43" i="8"/>
  <c r="L43" i="8"/>
  <c r="G44" i="8"/>
  <c r="L44" i="8"/>
  <c r="G45" i="8"/>
  <c r="L45" i="8"/>
  <c r="G46" i="8"/>
  <c r="L46" i="8"/>
  <c r="G47" i="8"/>
  <c r="L47" i="8"/>
  <c r="G48" i="8"/>
  <c r="L48" i="8"/>
  <c r="G49" i="8"/>
  <c r="L49" i="8"/>
  <c r="G50" i="8"/>
  <c r="L50" i="8"/>
  <c r="G51" i="8"/>
  <c r="L51" i="8"/>
  <c r="G52" i="8"/>
  <c r="L52" i="8"/>
  <c r="G53" i="8"/>
  <c r="L53" i="8"/>
  <c r="G54" i="8"/>
  <c r="L54" i="8"/>
  <c r="G55" i="8"/>
  <c r="L55" i="8"/>
  <c r="G56" i="8"/>
  <c r="L56" i="8"/>
  <c r="G57" i="8"/>
  <c r="L57" i="8"/>
  <c r="G58" i="8"/>
  <c r="L58" i="8"/>
  <c r="G59" i="8"/>
  <c r="L59" i="8"/>
  <c r="G60" i="8"/>
  <c r="L60" i="8"/>
  <c r="G61" i="8"/>
  <c r="L61" i="8"/>
  <c r="G62" i="8"/>
  <c r="L62" i="8"/>
  <c r="G63" i="8"/>
  <c r="L63" i="8"/>
  <c r="G64" i="8"/>
  <c r="L64" i="8"/>
  <c r="G65" i="8"/>
  <c r="L65" i="8"/>
  <c r="G66" i="8"/>
  <c r="L66" i="8"/>
  <c r="G67" i="8"/>
  <c r="L67" i="8"/>
  <c r="G68" i="8"/>
  <c r="L68" i="8"/>
  <c r="G69" i="8"/>
  <c r="L69" i="8"/>
  <c r="G70" i="8"/>
  <c r="L70" i="8"/>
  <c r="G71" i="8"/>
  <c r="L71" i="8"/>
  <c r="G72" i="8"/>
  <c r="L72" i="8"/>
  <c r="G73" i="8"/>
  <c r="L73" i="8"/>
  <c r="G74" i="8"/>
  <c r="L74" i="8"/>
  <c r="G75" i="8"/>
  <c r="L75" i="8"/>
  <c r="G76" i="8"/>
  <c r="L76" i="8"/>
  <c r="G77" i="8"/>
  <c r="L77" i="8"/>
  <c r="G78" i="8"/>
  <c r="L78" i="8"/>
  <c r="G79" i="8"/>
  <c r="L79" i="8"/>
  <c r="G80" i="8"/>
  <c r="L80" i="8"/>
  <c r="G81" i="8"/>
  <c r="L81" i="8"/>
  <c r="G82" i="8"/>
  <c r="L82" i="8"/>
  <c r="G83" i="8"/>
  <c r="L83" i="8"/>
  <c r="G84" i="8"/>
  <c r="L84" i="8"/>
  <c r="G85" i="8"/>
  <c r="L85" i="8"/>
  <c r="G86" i="8"/>
  <c r="L86" i="8"/>
  <c r="G87" i="8"/>
  <c r="L87" i="8"/>
  <c r="G88" i="8"/>
  <c r="L88" i="8"/>
  <c r="G89" i="8"/>
  <c r="L89" i="8"/>
  <c r="G90" i="8"/>
  <c r="L90" i="8"/>
  <c r="G91" i="8"/>
  <c r="L91" i="8"/>
  <c r="G92" i="8"/>
  <c r="L92" i="8"/>
  <c r="G93" i="8"/>
  <c r="L93" i="8"/>
  <c r="G94" i="8"/>
  <c r="L94" i="8"/>
  <c r="G95" i="8"/>
  <c r="L95" i="8"/>
  <c r="G96" i="8"/>
  <c r="L96" i="8"/>
  <c r="G97" i="8"/>
  <c r="L97" i="8"/>
  <c r="G98" i="8"/>
  <c r="L98" i="8"/>
  <c r="G99" i="8"/>
  <c r="L99" i="8"/>
  <c r="G100" i="8"/>
  <c r="L100" i="8"/>
  <c r="G101" i="8"/>
  <c r="L101" i="8"/>
  <c r="G102" i="8"/>
  <c r="L102" i="8"/>
  <c r="G103" i="8"/>
  <c r="L103" i="8"/>
  <c r="G104" i="8"/>
  <c r="L104" i="8"/>
  <c r="G105" i="8"/>
  <c r="L105" i="8"/>
  <c r="G106" i="8"/>
  <c r="L106" i="8"/>
  <c r="G107" i="8"/>
  <c r="L107" i="8"/>
  <c r="G108" i="8"/>
  <c r="L108" i="8"/>
  <c r="G109" i="8"/>
  <c r="L109" i="8"/>
  <c r="G110" i="8"/>
  <c r="L110" i="8"/>
  <c r="G111" i="8"/>
  <c r="L111" i="8"/>
  <c r="G112" i="8"/>
  <c r="L112" i="8"/>
  <c r="G113" i="8"/>
  <c r="L113" i="8"/>
  <c r="G114" i="8"/>
  <c r="L114" i="8"/>
  <c r="G115" i="8"/>
  <c r="L115" i="8"/>
  <c r="G116" i="8"/>
  <c r="L116" i="8"/>
  <c r="G117" i="8"/>
  <c r="L117" i="8"/>
  <c r="G118" i="8"/>
  <c r="L118" i="8"/>
  <c r="G119" i="8"/>
  <c r="L119" i="8"/>
  <c r="G120" i="8"/>
  <c r="L120" i="8"/>
  <c r="G121" i="8"/>
  <c r="L121" i="8"/>
  <c r="G122" i="8"/>
  <c r="L122" i="8"/>
  <c r="G123" i="8"/>
  <c r="L123" i="8"/>
  <c r="G124" i="8"/>
  <c r="L124" i="8"/>
  <c r="G125" i="8"/>
  <c r="L125" i="8"/>
  <c r="G126" i="8"/>
  <c r="L126" i="8"/>
  <c r="G127" i="8"/>
  <c r="L127" i="8"/>
  <c r="G128" i="8"/>
  <c r="L128" i="8"/>
  <c r="G129" i="8"/>
  <c r="L129" i="8"/>
  <c r="G130" i="8"/>
  <c r="L130" i="8"/>
  <c r="G131" i="8"/>
  <c r="L131" i="8"/>
  <c r="G132" i="8"/>
  <c r="L132" i="8"/>
  <c r="G133" i="8"/>
  <c r="L133" i="8"/>
  <c r="G134" i="8"/>
  <c r="L134" i="8"/>
  <c r="G135" i="8"/>
  <c r="L135" i="8"/>
  <c r="G136" i="8"/>
  <c r="L136" i="8"/>
  <c r="G137" i="8"/>
  <c r="L137" i="8"/>
  <c r="G138" i="8"/>
  <c r="L138" i="8"/>
  <c r="G139" i="8"/>
  <c r="L139" i="8"/>
  <c r="G140" i="8"/>
  <c r="L140" i="8"/>
  <c r="G141" i="8"/>
  <c r="L141" i="8"/>
  <c r="G142" i="8"/>
  <c r="L142" i="8"/>
  <c r="G143" i="8"/>
  <c r="L143" i="8"/>
  <c r="G144" i="8"/>
  <c r="L144" i="8"/>
  <c r="G145" i="8"/>
  <c r="L145" i="8"/>
  <c r="G146" i="8"/>
  <c r="L146" i="8"/>
  <c r="G147" i="8"/>
  <c r="L147" i="8"/>
  <c r="G148" i="8"/>
  <c r="L148" i="8"/>
  <c r="G149" i="8"/>
  <c r="L149" i="8"/>
  <c r="G150" i="8"/>
  <c r="L150" i="8"/>
  <c r="G151" i="8"/>
  <c r="L151" i="8"/>
  <c r="G152" i="8"/>
  <c r="L152" i="8"/>
  <c r="G153" i="8"/>
  <c r="L153" i="8"/>
  <c r="G154" i="8"/>
  <c r="L154" i="8"/>
  <c r="G155" i="8"/>
  <c r="L155" i="8"/>
  <c r="G156" i="8"/>
  <c r="L156" i="8"/>
  <c r="G157" i="8"/>
  <c r="L157" i="8"/>
  <c r="G158" i="8"/>
  <c r="L158" i="8"/>
  <c r="G159" i="8"/>
  <c r="L159" i="8"/>
  <c r="G160" i="8"/>
  <c r="L160" i="8"/>
  <c r="G161" i="8"/>
  <c r="L161" i="8"/>
  <c r="G162" i="8"/>
  <c r="L162" i="8"/>
  <c r="G163" i="8"/>
  <c r="L163" i="8"/>
  <c r="G164" i="8"/>
  <c r="L164" i="8"/>
  <c r="G165" i="8"/>
  <c r="L165" i="8"/>
  <c r="G166" i="8"/>
  <c r="L166" i="8"/>
  <c r="G167" i="8"/>
  <c r="L167" i="8"/>
  <c r="G168" i="8"/>
  <c r="L168" i="8"/>
  <c r="G169" i="8"/>
  <c r="L169" i="8"/>
  <c r="G170" i="8"/>
  <c r="L170" i="8"/>
  <c r="G171" i="8"/>
  <c r="L171" i="8"/>
  <c r="G172" i="8"/>
  <c r="L172" i="8"/>
  <c r="G173" i="8"/>
  <c r="L173" i="8"/>
  <c r="G174" i="8"/>
  <c r="L174" i="8"/>
  <c r="G175" i="8"/>
  <c r="L175" i="8"/>
  <c r="G176" i="8"/>
  <c r="L176" i="8"/>
  <c r="G177" i="8"/>
  <c r="L177" i="8"/>
  <c r="G178" i="8"/>
  <c r="L178" i="8"/>
  <c r="G179" i="8"/>
  <c r="L179" i="8"/>
  <c r="G180" i="8"/>
  <c r="L180" i="8"/>
  <c r="G181" i="8"/>
  <c r="L181" i="8"/>
  <c r="G182" i="8"/>
  <c r="L182" i="8"/>
  <c r="G183" i="8"/>
  <c r="L183" i="8"/>
  <c r="G184" i="8"/>
  <c r="L184" i="8"/>
  <c r="G185" i="8"/>
  <c r="L185" i="8"/>
  <c r="G186" i="8"/>
  <c r="L186" i="8"/>
  <c r="G187" i="8"/>
  <c r="L187" i="8"/>
  <c r="G188" i="8"/>
  <c r="L188" i="8"/>
  <c r="G189" i="8"/>
  <c r="L189" i="8"/>
  <c r="G190" i="8"/>
  <c r="L190" i="8"/>
  <c r="G191" i="8"/>
  <c r="L191" i="8"/>
  <c r="G192" i="8"/>
  <c r="L192" i="8"/>
  <c r="G193" i="8"/>
  <c r="L193" i="8"/>
  <c r="G194" i="8"/>
  <c r="L194" i="8"/>
  <c r="G195" i="8"/>
  <c r="L195" i="8"/>
  <c r="G196" i="8"/>
  <c r="L196" i="8"/>
  <c r="G197" i="8"/>
  <c r="L197" i="8"/>
  <c r="G198" i="8"/>
  <c r="L198" i="8"/>
  <c r="G199" i="8"/>
  <c r="L199" i="8"/>
  <c r="G200" i="8"/>
  <c r="L200" i="8"/>
  <c r="G201" i="8"/>
  <c r="L201" i="8"/>
  <c r="G202" i="8"/>
  <c r="L202" i="8"/>
  <c r="G203" i="8"/>
  <c r="L203" i="8"/>
  <c r="G204" i="8"/>
  <c r="L204" i="8"/>
  <c r="G205" i="8"/>
  <c r="L205" i="8"/>
  <c r="G206" i="8"/>
  <c r="L206" i="8"/>
  <c r="G207" i="8"/>
  <c r="L207" i="8"/>
  <c r="G208" i="8"/>
  <c r="L208" i="8"/>
  <c r="G209" i="8"/>
  <c r="L209" i="8"/>
  <c r="G210" i="8"/>
  <c r="L210" i="8"/>
  <c r="G211" i="8"/>
  <c r="L211" i="8"/>
  <c r="G212" i="8"/>
  <c r="L212" i="8"/>
  <c r="G213" i="8"/>
  <c r="L213" i="8"/>
  <c r="G214" i="8"/>
  <c r="L214" i="8"/>
  <c r="G215" i="8"/>
  <c r="L215" i="8"/>
  <c r="G216" i="8"/>
  <c r="L216" i="8"/>
  <c r="G217" i="8"/>
  <c r="L217" i="8"/>
  <c r="G218" i="8"/>
  <c r="L218" i="8"/>
  <c r="G219" i="8"/>
  <c r="L219" i="8"/>
  <c r="G220" i="8"/>
  <c r="L220" i="8"/>
  <c r="G221" i="8"/>
  <c r="L221" i="8"/>
  <c r="G222" i="8"/>
  <c r="L222" i="8"/>
  <c r="G223" i="8"/>
  <c r="L223" i="8"/>
  <c r="G224" i="8"/>
  <c r="L224" i="8"/>
  <c r="G225" i="8"/>
  <c r="L225" i="8"/>
  <c r="G226" i="8"/>
  <c r="L226" i="8"/>
  <c r="G227" i="8"/>
  <c r="L227" i="8"/>
  <c r="G228" i="8"/>
  <c r="L228" i="8"/>
  <c r="G229" i="8"/>
  <c r="L229" i="8"/>
  <c r="G230" i="8"/>
  <c r="L230" i="8"/>
  <c r="G231" i="8"/>
  <c r="L231" i="8"/>
  <c r="G232" i="8"/>
  <c r="L232" i="8"/>
  <c r="G233" i="8"/>
  <c r="L233" i="8"/>
  <c r="G234" i="8"/>
  <c r="L234" i="8"/>
  <c r="G235" i="8"/>
  <c r="L235" i="8"/>
  <c r="G236" i="8"/>
  <c r="L236" i="8"/>
  <c r="G237" i="8"/>
  <c r="L237" i="8"/>
  <c r="G238" i="8"/>
  <c r="L238" i="8"/>
  <c r="G239" i="8"/>
  <c r="L239" i="8"/>
  <c r="G240" i="8"/>
  <c r="L240" i="8"/>
  <c r="G241" i="8"/>
  <c r="L241" i="8"/>
  <c r="G242" i="8"/>
  <c r="L242" i="8"/>
  <c r="G243" i="8"/>
  <c r="L243" i="8"/>
  <c r="G244" i="8"/>
  <c r="L244" i="8"/>
  <c r="G245" i="8"/>
  <c r="L245" i="8"/>
  <c r="G246" i="8"/>
  <c r="L246" i="8"/>
  <c r="G247" i="8"/>
  <c r="L247" i="8"/>
  <c r="F4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6" i="2"/>
  <c r="G16" i="2"/>
  <c r="F17" i="2"/>
  <c r="G17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F102" i="2"/>
  <c r="G102" i="2"/>
  <c r="F103" i="2"/>
  <c r="G103" i="2"/>
  <c r="F104" i="2"/>
  <c r="G104" i="2"/>
  <c r="F105" i="2"/>
  <c r="G105" i="2"/>
  <c r="F106" i="2"/>
  <c r="G106" i="2"/>
  <c r="F107" i="2"/>
  <c r="G107" i="2"/>
  <c r="F108" i="2"/>
  <c r="G108" i="2"/>
  <c r="F109" i="2"/>
  <c r="G109" i="2"/>
  <c r="F110" i="2"/>
  <c r="G110" i="2"/>
  <c r="F111" i="2"/>
  <c r="G111" i="2"/>
  <c r="F112" i="2"/>
  <c r="G112" i="2"/>
  <c r="F113" i="2"/>
  <c r="G113" i="2"/>
  <c r="F114" i="2"/>
  <c r="G114" i="2"/>
  <c r="F115" i="2"/>
  <c r="G115" i="2"/>
  <c r="F116" i="2"/>
  <c r="G116" i="2"/>
  <c r="F117" i="2"/>
  <c r="G117" i="2"/>
  <c r="F118" i="2"/>
  <c r="G118" i="2"/>
  <c r="F119" i="2"/>
  <c r="G119" i="2"/>
  <c r="F120" i="2"/>
  <c r="G120" i="2"/>
  <c r="F121" i="2"/>
  <c r="G121" i="2"/>
  <c r="F122" i="2"/>
  <c r="G122" i="2"/>
  <c r="F123" i="2"/>
  <c r="G123" i="2"/>
  <c r="F124" i="2"/>
  <c r="G124" i="2"/>
  <c r="F125" i="2"/>
  <c r="G125" i="2"/>
  <c r="F126" i="2"/>
  <c r="G126" i="2"/>
  <c r="F127" i="2"/>
  <c r="G127" i="2"/>
  <c r="F128" i="2"/>
  <c r="G128" i="2"/>
  <c r="F129" i="2"/>
  <c r="G129" i="2"/>
  <c r="F130" i="2"/>
  <c r="G130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F141" i="2"/>
  <c r="G141" i="2"/>
  <c r="F142" i="2"/>
  <c r="G142" i="2"/>
  <c r="F143" i="2"/>
  <c r="G143" i="2"/>
  <c r="F144" i="2"/>
  <c r="G144" i="2"/>
  <c r="F145" i="2"/>
  <c r="G145" i="2"/>
  <c r="F146" i="2"/>
  <c r="G146" i="2"/>
  <c r="F147" i="2"/>
  <c r="G147" i="2"/>
  <c r="F148" i="2"/>
  <c r="G148" i="2"/>
  <c r="F149" i="2"/>
  <c r="G149" i="2"/>
  <c r="F150" i="2"/>
  <c r="G150" i="2"/>
  <c r="F151" i="2"/>
  <c r="G151" i="2"/>
  <c r="F152" i="2"/>
  <c r="G152" i="2"/>
  <c r="F153" i="2"/>
  <c r="G153" i="2"/>
  <c r="F154" i="2"/>
  <c r="G154" i="2"/>
  <c r="F155" i="2"/>
  <c r="G155" i="2"/>
  <c r="F156" i="2"/>
  <c r="G156" i="2"/>
  <c r="F157" i="2"/>
  <c r="G157" i="2"/>
  <c r="F158" i="2"/>
  <c r="G158" i="2"/>
  <c r="F159" i="2"/>
  <c r="G159" i="2"/>
  <c r="F160" i="2"/>
  <c r="G160" i="2"/>
  <c r="F161" i="2"/>
  <c r="G161" i="2"/>
  <c r="F162" i="2"/>
  <c r="G162" i="2"/>
  <c r="F163" i="2"/>
  <c r="G163" i="2"/>
  <c r="F164" i="2"/>
  <c r="G164" i="2"/>
  <c r="F165" i="2"/>
  <c r="G165" i="2"/>
  <c r="F166" i="2"/>
  <c r="G166" i="2"/>
  <c r="F167" i="2"/>
  <c r="G167" i="2"/>
  <c r="F168" i="2"/>
  <c r="G168" i="2"/>
  <c r="F169" i="2"/>
  <c r="G169" i="2"/>
  <c r="F170" i="2"/>
  <c r="G170" i="2"/>
  <c r="F171" i="2"/>
  <c r="G171" i="2"/>
  <c r="F172" i="2"/>
  <c r="G172" i="2"/>
  <c r="F173" i="2"/>
  <c r="G173" i="2"/>
  <c r="F174" i="2"/>
  <c r="G174" i="2"/>
  <c r="F175" i="2"/>
  <c r="G175" i="2"/>
  <c r="F176" i="2"/>
  <c r="G176" i="2"/>
  <c r="F177" i="2"/>
  <c r="G177" i="2"/>
  <c r="F178" i="2"/>
  <c r="G178" i="2"/>
  <c r="F179" i="2"/>
  <c r="G179" i="2"/>
  <c r="F180" i="2"/>
  <c r="G180" i="2"/>
  <c r="F181" i="2"/>
  <c r="G181" i="2"/>
  <c r="F182" i="2"/>
  <c r="G182" i="2"/>
  <c r="F183" i="2"/>
  <c r="G183" i="2"/>
  <c r="F184" i="2"/>
  <c r="G184" i="2"/>
  <c r="F185" i="2"/>
  <c r="G185" i="2"/>
  <c r="F186" i="2"/>
  <c r="G186" i="2"/>
  <c r="F187" i="2"/>
  <c r="G187" i="2"/>
  <c r="F188" i="2"/>
  <c r="G188" i="2"/>
  <c r="F189" i="2"/>
  <c r="G189" i="2"/>
  <c r="F190" i="2"/>
  <c r="G190" i="2"/>
  <c r="F191" i="2"/>
  <c r="G191" i="2"/>
  <c r="F192" i="2"/>
  <c r="G192" i="2"/>
  <c r="F193" i="2"/>
  <c r="G193" i="2"/>
  <c r="F194" i="2"/>
  <c r="G194" i="2"/>
  <c r="F195" i="2"/>
  <c r="G195" i="2"/>
  <c r="F196" i="2"/>
  <c r="G196" i="2"/>
  <c r="F197" i="2"/>
  <c r="G197" i="2"/>
  <c r="F198" i="2"/>
  <c r="G198" i="2"/>
  <c r="F199" i="2"/>
  <c r="G199" i="2"/>
  <c r="F200" i="2"/>
  <c r="G200" i="2"/>
  <c r="F201" i="2"/>
  <c r="G201" i="2"/>
  <c r="F202" i="2"/>
  <c r="G202" i="2"/>
  <c r="F203" i="2"/>
  <c r="G203" i="2"/>
  <c r="F204" i="2"/>
  <c r="G204" i="2"/>
  <c r="F205" i="2"/>
  <c r="G205" i="2"/>
  <c r="F206" i="2"/>
  <c r="G206" i="2"/>
  <c r="F207" i="2"/>
  <c r="G207" i="2"/>
  <c r="F208" i="2"/>
  <c r="G208" i="2"/>
  <c r="F209" i="2"/>
  <c r="G209" i="2"/>
  <c r="F210" i="2"/>
  <c r="G210" i="2"/>
  <c r="F211" i="2"/>
  <c r="G211" i="2"/>
  <c r="F212" i="2"/>
  <c r="G212" i="2"/>
  <c r="F213" i="2"/>
  <c r="G213" i="2"/>
  <c r="F214" i="2"/>
  <c r="G214" i="2"/>
  <c r="F215" i="2"/>
  <c r="G215" i="2"/>
  <c r="F216" i="2"/>
  <c r="G216" i="2"/>
  <c r="F217" i="2"/>
  <c r="G217" i="2"/>
  <c r="F218" i="2"/>
  <c r="G218" i="2"/>
  <c r="F219" i="2"/>
  <c r="G219" i="2"/>
  <c r="F220" i="2"/>
  <c r="G220" i="2"/>
  <c r="F221" i="2"/>
  <c r="G221" i="2"/>
  <c r="F222" i="2"/>
  <c r="G222" i="2"/>
  <c r="F223" i="2"/>
  <c r="G223" i="2"/>
  <c r="F224" i="2"/>
  <c r="G224" i="2"/>
  <c r="F225" i="2"/>
  <c r="G225" i="2"/>
  <c r="F226" i="2"/>
  <c r="G226" i="2"/>
  <c r="F227" i="2"/>
  <c r="G227" i="2"/>
  <c r="F228" i="2"/>
  <c r="G228" i="2"/>
  <c r="F229" i="2"/>
  <c r="G229" i="2"/>
  <c r="F230" i="2"/>
  <c r="G230" i="2"/>
  <c r="F231" i="2"/>
  <c r="G231" i="2"/>
  <c r="F232" i="2"/>
  <c r="G232" i="2"/>
  <c r="F233" i="2"/>
  <c r="G233" i="2"/>
  <c r="F234" i="2"/>
  <c r="G234" i="2"/>
  <c r="F235" i="2"/>
  <c r="G235" i="2"/>
  <c r="F236" i="2"/>
  <c r="G236" i="2"/>
  <c r="F237" i="2"/>
  <c r="G237" i="2"/>
  <c r="F238" i="2"/>
  <c r="G238" i="2"/>
  <c r="F239" i="2"/>
  <c r="G239" i="2"/>
  <c r="F240" i="2"/>
  <c r="G240" i="2"/>
  <c r="F241" i="2"/>
  <c r="G241" i="2"/>
  <c r="F242" i="2"/>
  <c r="G242" i="2"/>
  <c r="F243" i="2"/>
  <c r="G243" i="2"/>
  <c r="F244" i="2"/>
  <c r="G244" i="2"/>
  <c r="F245" i="2"/>
  <c r="G245" i="2"/>
  <c r="F246" i="2"/>
  <c r="G246" i="2"/>
  <c r="F247" i="2"/>
  <c r="G247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W4" i="2"/>
  <c r="V4" i="2"/>
  <c r="U4" i="2"/>
  <c r="AE4" i="2"/>
  <c r="W5" i="2"/>
  <c r="V5" i="2"/>
  <c r="U5" i="2"/>
  <c r="AE5" i="2"/>
  <c r="W6" i="2"/>
  <c r="V6" i="2"/>
  <c r="U6" i="2"/>
  <c r="AE6" i="2"/>
  <c r="W7" i="2"/>
  <c r="V7" i="2"/>
  <c r="U7" i="2"/>
  <c r="AE7" i="2"/>
  <c r="W8" i="2"/>
  <c r="V8" i="2"/>
  <c r="U8" i="2"/>
  <c r="AE8" i="2"/>
  <c r="W9" i="2"/>
  <c r="V9" i="2"/>
  <c r="U9" i="2"/>
  <c r="AE9" i="2"/>
  <c r="W10" i="2"/>
  <c r="V10" i="2"/>
  <c r="U10" i="2"/>
  <c r="AE10" i="2"/>
  <c r="W11" i="2"/>
  <c r="V11" i="2"/>
  <c r="U11" i="2"/>
  <c r="AE11" i="2"/>
  <c r="W12" i="2"/>
  <c r="V12" i="2"/>
  <c r="U12" i="2"/>
  <c r="AE12" i="2"/>
  <c r="W13" i="2"/>
  <c r="V13" i="2"/>
  <c r="U13" i="2"/>
  <c r="AE13" i="2"/>
  <c r="W14" i="2"/>
  <c r="V14" i="2"/>
  <c r="U14" i="2"/>
  <c r="AE14" i="2"/>
  <c r="W15" i="2"/>
  <c r="V15" i="2"/>
  <c r="U15" i="2"/>
  <c r="AE15" i="2"/>
  <c r="W16" i="2"/>
  <c r="V16" i="2"/>
  <c r="U16" i="2"/>
  <c r="AE16" i="2"/>
  <c r="W17" i="2"/>
  <c r="V17" i="2"/>
  <c r="U17" i="2"/>
  <c r="AE17" i="2"/>
  <c r="W18" i="2"/>
  <c r="V18" i="2"/>
  <c r="U18" i="2"/>
  <c r="AE18" i="2"/>
  <c r="W19" i="2"/>
  <c r="V19" i="2"/>
  <c r="U19" i="2"/>
  <c r="AE19" i="2"/>
  <c r="W20" i="2"/>
  <c r="V20" i="2"/>
  <c r="U20" i="2"/>
  <c r="AE20" i="2"/>
  <c r="W21" i="2"/>
  <c r="V21" i="2"/>
  <c r="U21" i="2"/>
  <c r="AE21" i="2"/>
  <c r="W22" i="2"/>
  <c r="V22" i="2"/>
  <c r="U22" i="2"/>
  <c r="AE22" i="2"/>
  <c r="W23" i="2"/>
  <c r="V23" i="2"/>
  <c r="U23" i="2"/>
  <c r="AE23" i="2"/>
  <c r="W24" i="2"/>
  <c r="V24" i="2"/>
  <c r="U24" i="2"/>
  <c r="AE24" i="2"/>
  <c r="W25" i="2"/>
  <c r="V25" i="2"/>
  <c r="U25" i="2"/>
  <c r="AE25" i="2"/>
  <c r="W26" i="2"/>
  <c r="V26" i="2"/>
  <c r="U26" i="2"/>
  <c r="AE26" i="2"/>
  <c r="W27" i="2"/>
  <c r="V27" i="2"/>
  <c r="U27" i="2"/>
  <c r="AE27" i="2"/>
  <c r="W28" i="2"/>
  <c r="V28" i="2"/>
  <c r="U28" i="2"/>
  <c r="AE28" i="2"/>
  <c r="W29" i="2"/>
  <c r="V29" i="2"/>
  <c r="U29" i="2"/>
  <c r="AE29" i="2"/>
  <c r="W30" i="2"/>
  <c r="V30" i="2"/>
  <c r="U30" i="2"/>
  <c r="AE30" i="2"/>
  <c r="W31" i="2"/>
  <c r="V31" i="2"/>
  <c r="U31" i="2"/>
  <c r="AE31" i="2"/>
  <c r="W32" i="2"/>
  <c r="V32" i="2"/>
  <c r="U32" i="2"/>
  <c r="AE32" i="2"/>
  <c r="W33" i="2"/>
  <c r="V33" i="2"/>
  <c r="U33" i="2"/>
  <c r="AE33" i="2"/>
  <c r="W34" i="2"/>
  <c r="V34" i="2"/>
  <c r="U34" i="2"/>
  <c r="AE34" i="2"/>
  <c r="W35" i="2"/>
  <c r="V35" i="2"/>
  <c r="U35" i="2"/>
  <c r="AE35" i="2"/>
  <c r="W36" i="2"/>
  <c r="V36" i="2"/>
  <c r="U36" i="2"/>
  <c r="AE36" i="2"/>
  <c r="W37" i="2"/>
  <c r="V37" i="2"/>
  <c r="U37" i="2"/>
  <c r="AE37" i="2"/>
  <c r="W38" i="2"/>
  <c r="V38" i="2"/>
  <c r="U38" i="2"/>
  <c r="AE38" i="2"/>
  <c r="W39" i="2"/>
  <c r="V39" i="2"/>
  <c r="U39" i="2"/>
  <c r="AE39" i="2"/>
  <c r="W40" i="2"/>
  <c r="V40" i="2"/>
  <c r="U40" i="2"/>
  <c r="AE40" i="2"/>
  <c r="W41" i="2"/>
  <c r="V41" i="2"/>
  <c r="U41" i="2"/>
  <c r="AE41" i="2"/>
  <c r="W42" i="2"/>
  <c r="V42" i="2"/>
  <c r="U42" i="2"/>
  <c r="AE42" i="2"/>
  <c r="W43" i="2"/>
  <c r="V43" i="2"/>
  <c r="U43" i="2"/>
  <c r="AE43" i="2"/>
  <c r="W44" i="2"/>
  <c r="V44" i="2"/>
  <c r="U44" i="2"/>
  <c r="AE44" i="2"/>
  <c r="W45" i="2"/>
  <c r="V45" i="2"/>
  <c r="U45" i="2"/>
  <c r="AE45" i="2"/>
  <c r="W46" i="2"/>
  <c r="V46" i="2"/>
  <c r="U46" i="2"/>
  <c r="AE46" i="2"/>
  <c r="W47" i="2"/>
  <c r="V47" i="2"/>
  <c r="U47" i="2"/>
  <c r="AE47" i="2"/>
  <c r="W48" i="2"/>
  <c r="V48" i="2"/>
  <c r="U48" i="2"/>
  <c r="AE48" i="2"/>
  <c r="W49" i="2"/>
  <c r="V49" i="2"/>
  <c r="U49" i="2"/>
  <c r="AE49" i="2"/>
  <c r="W50" i="2"/>
  <c r="V50" i="2"/>
  <c r="U50" i="2"/>
  <c r="AE50" i="2"/>
  <c r="W51" i="2"/>
  <c r="V51" i="2"/>
  <c r="U51" i="2"/>
  <c r="AE51" i="2"/>
  <c r="W52" i="2"/>
  <c r="V52" i="2"/>
  <c r="U52" i="2"/>
  <c r="AE52" i="2"/>
  <c r="W53" i="2"/>
  <c r="V53" i="2"/>
  <c r="U53" i="2"/>
  <c r="AE53" i="2"/>
  <c r="W54" i="2"/>
  <c r="V54" i="2"/>
  <c r="U54" i="2"/>
  <c r="AE54" i="2"/>
  <c r="W55" i="2"/>
  <c r="V55" i="2"/>
  <c r="U55" i="2"/>
  <c r="AE55" i="2"/>
  <c r="W56" i="2"/>
  <c r="V56" i="2"/>
  <c r="U56" i="2"/>
  <c r="AE56" i="2"/>
  <c r="W57" i="2"/>
  <c r="V57" i="2"/>
  <c r="U57" i="2"/>
  <c r="AE57" i="2"/>
  <c r="W58" i="2"/>
  <c r="V58" i="2"/>
  <c r="U58" i="2"/>
  <c r="AE58" i="2"/>
  <c r="W59" i="2"/>
  <c r="V59" i="2"/>
  <c r="U59" i="2"/>
  <c r="AE59" i="2"/>
  <c r="W60" i="2"/>
  <c r="V60" i="2"/>
  <c r="U60" i="2"/>
  <c r="AE60" i="2"/>
  <c r="W61" i="2"/>
  <c r="V61" i="2"/>
  <c r="U61" i="2"/>
  <c r="AE61" i="2"/>
  <c r="W62" i="2"/>
  <c r="V62" i="2"/>
  <c r="U62" i="2"/>
  <c r="AE62" i="2"/>
  <c r="W63" i="2"/>
  <c r="V63" i="2"/>
  <c r="U63" i="2"/>
  <c r="AE63" i="2"/>
  <c r="W64" i="2"/>
  <c r="V64" i="2"/>
  <c r="U64" i="2"/>
  <c r="AE64" i="2"/>
  <c r="W65" i="2"/>
  <c r="V65" i="2"/>
  <c r="U65" i="2"/>
  <c r="AE65" i="2"/>
  <c r="W66" i="2"/>
  <c r="V66" i="2"/>
  <c r="U66" i="2"/>
  <c r="AE66" i="2"/>
  <c r="W67" i="2"/>
  <c r="V67" i="2"/>
  <c r="U67" i="2"/>
  <c r="AE67" i="2"/>
  <c r="W68" i="2"/>
  <c r="V68" i="2"/>
  <c r="U68" i="2"/>
  <c r="AE68" i="2"/>
  <c r="W69" i="2"/>
  <c r="V69" i="2"/>
  <c r="U69" i="2"/>
  <c r="AE69" i="2"/>
  <c r="W70" i="2"/>
  <c r="V70" i="2"/>
  <c r="U70" i="2"/>
  <c r="AE70" i="2"/>
  <c r="W71" i="2"/>
  <c r="V71" i="2"/>
  <c r="U71" i="2"/>
  <c r="AE71" i="2"/>
  <c r="W72" i="2"/>
  <c r="V72" i="2"/>
  <c r="U72" i="2"/>
  <c r="AE72" i="2"/>
  <c r="W73" i="2"/>
  <c r="V73" i="2"/>
  <c r="U73" i="2"/>
  <c r="AE73" i="2"/>
  <c r="W74" i="2"/>
  <c r="V74" i="2"/>
  <c r="U74" i="2"/>
  <c r="AE74" i="2"/>
  <c r="W75" i="2"/>
  <c r="V75" i="2"/>
  <c r="U75" i="2"/>
  <c r="AE75" i="2"/>
  <c r="W76" i="2"/>
  <c r="V76" i="2"/>
  <c r="U76" i="2"/>
  <c r="AE76" i="2"/>
  <c r="W77" i="2"/>
  <c r="V77" i="2"/>
  <c r="U77" i="2"/>
  <c r="AE77" i="2"/>
  <c r="W78" i="2"/>
  <c r="V78" i="2"/>
  <c r="U78" i="2"/>
  <c r="AE78" i="2"/>
  <c r="W79" i="2"/>
  <c r="V79" i="2"/>
  <c r="U79" i="2"/>
  <c r="AE79" i="2"/>
  <c r="W80" i="2"/>
  <c r="V80" i="2"/>
  <c r="U80" i="2"/>
  <c r="AE80" i="2"/>
  <c r="W81" i="2"/>
  <c r="V81" i="2"/>
  <c r="U81" i="2"/>
  <c r="AE81" i="2"/>
  <c r="W82" i="2"/>
  <c r="V82" i="2"/>
  <c r="U82" i="2"/>
  <c r="AE82" i="2"/>
  <c r="W83" i="2"/>
  <c r="V83" i="2"/>
  <c r="U83" i="2"/>
  <c r="AE83" i="2"/>
  <c r="W84" i="2"/>
  <c r="V84" i="2"/>
  <c r="U84" i="2"/>
  <c r="AE84" i="2"/>
  <c r="W85" i="2"/>
  <c r="V85" i="2"/>
  <c r="U85" i="2"/>
  <c r="AE85" i="2"/>
  <c r="W86" i="2"/>
  <c r="V86" i="2"/>
  <c r="U86" i="2"/>
  <c r="AE86" i="2"/>
  <c r="W87" i="2"/>
  <c r="V87" i="2"/>
  <c r="U87" i="2"/>
  <c r="AE87" i="2"/>
  <c r="W88" i="2"/>
  <c r="V88" i="2"/>
  <c r="U88" i="2"/>
  <c r="AE88" i="2"/>
  <c r="W89" i="2"/>
  <c r="V89" i="2"/>
  <c r="U89" i="2"/>
  <c r="AE89" i="2"/>
  <c r="W90" i="2"/>
  <c r="V90" i="2"/>
  <c r="U90" i="2"/>
  <c r="AE90" i="2"/>
  <c r="W91" i="2"/>
  <c r="V91" i="2"/>
  <c r="U91" i="2"/>
  <c r="AE91" i="2"/>
  <c r="W92" i="2"/>
  <c r="V92" i="2"/>
  <c r="U92" i="2"/>
  <c r="AE92" i="2"/>
  <c r="W93" i="2"/>
  <c r="V93" i="2"/>
  <c r="U93" i="2"/>
  <c r="AE93" i="2"/>
  <c r="W94" i="2"/>
  <c r="V94" i="2"/>
  <c r="U94" i="2"/>
  <c r="AE94" i="2"/>
  <c r="W95" i="2"/>
  <c r="V95" i="2"/>
  <c r="U95" i="2"/>
  <c r="AE95" i="2"/>
  <c r="W96" i="2"/>
  <c r="V96" i="2"/>
  <c r="U96" i="2"/>
  <c r="AE96" i="2"/>
  <c r="W97" i="2"/>
  <c r="V97" i="2"/>
  <c r="U97" i="2"/>
  <c r="AE97" i="2"/>
  <c r="W98" i="2"/>
  <c r="V98" i="2"/>
  <c r="U98" i="2"/>
  <c r="AE98" i="2"/>
  <c r="W99" i="2"/>
  <c r="V99" i="2"/>
  <c r="U99" i="2"/>
  <c r="AE99" i="2"/>
  <c r="W100" i="2"/>
  <c r="V100" i="2"/>
  <c r="U100" i="2"/>
  <c r="AE100" i="2"/>
  <c r="W101" i="2"/>
  <c r="V101" i="2"/>
  <c r="U101" i="2"/>
  <c r="AE101" i="2"/>
  <c r="W102" i="2"/>
  <c r="V102" i="2"/>
  <c r="U102" i="2"/>
  <c r="AE102" i="2"/>
  <c r="W103" i="2"/>
  <c r="V103" i="2"/>
  <c r="U103" i="2"/>
  <c r="AE103" i="2"/>
  <c r="W104" i="2"/>
  <c r="V104" i="2"/>
  <c r="U104" i="2"/>
  <c r="AE104" i="2"/>
  <c r="W105" i="2"/>
  <c r="V105" i="2"/>
  <c r="U105" i="2"/>
  <c r="AE105" i="2"/>
  <c r="W106" i="2"/>
  <c r="V106" i="2"/>
  <c r="U106" i="2"/>
  <c r="AE106" i="2"/>
  <c r="W107" i="2"/>
  <c r="V107" i="2"/>
  <c r="U107" i="2"/>
  <c r="AE107" i="2"/>
  <c r="W108" i="2"/>
  <c r="V108" i="2"/>
  <c r="U108" i="2"/>
  <c r="AE108" i="2"/>
  <c r="W109" i="2"/>
  <c r="V109" i="2"/>
  <c r="U109" i="2"/>
  <c r="AE109" i="2"/>
  <c r="W110" i="2"/>
  <c r="V110" i="2"/>
  <c r="U110" i="2"/>
  <c r="AE110" i="2"/>
  <c r="W111" i="2"/>
  <c r="V111" i="2"/>
  <c r="U111" i="2"/>
  <c r="AE111" i="2"/>
  <c r="W112" i="2"/>
  <c r="V112" i="2"/>
  <c r="U112" i="2"/>
  <c r="AE112" i="2"/>
  <c r="W113" i="2"/>
  <c r="V113" i="2"/>
  <c r="U113" i="2"/>
  <c r="AE113" i="2"/>
  <c r="W114" i="2"/>
  <c r="V114" i="2"/>
  <c r="U114" i="2"/>
  <c r="AE114" i="2"/>
  <c r="W115" i="2"/>
  <c r="V115" i="2"/>
  <c r="U115" i="2"/>
  <c r="AE115" i="2"/>
  <c r="W116" i="2"/>
  <c r="V116" i="2"/>
  <c r="U116" i="2"/>
  <c r="AE116" i="2"/>
  <c r="W117" i="2"/>
  <c r="V117" i="2"/>
  <c r="U117" i="2"/>
  <c r="AE117" i="2"/>
  <c r="W118" i="2"/>
  <c r="V118" i="2"/>
  <c r="U118" i="2"/>
  <c r="AE118" i="2"/>
  <c r="W119" i="2"/>
  <c r="V119" i="2"/>
  <c r="U119" i="2"/>
  <c r="AE119" i="2"/>
  <c r="W120" i="2"/>
  <c r="V120" i="2"/>
  <c r="U120" i="2"/>
  <c r="AE120" i="2"/>
  <c r="W121" i="2"/>
  <c r="V121" i="2"/>
  <c r="U121" i="2"/>
  <c r="AE121" i="2"/>
  <c r="W122" i="2"/>
  <c r="V122" i="2"/>
  <c r="U122" i="2"/>
  <c r="AE122" i="2"/>
  <c r="W123" i="2"/>
  <c r="V123" i="2"/>
  <c r="U123" i="2"/>
  <c r="AE123" i="2"/>
  <c r="W124" i="2"/>
  <c r="V124" i="2"/>
  <c r="U124" i="2"/>
  <c r="AE124" i="2"/>
  <c r="W125" i="2"/>
  <c r="V125" i="2"/>
  <c r="U125" i="2"/>
  <c r="AE125" i="2"/>
  <c r="W126" i="2"/>
  <c r="V126" i="2"/>
  <c r="U126" i="2"/>
  <c r="AE126" i="2"/>
  <c r="W127" i="2"/>
  <c r="V127" i="2"/>
  <c r="U127" i="2"/>
  <c r="AE127" i="2"/>
  <c r="W128" i="2"/>
  <c r="V128" i="2"/>
  <c r="U128" i="2"/>
  <c r="AE128" i="2"/>
  <c r="W129" i="2"/>
  <c r="V129" i="2"/>
  <c r="U129" i="2"/>
  <c r="AE129" i="2"/>
  <c r="W130" i="2"/>
  <c r="V130" i="2"/>
  <c r="U130" i="2"/>
  <c r="AE130" i="2"/>
  <c r="W131" i="2"/>
  <c r="V131" i="2"/>
  <c r="U131" i="2"/>
  <c r="AE131" i="2"/>
  <c r="W132" i="2"/>
  <c r="V132" i="2"/>
  <c r="U132" i="2"/>
  <c r="AE132" i="2"/>
  <c r="W133" i="2"/>
  <c r="V133" i="2"/>
  <c r="U133" i="2"/>
  <c r="AE133" i="2"/>
  <c r="W134" i="2"/>
  <c r="V134" i="2"/>
  <c r="U134" i="2"/>
  <c r="AE134" i="2"/>
  <c r="W135" i="2"/>
  <c r="V135" i="2"/>
  <c r="U135" i="2"/>
  <c r="AE135" i="2"/>
  <c r="W136" i="2"/>
  <c r="V136" i="2"/>
  <c r="U136" i="2"/>
  <c r="AE136" i="2"/>
  <c r="W137" i="2"/>
  <c r="V137" i="2"/>
  <c r="U137" i="2"/>
  <c r="AE137" i="2"/>
  <c r="W138" i="2"/>
  <c r="V138" i="2"/>
  <c r="U138" i="2"/>
  <c r="AE138" i="2"/>
  <c r="W139" i="2"/>
  <c r="V139" i="2"/>
  <c r="U139" i="2"/>
  <c r="AE139" i="2"/>
  <c r="W140" i="2"/>
  <c r="V140" i="2"/>
  <c r="U140" i="2"/>
  <c r="AE140" i="2"/>
  <c r="W141" i="2"/>
  <c r="V141" i="2"/>
  <c r="U141" i="2"/>
  <c r="AE141" i="2"/>
  <c r="W142" i="2"/>
  <c r="V142" i="2"/>
  <c r="U142" i="2"/>
  <c r="AE142" i="2"/>
  <c r="W143" i="2"/>
  <c r="V143" i="2"/>
  <c r="U143" i="2"/>
  <c r="AE143" i="2"/>
  <c r="W144" i="2"/>
  <c r="V144" i="2"/>
  <c r="U144" i="2"/>
  <c r="AE144" i="2"/>
  <c r="W145" i="2"/>
  <c r="V145" i="2"/>
  <c r="U145" i="2"/>
  <c r="AE145" i="2"/>
  <c r="W146" i="2"/>
  <c r="V146" i="2"/>
  <c r="U146" i="2"/>
  <c r="AE146" i="2"/>
  <c r="W147" i="2"/>
  <c r="V147" i="2"/>
  <c r="U147" i="2"/>
  <c r="AE147" i="2"/>
  <c r="W148" i="2"/>
  <c r="V148" i="2"/>
  <c r="U148" i="2"/>
  <c r="AE148" i="2"/>
  <c r="W149" i="2"/>
  <c r="V149" i="2"/>
  <c r="U149" i="2"/>
  <c r="AE149" i="2"/>
  <c r="W150" i="2"/>
  <c r="V150" i="2"/>
  <c r="U150" i="2"/>
  <c r="AE150" i="2"/>
  <c r="W151" i="2"/>
  <c r="V151" i="2"/>
  <c r="U151" i="2"/>
  <c r="AE151" i="2"/>
  <c r="W152" i="2"/>
  <c r="V152" i="2"/>
  <c r="U152" i="2"/>
  <c r="AE152" i="2"/>
  <c r="W153" i="2"/>
  <c r="V153" i="2"/>
  <c r="U153" i="2"/>
  <c r="AE153" i="2"/>
  <c r="W154" i="2"/>
  <c r="V154" i="2"/>
  <c r="U154" i="2"/>
  <c r="AE154" i="2"/>
  <c r="W155" i="2"/>
  <c r="V155" i="2"/>
  <c r="U155" i="2"/>
  <c r="AE155" i="2"/>
  <c r="W156" i="2"/>
  <c r="V156" i="2"/>
  <c r="U156" i="2"/>
  <c r="AE156" i="2"/>
  <c r="W157" i="2"/>
  <c r="V157" i="2"/>
  <c r="U157" i="2"/>
  <c r="AE157" i="2"/>
  <c r="W158" i="2"/>
  <c r="V158" i="2"/>
  <c r="U158" i="2"/>
  <c r="AE158" i="2"/>
  <c r="W159" i="2"/>
  <c r="V159" i="2"/>
  <c r="U159" i="2"/>
  <c r="AE159" i="2"/>
  <c r="W160" i="2"/>
  <c r="V160" i="2"/>
  <c r="U160" i="2"/>
  <c r="AE160" i="2"/>
  <c r="W161" i="2"/>
  <c r="V161" i="2"/>
  <c r="U161" i="2"/>
  <c r="AE161" i="2"/>
  <c r="W162" i="2"/>
  <c r="V162" i="2"/>
  <c r="U162" i="2"/>
  <c r="AE162" i="2"/>
  <c r="W163" i="2"/>
  <c r="V163" i="2"/>
  <c r="U163" i="2"/>
  <c r="AE163" i="2"/>
  <c r="W164" i="2"/>
  <c r="V164" i="2"/>
  <c r="U164" i="2"/>
  <c r="AE164" i="2"/>
  <c r="W165" i="2"/>
  <c r="V165" i="2"/>
  <c r="U165" i="2"/>
  <c r="AE165" i="2"/>
  <c r="W166" i="2"/>
  <c r="V166" i="2"/>
  <c r="U166" i="2"/>
  <c r="AE166" i="2"/>
  <c r="W167" i="2"/>
  <c r="V167" i="2"/>
  <c r="U167" i="2"/>
  <c r="AE167" i="2"/>
  <c r="W168" i="2"/>
  <c r="V168" i="2"/>
  <c r="U168" i="2"/>
  <c r="AE168" i="2"/>
  <c r="W169" i="2"/>
  <c r="V169" i="2"/>
  <c r="U169" i="2"/>
  <c r="AE169" i="2"/>
  <c r="W170" i="2"/>
  <c r="V170" i="2"/>
  <c r="U170" i="2"/>
  <c r="AE170" i="2"/>
  <c r="W171" i="2"/>
  <c r="V171" i="2"/>
  <c r="U171" i="2"/>
  <c r="AE171" i="2"/>
  <c r="W172" i="2"/>
  <c r="V172" i="2"/>
  <c r="U172" i="2"/>
  <c r="AE172" i="2"/>
  <c r="W173" i="2"/>
  <c r="V173" i="2"/>
  <c r="U173" i="2"/>
  <c r="AE173" i="2"/>
  <c r="W174" i="2"/>
  <c r="V174" i="2"/>
  <c r="U174" i="2"/>
  <c r="AE174" i="2"/>
  <c r="W175" i="2"/>
  <c r="V175" i="2"/>
  <c r="U175" i="2"/>
  <c r="AE175" i="2"/>
  <c r="W176" i="2"/>
  <c r="V176" i="2"/>
  <c r="U176" i="2"/>
  <c r="AE176" i="2"/>
  <c r="W177" i="2"/>
  <c r="V177" i="2"/>
  <c r="U177" i="2"/>
  <c r="AE177" i="2"/>
  <c r="W178" i="2"/>
  <c r="V178" i="2"/>
  <c r="U178" i="2"/>
  <c r="AE178" i="2"/>
  <c r="W179" i="2"/>
  <c r="V179" i="2"/>
  <c r="U179" i="2"/>
  <c r="AE179" i="2"/>
  <c r="W180" i="2"/>
  <c r="V180" i="2"/>
  <c r="U180" i="2"/>
  <c r="AE180" i="2"/>
  <c r="W181" i="2"/>
  <c r="V181" i="2"/>
  <c r="U181" i="2"/>
  <c r="AE181" i="2"/>
  <c r="W182" i="2"/>
  <c r="V182" i="2"/>
  <c r="U182" i="2"/>
  <c r="AE182" i="2"/>
  <c r="W183" i="2"/>
  <c r="V183" i="2"/>
  <c r="U183" i="2"/>
  <c r="AE183" i="2"/>
  <c r="W184" i="2"/>
  <c r="V184" i="2"/>
  <c r="U184" i="2"/>
  <c r="AE184" i="2"/>
  <c r="W185" i="2"/>
  <c r="V185" i="2"/>
  <c r="U185" i="2"/>
  <c r="AE185" i="2"/>
  <c r="W186" i="2"/>
  <c r="V186" i="2"/>
  <c r="U186" i="2"/>
  <c r="AE186" i="2"/>
  <c r="W187" i="2"/>
  <c r="V187" i="2"/>
  <c r="U187" i="2"/>
  <c r="AE187" i="2"/>
  <c r="W188" i="2"/>
  <c r="V188" i="2"/>
  <c r="U188" i="2"/>
  <c r="AE188" i="2"/>
  <c r="W189" i="2"/>
  <c r="V189" i="2"/>
  <c r="U189" i="2"/>
  <c r="AE189" i="2"/>
  <c r="W190" i="2"/>
  <c r="V190" i="2"/>
  <c r="U190" i="2"/>
  <c r="AE190" i="2"/>
  <c r="W191" i="2"/>
  <c r="V191" i="2"/>
  <c r="U191" i="2"/>
  <c r="AE191" i="2"/>
  <c r="W192" i="2"/>
  <c r="V192" i="2"/>
  <c r="U192" i="2"/>
  <c r="AE192" i="2"/>
  <c r="W193" i="2"/>
  <c r="V193" i="2"/>
  <c r="U193" i="2"/>
  <c r="AE193" i="2"/>
  <c r="W194" i="2"/>
  <c r="V194" i="2"/>
  <c r="U194" i="2"/>
  <c r="AE194" i="2"/>
  <c r="W195" i="2"/>
  <c r="V195" i="2"/>
  <c r="U195" i="2"/>
  <c r="AE195" i="2"/>
  <c r="W196" i="2"/>
  <c r="V196" i="2"/>
  <c r="U196" i="2"/>
  <c r="AE196" i="2"/>
  <c r="W197" i="2"/>
  <c r="V197" i="2"/>
  <c r="U197" i="2"/>
  <c r="AE197" i="2"/>
  <c r="W198" i="2"/>
  <c r="V198" i="2"/>
  <c r="U198" i="2"/>
  <c r="AE198" i="2"/>
  <c r="W199" i="2"/>
  <c r="V199" i="2"/>
  <c r="U199" i="2"/>
  <c r="AE199" i="2"/>
  <c r="W200" i="2"/>
  <c r="V200" i="2"/>
  <c r="U200" i="2"/>
  <c r="AE200" i="2"/>
  <c r="W201" i="2"/>
  <c r="V201" i="2"/>
  <c r="U201" i="2"/>
  <c r="AE201" i="2"/>
  <c r="W202" i="2"/>
  <c r="V202" i="2"/>
  <c r="U202" i="2"/>
  <c r="AE202" i="2"/>
  <c r="W203" i="2"/>
  <c r="V203" i="2"/>
  <c r="U203" i="2"/>
  <c r="AE203" i="2"/>
  <c r="W204" i="2"/>
  <c r="V204" i="2"/>
  <c r="U204" i="2"/>
  <c r="AE204" i="2"/>
  <c r="W205" i="2"/>
  <c r="V205" i="2"/>
  <c r="U205" i="2"/>
  <c r="AE205" i="2"/>
  <c r="W206" i="2"/>
  <c r="V206" i="2"/>
  <c r="U206" i="2"/>
  <c r="AE206" i="2"/>
  <c r="W207" i="2"/>
  <c r="V207" i="2"/>
  <c r="U207" i="2"/>
  <c r="AE207" i="2"/>
  <c r="W208" i="2"/>
  <c r="V208" i="2"/>
  <c r="U208" i="2"/>
  <c r="AE208" i="2"/>
  <c r="W209" i="2"/>
  <c r="V209" i="2"/>
  <c r="U209" i="2"/>
  <c r="AE209" i="2"/>
  <c r="W210" i="2"/>
  <c r="V210" i="2"/>
  <c r="U210" i="2"/>
  <c r="AE210" i="2"/>
  <c r="W211" i="2"/>
  <c r="V211" i="2"/>
  <c r="U211" i="2"/>
  <c r="AE211" i="2"/>
  <c r="W212" i="2"/>
  <c r="V212" i="2"/>
  <c r="U212" i="2"/>
  <c r="AE212" i="2"/>
  <c r="W213" i="2"/>
  <c r="V213" i="2"/>
  <c r="U213" i="2"/>
  <c r="AE213" i="2"/>
  <c r="W214" i="2"/>
  <c r="V214" i="2"/>
  <c r="U214" i="2"/>
  <c r="AE214" i="2"/>
  <c r="W215" i="2"/>
  <c r="V215" i="2"/>
  <c r="U215" i="2"/>
  <c r="AE215" i="2"/>
  <c r="W216" i="2"/>
  <c r="V216" i="2"/>
  <c r="U216" i="2"/>
  <c r="AE216" i="2"/>
  <c r="W217" i="2"/>
  <c r="V217" i="2"/>
  <c r="U217" i="2"/>
  <c r="AE217" i="2"/>
  <c r="W218" i="2"/>
  <c r="V218" i="2"/>
  <c r="U218" i="2"/>
  <c r="AE218" i="2"/>
  <c r="W219" i="2"/>
  <c r="V219" i="2"/>
  <c r="U219" i="2"/>
  <c r="AE219" i="2"/>
  <c r="W220" i="2"/>
  <c r="V220" i="2"/>
  <c r="U220" i="2"/>
  <c r="AE220" i="2"/>
  <c r="W221" i="2"/>
  <c r="V221" i="2"/>
  <c r="U221" i="2"/>
  <c r="AE221" i="2"/>
  <c r="W222" i="2"/>
  <c r="V222" i="2"/>
  <c r="U222" i="2"/>
  <c r="AE222" i="2"/>
  <c r="W223" i="2"/>
  <c r="V223" i="2"/>
  <c r="U223" i="2"/>
  <c r="AE223" i="2"/>
  <c r="W224" i="2"/>
  <c r="V224" i="2"/>
  <c r="U224" i="2"/>
  <c r="AE224" i="2"/>
  <c r="W225" i="2"/>
  <c r="V225" i="2"/>
  <c r="U225" i="2"/>
  <c r="AE225" i="2"/>
  <c r="W226" i="2"/>
  <c r="V226" i="2"/>
  <c r="U226" i="2"/>
  <c r="AE226" i="2"/>
  <c r="W227" i="2"/>
  <c r="V227" i="2"/>
  <c r="U227" i="2"/>
  <c r="AE227" i="2"/>
  <c r="W228" i="2"/>
  <c r="V228" i="2"/>
  <c r="U228" i="2"/>
  <c r="AE228" i="2"/>
  <c r="W229" i="2"/>
  <c r="V229" i="2"/>
  <c r="U229" i="2"/>
  <c r="AE229" i="2"/>
  <c r="W230" i="2"/>
  <c r="V230" i="2"/>
  <c r="U230" i="2"/>
  <c r="AE230" i="2"/>
  <c r="W231" i="2"/>
  <c r="V231" i="2"/>
  <c r="U231" i="2"/>
  <c r="AE231" i="2"/>
  <c r="W232" i="2"/>
  <c r="V232" i="2"/>
  <c r="U232" i="2"/>
  <c r="AE232" i="2"/>
  <c r="W233" i="2"/>
  <c r="V233" i="2"/>
  <c r="U233" i="2"/>
  <c r="AE233" i="2"/>
  <c r="W234" i="2"/>
  <c r="V234" i="2"/>
  <c r="U234" i="2"/>
  <c r="AE234" i="2"/>
  <c r="W235" i="2"/>
  <c r="V235" i="2"/>
  <c r="U235" i="2"/>
  <c r="AE235" i="2"/>
  <c r="W236" i="2"/>
  <c r="V236" i="2"/>
  <c r="U236" i="2"/>
  <c r="AE236" i="2"/>
  <c r="W237" i="2"/>
  <c r="V237" i="2"/>
  <c r="U237" i="2"/>
  <c r="AE237" i="2"/>
  <c r="W238" i="2"/>
  <c r="V238" i="2"/>
  <c r="U238" i="2"/>
  <c r="AE238" i="2"/>
  <c r="W239" i="2"/>
  <c r="V239" i="2"/>
  <c r="U239" i="2"/>
  <c r="AE239" i="2"/>
  <c r="W240" i="2"/>
  <c r="V240" i="2"/>
  <c r="U240" i="2"/>
  <c r="AE240" i="2"/>
  <c r="W241" i="2"/>
  <c r="V241" i="2"/>
  <c r="U241" i="2"/>
  <c r="AE241" i="2"/>
  <c r="W242" i="2"/>
  <c r="V242" i="2"/>
  <c r="U242" i="2"/>
  <c r="AE242" i="2"/>
  <c r="W243" i="2"/>
  <c r="V243" i="2"/>
  <c r="U243" i="2"/>
  <c r="AE243" i="2"/>
  <c r="W244" i="2"/>
  <c r="V244" i="2"/>
  <c r="U244" i="2"/>
  <c r="AE244" i="2"/>
  <c r="W245" i="2"/>
  <c r="V245" i="2"/>
  <c r="U245" i="2"/>
  <c r="AE245" i="2"/>
  <c r="W246" i="2"/>
  <c r="V246" i="2"/>
  <c r="U246" i="2"/>
  <c r="AE246" i="2"/>
  <c r="W247" i="2"/>
  <c r="V247" i="2"/>
  <c r="U247" i="2"/>
  <c r="AE247" i="2"/>
  <c r="G9" i="4"/>
  <c r="G8" i="4"/>
  <c r="G3" i="4"/>
  <c r="G4" i="4"/>
  <c r="G5" i="4"/>
  <c r="G6" i="4"/>
  <c r="G7" i="4"/>
  <c r="G2" i="4"/>
  <c r="G4" i="3"/>
  <c r="H4" i="3"/>
  <c r="G9" i="3"/>
  <c r="H9" i="3"/>
  <c r="G7" i="3"/>
  <c r="H7" i="3"/>
  <c r="G5" i="3"/>
  <c r="H5" i="3"/>
  <c r="G16" i="3"/>
  <c r="H16" i="3"/>
  <c r="G13" i="3"/>
  <c r="H13" i="3"/>
  <c r="G11" i="3"/>
  <c r="H11" i="3"/>
  <c r="G32" i="3"/>
  <c r="H32" i="3"/>
  <c r="G14" i="3"/>
  <c r="H14" i="3"/>
  <c r="G6" i="3"/>
  <c r="H6" i="3"/>
  <c r="G21" i="3"/>
  <c r="H21" i="3"/>
  <c r="G41" i="3"/>
  <c r="H41" i="3"/>
  <c r="G34" i="3"/>
  <c r="H34" i="3"/>
  <c r="G29" i="3"/>
  <c r="H29" i="3"/>
  <c r="G10" i="3"/>
  <c r="H10" i="3"/>
  <c r="G83" i="3"/>
  <c r="H83" i="3"/>
  <c r="G85" i="3"/>
  <c r="H85" i="3"/>
  <c r="G40" i="3"/>
  <c r="H40" i="3"/>
  <c r="G87" i="3"/>
  <c r="H87" i="3"/>
  <c r="G20" i="3"/>
  <c r="H20" i="3"/>
  <c r="G17" i="3"/>
  <c r="H17" i="3"/>
  <c r="G22" i="3"/>
  <c r="H22" i="3"/>
  <c r="G19" i="3"/>
  <c r="H19" i="3"/>
  <c r="G18" i="3"/>
  <c r="H18" i="3"/>
  <c r="G139" i="3"/>
  <c r="H139" i="3"/>
  <c r="G67" i="3"/>
  <c r="H67" i="3"/>
  <c r="G222" i="3"/>
  <c r="H222" i="3"/>
  <c r="G48" i="3"/>
  <c r="H48" i="3"/>
  <c r="G56" i="3"/>
  <c r="H56" i="3"/>
  <c r="G51" i="3"/>
  <c r="H51" i="3"/>
  <c r="G37" i="3"/>
  <c r="H37" i="3"/>
  <c r="G90" i="3"/>
  <c r="H90" i="3"/>
  <c r="G44" i="3"/>
  <c r="H44" i="3"/>
  <c r="G79" i="3"/>
  <c r="H79" i="3"/>
  <c r="G66" i="3"/>
  <c r="H66" i="3"/>
  <c r="G103" i="3"/>
  <c r="H103" i="3"/>
  <c r="G72" i="3"/>
  <c r="H72" i="3"/>
  <c r="G119" i="3"/>
  <c r="H119" i="3"/>
  <c r="G188" i="3"/>
  <c r="H188" i="3"/>
  <c r="G86" i="3"/>
  <c r="H86" i="3"/>
  <c r="G170" i="3"/>
  <c r="H170" i="3"/>
  <c r="G57" i="3"/>
  <c r="H57" i="3"/>
  <c r="G169" i="3"/>
  <c r="H169" i="3"/>
  <c r="G42" i="3"/>
  <c r="H42" i="3"/>
  <c r="G35" i="3"/>
  <c r="H35" i="3"/>
  <c r="G73" i="3"/>
  <c r="H73" i="3"/>
  <c r="G8" i="3"/>
  <c r="H8" i="3"/>
  <c r="G162" i="3"/>
  <c r="H162" i="3"/>
  <c r="G132" i="3"/>
  <c r="H132" i="3"/>
  <c r="G144" i="3"/>
  <c r="H144" i="3"/>
  <c r="G53" i="3"/>
  <c r="H53" i="3"/>
  <c r="G61" i="3"/>
  <c r="H61" i="3"/>
  <c r="G68" i="3"/>
  <c r="H68" i="3"/>
  <c r="G216" i="3"/>
  <c r="H216" i="3"/>
  <c r="G63" i="3"/>
  <c r="H63" i="3"/>
  <c r="G211" i="3"/>
  <c r="H211" i="3"/>
  <c r="G209" i="3"/>
  <c r="H209" i="3"/>
  <c r="G172" i="3"/>
  <c r="H172" i="3"/>
  <c r="G24" i="3"/>
  <c r="H24" i="3"/>
  <c r="G80" i="3"/>
  <c r="H80" i="3"/>
  <c r="G69" i="3"/>
  <c r="H69" i="3"/>
  <c r="G238" i="3"/>
  <c r="H238" i="3"/>
  <c r="G76" i="3"/>
  <c r="H76" i="3"/>
  <c r="G110" i="3"/>
  <c r="H110" i="3"/>
  <c r="G129" i="3"/>
  <c r="H129" i="3"/>
  <c r="G237" i="3"/>
  <c r="H237" i="3"/>
  <c r="G234" i="3"/>
  <c r="H234" i="3"/>
  <c r="G12" i="3"/>
  <c r="H12" i="3"/>
  <c r="G49" i="3"/>
  <c r="H49" i="3"/>
  <c r="G54" i="3"/>
  <c r="H54" i="3"/>
  <c r="G100" i="3"/>
  <c r="H100" i="3"/>
  <c r="G91" i="3"/>
  <c r="H91" i="3"/>
  <c r="G71" i="3"/>
  <c r="H71" i="3"/>
  <c r="G241" i="3"/>
  <c r="H241" i="3"/>
  <c r="G155" i="3"/>
  <c r="H155" i="3"/>
  <c r="G123" i="3"/>
  <c r="H123" i="3"/>
  <c r="G58" i="3"/>
  <c r="H58" i="3"/>
  <c r="G47" i="3"/>
  <c r="H47" i="3"/>
  <c r="G204" i="3"/>
  <c r="H204" i="3"/>
  <c r="G227" i="3"/>
  <c r="H227" i="3"/>
  <c r="G136" i="3"/>
  <c r="H136" i="3"/>
  <c r="G108" i="3"/>
  <c r="H108" i="3"/>
  <c r="G224" i="3"/>
  <c r="H224" i="3"/>
  <c r="G187" i="3"/>
  <c r="H187" i="3"/>
  <c r="G151" i="3"/>
  <c r="H151" i="3"/>
  <c r="G192" i="3"/>
  <c r="H192" i="3"/>
  <c r="G116" i="3"/>
  <c r="H116" i="3"/>
  <c r="G77" i="3"/>
  <c r="H77" i="3"/>
  <c r="G26" i="3"/>
  <c r="H26" i="3"/>
  <c r="G152" i="3"/>
  <c r="H152" i="3"/>
  <c r="G97" i="3"/>
  <c r="H97" i="3"/>
  <c r="G223" i="3"/>
  <c r="H223" i="3"/>
  <c r="G38" i="3"/>
  <c r="H38" i="3"/>
  <c r="G121" i="3"/>
  <c r="H121" i="3"/>
  <c r="G93" i="3"/>
  <c r="H93" i="3"/>
  <c r="G154" i="3"/>
  <c r="H154" i="3"/>
  <c r="G218" i="3"/>
  <c r="H218" i="3"/>
  <c r="G196" i="3"/>
  <c r="H196" i="3"/>
  <c r="G55" i="3"/>
  <c r="H55" i="3"/>
  <c r="G114" i="3"/>
  <c r="H114" i="3"/>
  <c r="G45" i="3"/>
  <c r="H45" i="3"/>
  <c r="G233" i="3"/>
  <c r="H233" i="3"/>
  <c r="G30" i="3"/>
  <c r="H30" i="3"/>
  <c r="G96" i="3"/>
  <c r="H96" i="3"/>
  <c r="G176" i="3"/>
  <c r="H176" i="3"/>
  <c r="G89" i="3"/>
  <c r="H89" i="3"/>
  <c r="G214" i="3"/>
  <c r="H214" i="3"/>
  <c r="G128" i="3"/>
  <c r="H128" i="3"/>
  <c r="G52" i="3"/>
  <c r="H52" i="3"/>
  <c r="G220" i="3"/>
  <c r="H220" i="3"/>
  <c r="G158" i="3"/>
  <c r="H158" i="3"/>
  <c r="G240" i="3"/>
  <c r="H240" i="3"/>
  <c r="G186" i="3"/>
  <c r="H186" i="3"/>
  <c r="G31" i="3"/>
  <c r="H31" i="3"/>
  <c r="G225" i="3"/>
  <c r="H225" i="3"/>
  <c r="G135" i="3"/>
  <c r="H135" i="3"/>
  <c r="G173" i="3"/>
  <c r="H173" i="3"/>
  <c r="G232" i="3"/>
  <c r="H232" i="3"/>
  <c r="G177" i="3"/>
  <c r="H177" i="3"/>
  <c r="G94" i="3"/>
  <c r="H94" i="3"/>
  <c r="G228" i="3"/>
  <c r="H228" i="3"/>
  <c r="G213" i="3"/>
  <c r="H213" i="3"/>
  <c r="G146" i="3"/>
  <c r="H146" i="3"/>
  <c r="G167" i="3"/>
  <c r="H167" i="3"/>
  <c r="G226" i="3"/>
  <c r="H226" i="3"/>
  <c r="G88" i="3"/>
  <c r="H88" i="3"/>
  <c r="G148" i="3"/>
  <c r="H148" i="3"/>
  <c r="G43" i="3"/>
  <c r="H43" i="3"/>
  <c r="G166" i="3"/>
  <c r="H166" i="3"/>
  <c r="G150" i="3"/>
  <c r="H150" i="3"/>
  <c r="G33" i="3"/>
  <c r="H33" i="3"/>
  <c r="G64" i="3"/>
  <c r="H64" i="3"/>
  <c r="G124" i="3"/>
  <c r="H124" i="3"/>
  <c r="G168" i="3"/>
  <c r="H168" i="3"/>
  <c r="G101" i="3"/>
  <c r="H101" i="3"/>
  <c r="G84" i="3"/>
  <c r="H84" i="3"/>
  <c r="G62" i="3"/>
  <c r="H62" i="3"/>
  <c r="G153" i="3"/>
  <c r="H153" i="3"/>
  <c r="G95" i="3"/>
  <c r="H95" i="3"/>
  <c r="G137" i="3"/>
  <c r="H137" i="3"/>
  <c r="G235" i="3"/>
  <c r="H235" i="3"/>
  <c r="G142" i="3"/>
  <c r="H142" i="3"/>
  <c r="G143" i="3"/>
  <c r="H143" i="3"/>
  <c r="G160" i="3"/>
  <c r="H160" i="3"/>
  <c r="G98" i="3"/>
  <c r="H98" i="3"/>
  <c r="G140" i="3"/>
  <c r="H140" i="3"/>
  <c r="G145" i="3"/>
  <c r="H145" i="3"/>
  <c r="G189" i="3"/>
  <c r="H189" i="3"/>
  <c r="G113" i="3"/>
  <c r="H113" i="3"/>
  <c r="G36" i="3"/>
  <c r="H36" i="3"/>
  <c r="G147" i="3"/>
  <c r="H147" i="3"/>
  <c r="G59" i="3"/>
  <c r="H59" i="3"/>
  <c r="G111" i="3"/>
  <c r="H111" i="3"/>
  <c r="G92" i="3"/>
  <c r="H92" i="3"/>
  <c r="G244" i="3"/>
  <c r="H244" i="3"/>
  <c r="G115" i="3"/>
  <c r="H115" i="3"/>
  <c r="G106" i="3"/>
  <c r="H106" i="3"/>
  <c r="G138" i="3"/>
  <c r="H138" i="3"/>
  <c r="G70" i="3"/>
  <c r="H70" i="3"/>
  <c r="G75" i="3"/>
  <c r="H75" i="3"/>
  <c r="G217" i="3"/>
  <c r="H217" i="3"/>
  <c r="G246" i="3"/>
  <c r="H246" i="3"/>
  <c r="G243" i="3"/>
  <c r="H243" i="3"/>
  <c r="G112" i="3"/>
  <c r="H112" i="3"/>
  <c r="G163" i="3"/>
  <c r="H163" i="3"/>
  <c r="G78" i="3"/>
  <c r="H78" i="3"/>
  <c r="G120" i="3"/>
  <c r="H120" i="3"/>
  <c r="G46" i="3"/>
  <c r="H46" i="3"/>
  <c r="G109" i="3"/>
  <c r="H109" i="3"/>
  <c r="G231" i="3"/>
  <c r="H231" i="3"/>
  <c r="G134" i="3"/>
  <c r="H134" i="3"/>
  <c r="G74" i="3"/>
  <c r="H74" i="3"/>
  <c r="G202" i="3"/>
  <c r="H202" i="3"/>
  <c r="G185" i="3"/>
  <c r="H185" i="3"/>
  <c r="G104" i="3"/>
  <c r="H104" i="3"/>
  <c r="G180" i="3"/>
  <c r="H180" i="3"/>
  <c r="G122" i="3"/>
  <c r="H122" i="3"/>
  <c r="G205" i="3"/>
  <c r="H205" i="3"/>
  <c r="G175" i="3"/>
  <c r="H175" i="3"/>
  <c r="G130" i="3"/>
  <c r="H130" i="3"/>
  <c r="G126" i="3"/>
  <c r="H126" i="3"/>
  <c r="G65" i="3"/>
  <c r="H65" i="3"/>
  <c r="G207" i="3"/>
  <c r="H207" i="3"/>
  <c r="G81" i="3"/>
  <c r="H81" i="3"/>
  <c r="G149" i="3"/>
  <c r="H149" i="3"/>
  <c r="G161" i="3"/>
  <c r="H161" i="3"/>
  <c r="G164" i="3"/>
  <c r="H164" i="3"/>
  <c r="G141" i="3"/>
  <c r="H141" i="3"/>
  <c r="G107" i="3"/>
  <c r="H107" i="3"/>
  <c r="G229" i="3"/>
  <c r="H229" i="3"/>
  <c r="G50" i="3"/>
  <c r="H50" i="3"/>
  <c r="G131" i="3"/>
  <c r="H131" i="3"/>
  <c r="G156" i="3"/>
  <c r="H156" i="3"/>
  <c r="G174" i="3"/>
  <c r="H174" i="3"/>
  <c r="G239" i="3"/>
  <c r="H239" i="3"/>
  <c r="G171" i="3"/>
  <c r="H171" i="3"/>
  <c r="G27" i="3"/>
  <c r="H27" i="3"/>
  <c r="G221" i="3"/>
  <c r="H221" i="3"/>
  <c r="G127" i="3"/>
  <c r="H127" i="3"/>
  <c r="G102" i="3"/>
  <c r="H102" i="3"/>
  <c r="G242" i="3"/>
  <c r="H242" i="3"/>
  <c r="G117" i="3"/>
  <c r="H117" i="3"/>
  <c r="G183" i="3"/>
  <c r="H183" i="3"/>
  <c r="G60" i="3"/>
  <c r="H60" i="3"/>
  <c r="G157" i="3"/>
  <c r="H157" i="3"/>
  <c r="G203" i="3"/>
  <c r="H203" i="3"/>
  <c r="G133" i="3"/>
  <c r="H133" i="3"/>
  <c r="G193" i="3"/>
  <c r="H193" i="3"/>
  <c r="G197" i="3"/>
  <c r="H197" i="3"/>
  <c r="G178" i="3"/>
  <c r="H178" i="3"/>
  <c r="G194" i="3"/>
  <c r="H194" i="3"/>
  <c r="G182" i="3"/>
  <c r="H182" i="3"/>
  <c r="G118" i="3"/>
  <c r="H118" i="3"/>
  <c r="G179" i="3"/>
  <c r="H179" i="3"/>
  <c r="G200" i="3"/>
  <c r="H200" i="3"/>
  <c r="G230" i="3"/>
  <c r="H230" i="3"/>
  <c r="G206" i="3"/>
  <c r="H206" i="3"/>
  <c r="G212" i="3"/>
  <c r="H212" i="3"/>
  <c r="G201" i="3"/>
  <c r="H201" i="3"/>
  <c r="G236" i="3"/>
  <c r="H236" i="3"/>
  <c r="G245" i="3"/>
  <c r="H245" i="3"/>
  <c r="G165" i="3"/>
  <c r="H165" i="3"/>
  <c r="G215" i="3"/>
  <c r="H215" i="3"/>
  <c r="G105" i="3"/>
  <c r="H105" i="3"/>
  <c r="G184" i="3"/>
  <c r="H184" i="3"/>
  <c r="G125" i="3"/>
  <c r="H125" i="3"/>
  <c r="G190" i="3"/>
  <c r="H190" i="3"/>
  <c r="G23" i="3"/>
  <c r="H23" i="3"/>
  <c r="G210" i="3"/>
  <c r="H210" i="3"/>
  <c r="G39" i="3"/>
  <c r="H39" i="3"/>
  <c r="G195" i="3"/>
  <c r="H195" i="3"/>
  <c r="G159" i="3"/>
  <c r="H159" i="3"/>
  <c r="G219" i="3"/>
  <c r="H219" i="3"/>
  <c r="G99" i="3"/>
  <c r="H99" i="3"/>
  <c r="G181" i="3"/>
  <c r="H181" i="3"/>
  <c r="G191" i="3"/>
  <c r="H191" i="3"/>
  <c r="G199" i="3"/>
  <c r="H199" i="3"/>
  <c r="G208" i="3"/>
  <c r="H208" i="3"/>
  <c r="G198" i="3"/>
  <c r="H198" i="3"/>
  <c r="G82" i="3"/>
  <c r="H82" i="3"/>
  <c r="G28" i="3"/>
  <c r="H28" i="3"/>
  <c r="G25" i="3"/>
  <c r="H25" i="3"/>
  <c r="G15" i="3"/>
  <c r="H15" i="3"/>
  <c r="H3" i="3"/>
  <c r="G3" i="3"/>
  <c r="F4" i="3"/>
  <c r="F9" i="3"/>
  <c r="F7" i="3"/>
  <c r="F5" i="3"/>
  <c r="F16" i="3"/>
  <c r="F13" i="3"/>
  <c r="F11" i="3"/>
  <c r="F32" i="3"/>
  <c r="F14" i="3"/>
  <c r="F6" i="3"/>
  <c r="F21" i="3"/>
  <c r="F41" i="3"/>
  <c r="F34" i="3"/>
  <c r="F29" i="3"/>
  <c r="F10" i="3"/>
  <c r="F83" i="3"/>
  <c r="F85" i="3"/>
  <c r="F40" i="3"/>
  <c r="F87" i="3"/>
  <c r="F20" i="3"/>
  <c r="F17" i="3"/>
  <c r="F22" i="3"/>
  <c r="F19" i="3"/>
  <c r="F18" i="3"/>
  <c r="F139" i="3"/>
  <c r="F67" i="3"/>
  <c r="F222" i="3"/>
  <c r="F48" i="3"/>
  <c r="F56" i="3"/>
  <c r="F51" i="3"/>
  <c r="F37" i="3"/>
  <c r="F90" i="3"/>
  <c r="F44" i="3"/>
  <c r="F79" i="3"/>
  <c r="F66" i="3"/>
  <c r="F103" i="3"/>
  <c r="F72" i="3"/>
  <c r="F119" i="3"/>
  <c r="F188" i="3"/>
  <c r="F86" i="3"/>
  <c r="F170" i="3"/>
  <c r="F57" i="3"/>
  <c r="F169" i="3"/>
  <c r="F42" i="3"/>
  <c r="F35" i="3"/>
  <c r="F73" i="3"/>
  <c r="F8" i="3"/>
  <c r="F162" i="3"/>
  <c r="F132" i="3"/>
  <c r="F144" i="3"/>
  <c r="F53" i="3"/>
  <c r="F61" i="3"/>
  <c r="F68" i="3"/>
  <c r="F216" i="3"/>
  <c r="F63" i="3"/>
  <c r="F211" i="3"/>
  <c r="F209" i="3"/>
  <c r="F172" i="3"/>
  <c r="F24" i="3"/>
  <c r="F80" i="3"/>
  <c r="F69" i="3"/>
  <c r="F238" i="3"/>
  <c r="F76" i="3"/>
  <c r="F110" i="3"/>
  <c r="F129" i="3"/>
  <c r="F237" i="3"/>
  <c r="F234" i="3"/>
  <c r="F12" i="3"/>
  <c r="F49" i="3"/>
  <c r="F54" i="3"/>
  <c r="F100" i="3"/>
  <c r="F91" i="3"/>
  <c r="F71" i="3"/>
  <c r="F241" i="3"/>
  <c r="F155" i="3"/>
  <c r="F123" i="3"/>
  <c r="F58" i="3"/>
  <c r="F47" i="3"/>
  <c r="F204" i="3"/>
  <c r="F227" i="3"/>
  <c r="F136" i="3"/>
  <c r="F108" i="3"/>
  <c r="F224" i="3"/>
  <c r="F187" i="3"/>
  <c r="F151" i="3"/>
  <c r="F192" i="3"/>
  <c r="F116" i="3"/>
  <c r="F77" i="3"/>
  <c r="F26" i="3"/>
  <c r="F152" i="3"/>
  <c r="F97" i="3"/>
  <c r="F223" i="3"/>
  <c r="F38" i="3"/>
  <c r="F121" i="3"/>
  <c r="F93" i="3"/>
  <c r="F154" i="3"/>
  <c r="F218" i="3"/>
  <c r="F196" i="3"/>
  <c r="F55" i="3"/>
  <c r="F114" i="3"/>
  <c r="F45" i="3"/>
  <c r="F233" i="3"/>
  <c r="F30" i="3"/>
  <c r="F96" i="3"/>
  <c r="F176" i="3"/>
  <c r="F89" i="3"/>
  <c r="F214" i="3"/>
  <c r="F128" i="3"/>
  <c r="F52" i="3"/>
  <c r="F220" i="3"/>
  <c r="F158" i="3"/>
  <c r="F240" i="3"/>
  <c r="F186" i="3"/>
  <c r="F31" i="3"/>
  <c r="F225" i="3"/>
  <c r="F135" i="3"/>
  <c r="F173" i="3"/>
  <c r="F232" i="3"/>
  <c r="F177" i="3"/>
  <c r="F94" i="3"/>
  <c r="F228" i="3"/>
  <c r="F213" i="3"/>
  <c r="F146" i="3"/>
  <c r="F167" i="3"/>
  <c r="F226" i="3"/>
  <c r="F88" i="3"/>
  <c r="F148" i="3"/>
  <c r="F43" i="3"/>
  <c r="F166" i="3"/>
  <c r="F150" i="3"/>
  <c r="F33" i="3"/>
  <c r="F64" i="3"/>
  <c r="F124" i="3"/>
  <c r="F168" i="3"/>
  <c r="F101" i="3"/>
  <c r="F84" i="3"/>
  <c r="F62" i="3"/>
  <c r="F153" i="3"/>
  <c r="F95" i="3"/>
  <c r="F137" i="3"/>
  <c r="F235" i="3"/>
  <c r="F142" i="3"/>
  <c r="F143" i="3"/>
  <c r="F160" i="3"/>
  <c r="F98" i="3"/>
  <c r="F140" i="3"/>
  <c r="F145" i="3"/>
  <c r="F189" i="3"/>
  <c r="F113" i="3"/>
  <c r="F36" i="3"/>
  <c r="F147" i="3"/>
  <c r="F59" i="3"/>
  <c r="F111" i="3"/>
  <c r="F92" i="3"/>
  <c r="F244" i="3"/>
  <c r="F115" i="3"/>
  <c r="F106" i="3"/>
  <c r="F138" i="3"/>
  <c r="F70" i="3"/>
  <c r="F75" i="3"/>
  <c r="F217" i="3"/>
  <c r="F246" i="3"/>
  <c r="F243" i="3"/>
  <c r="F112" i="3"/>
  <c r="F163" i="3"/>
  <c r="F78" i="3"/>
  <c r="F120" i="3"/>
  <c r="F46" i="3"/>
  <c r="F109" i="3"/>
  <c r="F231" i="3"/>
  <c r="F134" i="3"/>
  <c r="F74" i="3"/>
  <c r="F202" i="3"/>
  <c r="F185" i="3"/>
  <c r="F104" i="3"/>
  <c r="F180" i="3"/>
  <c r="F122" i="3"/>
  <c r="F205" i="3"/>
  <c r="F175" i="3"/>
  <c r="F130" i="3"/>
  <c r="F126" i="3"/>
  <c r="F65" i="3"/>
  <c r="F207" i="3"/>
  <c r="F81" i="3"/>
  <c r="F149" i="3"/>
  <c r="F161" i="3"/>
  <c r="F164" i="3"/>
  <c r="F141" i="3"/>
  <c r="F107" i="3"/>
  <c r="F229" i="3"/>
  <c r="F50" i="3"/>
  <c r="F131" i="3"/>
  <c r="F156" i="3"/>
  <c r="F174" i="3"/>
  <c r="F239" i="3"/>
  <c r="F171" i="3"/>
  <c r="F27" i="3"/>
  <c r="F221" i="3"/>
  <c r="F127" i="3"/>
  <c r="F102" i="3"/>
  <c r="F242" i="3"/>
  <c r="F117" i="3"/>
  <c r="F183" i="3"/>
  <c r="F60" i="3"/>
  <c r="F157" i="3"/>
  <c r="F203" i="3"/>
  <c r="F133" i="3"/>
  <c r="F193" i="3"/>
  <c r="F197" i="3"/>
  <c r="F178" i="3"/>
  <c r="F194" i="3"/>
  <c r="F182" i="3"/>
  <c r="F118" i="3"/>
  <c r="F179" i="3"/>
  <c r="F200" i="3"/>
  <c r="F230" i="3"/>
  <c r="F206" i="3"/>
  <c r="F212" i="3"/>
  <c r="F201" i="3"/>
  <c r="F236" i="3"/>
  <c r="F245" i="3"/>
  <c r="F165" i="3"/>
  <c r="F215" i="3"/>
  <c r="F105" i="3"/>
  <c r="F184" i="3"/>
  <c r="F125" i="3"/>
  <c r="F190" i="3"/>
  <c r="F23" i="3"/>
  <c r="F210" i="3"/>
  <c r="F39" i="3"/>
  <c r="F195" i="3"/>
  <c r="F159" i="3"/>
  <c r="F219" i="3"/>
  <c r="F99" i="3"/>
  <c r="F181" i="3"/>
  <c r="F191" i="3"/>
  <c r="F199" i="3"/>
  <c r="F208" i="3"/>
  <c r="F198" i="3"/>
  <c r="F82" i="3"/>
  <c r="F28" i="3"/>
  <c r="F25" i="3"/>
  <c r="F15" i="3"/>
  <c r="F3" i="3"/>
  <c r="M26" i="2"/>
  <c r="N26" i="2"/>
  <c r="M27" i="2"/>
  <c r="N27" i="2"/>
  <c r="M28" i="2"/>
  <c r="N28" i="2"/>
  <c r="M29" i="2"/>
  <c r="N29" i="2"/>
  <c r="M30" i="2"/>
  <c r="N30" i="2"/>
  <c r="M31" i="2"/>
  <c r="N31" i="2"/>
  <c r="M32" i="2"/>
  <c r="N32" i="2"/>
  <c r="M33" i="2"/>
  <c r="N33" i="2"/>
  <c r="M34" i="2"/>
  <c r="N34" i="2"/>
  <c r="M35" i="2"/>
  <c r="N35" i="2"/>
  <c r="M36" i="2"/>
  <c r="N36" i="2"/>
  <c r="M37" i="2"/>
  <c r="N37" i="2"/>
  <c r="M38" i="2"/>
  <c r="N38" i="2"/>
  <c r="M39" i="2"/>
  <c r="N39" i="2"/>
  <c r="M40" i="2"/>
  <c r="N40" i="2"/>
  <c r="M41" i="2"/>
  <c r="N41" i="2"/>
  <c r="M42" i="2"/>
  <c r="N42" i="2"/>
  <c r="M43" i="2"/>
  <c r="N43" i="2"/>
  <c r="M44" i="2"/>
  <c r="N44" i="2"/>
  <c r="M45" i="2"/>
  <c r="N45" i="2"/>
  <c r="M46" i="2"/>
  <c r="N46" i="2"/>
  <c r="M47" i="2"/>
  <c r="N47" i="2"/>
  <c r="M48" i="2"/>
  <c r="N48" i="2"/>
  <c r="M49" i="2"/>
  <c r="N49" i="2"/>
  <c r="M50" i="2"/>
  <c r="N50" i="2"/>
  <c r="M51" i="2"/>
  <c r="N51" i="2"/>
  <c r="M52" i="2"/>
  <c r="N52" i="2"/>
  <c r="M53" i="2"/>
  <c r="N53" i="2"/>
  <c r="M54" i="2"/>
  <c r="N54" i="2"/>
  <c r="M55" i="2"/>
  <c r="N55" i="2"/>
  <c r="M56" i="2"/>
  <c r="N56" i="2"/>
  <c r="M57" i="2"/>
  <c r="N57" i="2"/>
  <c r="M58" i="2"/>
  <c r="N58" i="2"/>
  <c r="M59" i="2"/>
  <c r="N59" i="2"/>
  <c r="M60" i="2"/>
  <c r="N60" i="2"/>
  <c r="M61" i="2"/>
  <c r="N61" i="2"/>
  <c r="M62" i="2"/>
  <c r="N62" i="2"/>
  <c r="M63" i="2"/>
  <c r="N63" i="2"/>
  <c r="M64" i="2"/>
  <c r="N64" i="2"/>
  <c r="M65" i="2"/>
  <c r="N65" i="2"/>
  <c r="M66" i="2"/>
  <c r="N66" i="2"/>
  <c r="M67" i="2"/>
  <c r="N67" i="2"/>
  <c r="M68" i="2"/>
  <c r="N68" i="2"/>
  <c r="M69" i="2"/>
  <c r="N69" i="2"/>
  <c r="M70" i="2"/>
  <c r="N70" i="2"/>
  <c r="M71" i="2"/>
  <c r="N71" i="2"/>
  <c r="M72" i="2"/>
  <c r="N72" i="2"/>
  <c r="M73" i="2"/>
  <c r="N73" i="2"/>
  <c r="M74" i="2"/>
  <c r="N74" i="2"/>
  <c r="M75" i="2"/>
  <c r="N75" i="2"/>
  <c r="M76" i="2"/>
  <c r="N76" i="2"/>
  <c r="M77" i="2"/>
  <c r="N77" i="2"/>
  <c r="M78" i="2"/>
  <c r="N78" i="2"/>
  <c r="M79" i="2"/>
  <c r="N79" i="2"/>
  <c r="M80" i="2"/>
  <c r="N80" i="2"/>
  <c r="M81" i="2"/>
  <c r="N81" i="2"/>
  <c r="M82" i="2"/>
  <c r="N82" i="2"/>
  <c r="M83" i="2"/>
  <c r="N83" i="2"/>
  <c r="M84" i="2"/>
  <c r="N84" i="2"/>
  <c r="M85" i="2"/>
  <c r="N85" i="2"/>
  <c r="M86" i="2"/>
  <c r="N86" i="2"/>
  <c r="M87" i="2"/>
  <c r="N87" i="2"/>
  <c r="M88" i="2"/>
  <c r="N88" i="2"/>
  <c r="M89" i="2"/>
  <c r="N89" i="2"/>
  <c r="M90" i="2"/>
  <c r="N90" i="2"/>
  <c r="M91" i="2"/>
  <c r="N91" i="2"/>
  <c r="M92" i="2"/>
  <c r="N92" i="2"/>
  <c r="M93" i="2"/>
  <c r="N93" i="2"/>
  <c r="M94" i="2"/>
  <c r="N94" i="2"/>
  <c r="M95" i="2"/>
  <c r="N95" i="2"/>
  <c r="M96" i="2"/>
  <c r="N96" i="2"/>
  <c r="M97" i="2"/>
  <c r="N97" i="2"/>
  <c r="M98" i="2"/>
  <c r="N98" i="2"/>
  <c r="M99" i="2"/>
  <c r="N99" i="2"/>
  <c r="M100" i="2"/>
  <c r="N100" i="2"/>
  <c r="M101" i="2"/>
  <c r="N101" i="2"/>
  <c r="M102" i="2"/>
  <c r="N102" i="2"/>
  <c r="M103" i="2"/>
  <c r="N103" i="2"/>
  <c r="M104" i="2"/>
  <c r="N104" i="2"/>
  <c r="M105" i="2"/>
  <c r="N105" i="2"/>
  <c r="M106" i="2"/>
  <c r="N106" i="2"/>
  <c r="M107" i="2"/>
  <c r="N107" i="2"/>
  <c r="M108" i="2"/>
  <c r="N108" i="2"/>
  <c r="M109" i="2"/>
  <c r="N109" i="2"/>
  <c r="M110" i="2"/>
  <c r="N110" i="2"/>
  <c r="M111" i="2"/>
  <c r="N111" i="2"/>
  <c r="M112" i="2"/>
  <c r="N112" i="2"/>
  <c r="M113" i="2"/>
  <c r="N113" i="2"/>
  <c r="M114" i="2"/>
  <c r="N114" i="2"/>
  <c r="M115" i="2"/>
  <c r="N115" i="2"/>
  <c r="M116" i="2"/>
  <c r="N116" i="2"/>
  <c r="M117" i="2"/>
  <c r="N117" i="2"/>
  <c r="M118" i="2"/>
  <c r="N118" i="2"/>
  <c r="M119" i="2"/>
  <c r="N119" i="2"/>
  <c r="M120" i="2"/>
  <c r="N120" i="2"/>
  <c r="M121" i="2"/>
  <c r="N121" i="2"/>
  <c r="M122" i="2"/>
  <c r="N122" i="2"/>
  <c r="M123" i="2"/>
  <c r="N123" i="2"/>
  <c r="M124" i="2"/>
  <c r="N124" i="2"/>
  <c r="M125" i="2"/>
  <c r="N125" i="2"/>
  <c r="M126" i="2"/>
  <c r="N126" i="2"/>
  <c r="M127" i="2"/>
  <c r="N127" i="2"/>
  <c r="M128" i="2"/>
  <c r="N128" i="2"/>
  <c r="M129" i="2"/>
  <c r="N129" i="2"/>
  <c r="M130" i="2"/>
  <c r="N130" i="2"/>
  <c r="M131" i="2"/>
  <c r="N131" i="2"/>
  <c r="M132" i="2"/>
  <c r="N132" i="2"/>
  <c r="M133" i="2"/>
  <c r="N133" i="2"/>
  <c r="M134" i="2"/>
  <c r="N134" i="2"/>
  <c r="M135" i="2"/>
  <c r="N135" i="2"/>
  <c r="M136" i="2"/>
  <c r="N136" i="2"/>
  <c r="M137" i="2"/>
  <c r="N137" i="2"/>
  <c r="M138" i="2"/>
  <c r="N138" i="2"/>
  <c r="M139" i="2"/>
  <c r="N139" i="2"/>
  <c r="M140" i="2"/>
  <c r="N140" i="2"/>
  <c r="M141" i="2"/>
  <c r="N141" i="2"/>
  <c r="M142" i="2"/>
  <c r="N142" i="2"/>
  <c r="M143" i="2"/>
  <c r="N143" i="2"/>
  <c r="M144" i="2"/>
  <c r="N144" i="2"/>
  <c r="M145" i="2"/>
  <c r="N145" i="2"/>
  <c r="M146" i="2"/>
  <c r="N146" i="2"/>
  <c r="M147" i="2"/>
  <c r="N147" i="2"/>
  <c r="M148" i="2"/>
  <c r="N148" i="2"/>
  <c r="M149" i="2"/>
  <c r="N149" i="2"/>
  <c r="M150" i="2"/>
  <c r="N150" i="2"/>
  <c r="M151" i="2"/>
  <c r="N151" i="2"/>
  <c r="M152" i="2"/>
  <c r="N152" i="2"/>
  <c r="M153" i="2"/>
  <c r="N153" i="2"/>
  <c r="M154" i="2"/>
  <c r="N154" i="2"/>
  <c r="M155" i="2"/>
  <c r="N155" i="2"/>
  <c r="M156" i="2"/>
  <c r="N156" i="2"/>
  <c r="M157" i="2"/>
  <c r="N157" i="2"/>
  <c r="M158" i="2"/>
  <c r="N158" i="2"/>
  <c r="M159" i="2"/>
  <c r="N159" i="2"/>
  <c r="M160" i="2"/>
  <c r="N160" i="2"/>
  <c r="M161" i="2"/>
  <c r="N161" i="2"/>
  <c r="M162" i="2"/>
  <c r="N162" i="2"/>
  <c r="M163" i="2"/>
  <c r="N163" i="2"/>
  <c r="M164" i="2"/>
  <c r="N164" i="2"/>
  <c r="M165" i="2"/>
  <c r="N165" i="2"/>
  <c r="M166" i="2"/>
  <c r="N166" i="2"/>
  <c r="M167" i="2"/>
  <c r="N167" i="2"/>
  <c r="M168" i="2"/>
  <c r="N168" i="2"/>
  <c r="M169" i="2"/>
  <c r="N169" i="2"/>
  <c r="M170" i="2"/>
  <c r="N170" i="2"/>
  <c r="M171" i="2"/>
  <c r="N171" i="2"/>
  <c r="M172" i="2"/>
  <c r="N172" i="2"/>
  <c r="M173" i="2"/>
  <c r="N173" i="2"/>
  <c r="M174" i="2"/>
  <c r="N174" i="2"/>
  <c r="M175" i="2"/>
  <c r="N175" i="2"/>
  <c r="M176" i="2"/>
  <c r="N176" i="2"/>
  <c r="M177" i="2"/>
  <c r="N177" i="2"/>
  <c r="M178" i="2"/>
  <c r="N178" i="2"/>
  <c r="M179" i="2"/>
  <c r="N179" i="2"/>
  <c r="M180" i="2"/>
  <c r="N180" i="2"/>
  <c r="M181" i="2"/>
  <c r="N181" i="2"/>
  <c r="M182" i="2"/>
  <c r="N182" i="2"/>
  <c r="M183" i="2"/>
  <c r="N183" i="2"/>
  <c r="M184" i="2"/>
  <c r="N184" i="2"/>
  <c r="M185" i="2"/>
  <c r="N185" i="2"/>
  <c r="M186" i="2"/>
  <c r="N186" i="2"/>
  <c r="M187" i="2"/>
  <c r="N187" i="2"/>
  <c r="M188" i="2"/>
  <c r="N188" i="2"/>
  <c r="M189" i="2"/>
  <c r="N189" i="2"/>
  <c r="M190" i="2"/>
  <c r="N190" i="2"/>
  <c r="M191" i="2"/>
  <c r="N191" i="2"/>
  <c r="M192" i="2"/>
  <c r="N192" i="2"/>
  <c r="M193" i="2"/>
  <c r="N193" i="2"/>
  <c r="M194" i="2"/>
  <c r="N194" i="2"/>
  <c r="M195" i="2"/>
  <c r="N195" i="2"/>
  <c r="M196" i="2"/>
  <c r="N196" i="2"/>
  <c r="M197" i="2"/>
  <c r="N197" i="2"/>
  <c r="M198" i="2"/>
  <c r="N198" i="2"/>
  <c r="M199" i="2"/>
  <c r="N199" i="2"/>
  <c r="M200" i="2"/>
  <c r="N200" i="2"/>
  <c r="M201" i="2"/>
  <c r="N201" i="2"/>
  <c r="M202" i="2"/>
  <c r="N202" i="2"/>
  <c r="M203" i="2"/>
  <c r="N203" i="2"/>
  <c r="M204" i="2"/>
  <c r="N204" i="2"/>
  <c r="M205" i="2"/>
  <c r="N205" i="2"/>
  <c r="M206" i="2"/>
  <c r="N206" i="2"/>
  <c r="M207" i="2"/>
  <c r="N207" i="2"/>
  <c r="M208" i="2"/>
  <c r="N208" i="2"/>
  <c r="M209" i="2"/>
  <c r="N209" i="2"/>
  <c r="M210" i="2"/>
  <c r="N210" i="2"/>
  <c r="M211" i="2"/>
  <c r="N211" i="2"/>
  <c r="M212" i="2"/>
  <c r="N212" i="2"/>
  <c r="M213" i="2"/>
  <c r="N213" i="2"/>
  <c r="M214" i="2"/>
  <c r="N214" i="2"/>
  <c r="M215" i="2"/>
  <c r="N215" i="2"/>
  <c r="M216" i="2"/>
  <c r="N216" i="2"/>
  <c r="M217" i="2"/>
  <c r="N217" i="2"/>
  <c r="M218" i="2"/>
  <c r="N218" i="2"/>
  <c r="M219" i="2"/>
  <c r="N219" i="2"/>
  <c r="M220" i="2"/>
  <c r="N220" i="2"/>
  <c r="M221" i="2"/>
  <c r="N221" i="2"/>
  <c r="M222" i="2"/>
  <c r="N222" i="2"/>
  <c r="M223" i="2"/>
  <c r="N223" i="2"/>
  <c r="M224" i="2"/>
  <c r="N224" i="2"/>
  <c r="M225" i="2"/>
  <c r="N225" i="2"/>
  <c r="M226" i="2"/>
  <c r="N226" i="2"/>
  <c r="M227" i="2"/>
  <c r="N227" i="2"/>
  <c r="M228" i="2"/>
  <c r="N228" i="2"/>
  <c r="M229" i="2"/>
  <c r="N229" i="2"/>
  <c r="M230" i="2"/>
  <c r="N230" i="2"/>
  <c r="M231" i="2"/>
  <c r="N231" i="2"/>
  <c r="M232" i="2"/>
  <c r="N232" i="2"/>
  <c r="M233" i="2"/>
  <c r="N233" i="2"/>
  <c r="M234" i="2"/>
  <c r="N234" i="2"/>
  <c r="M235" i="2"/>
  <c r="N235" i="2"/>
  <c r="M236" i="2"/>
  <c r="N236" i="2"/>
  <c r="M237" i="2"/>
  <c r="N237" i="2"/>
  <c r="M238" i="2"/>
  <c r="N238" i="2"/>
  <c r="M239" i="2"/>
  <c r="N239" i="2"/>
  <c r="M240" i="2"/>
  <c r="N240" i="2"/>
  <c r="M241" i="2"/>
  <c r="N241" i="2"/>
  <c r="M242" i="2"/>
  <c r="N242" i="2"/>
  <c r="M243" i="2"/>
  <c r="N243" i="2"/>
  <c r="M244" i="2"/>
  <c r="N244" i="2"/>
  <c r="M245" i="2"/>
  <c r="N245" i="2"/>
  <c r="M246" i="2"/>
  <c r="N246" i="2"/>
  <c r="M247" i="2"/>
  <c r="N247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9" i="2"/>
  <c r="Q228" i="2"/>
  <c r="Q227" i="2"/>
  <c r="Q226" i="2"/>
  <c r="Q225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5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M25" i="2"/>
  <c r="N25" i="2"/>
  <c r="M24" i="2"/>
  <c r="N24" i="2"/>
  <c r="M23" i="2"/>
  <c r="N23" i="2"/>
  <c r="M22" i="2"/>
  <c r="N22" i="2"/>
  <c r="M21" i="2"/>
  <c r="N21" i="2"/>
  <c r="M20" i="2"/>
  <c r="N20" i="2"/>
  <c r="M19" i="2"/>
  <c r="N19" i="2"/>
  <c r="M18" i="2"/>
  <c r="N18" i="2"/>
  <c r="M17" i="2"/>
  <c r="N17" i="2"/>
  <c r="M16" i="2"/>
  <c r="N16" i="2"/>
  <c r="M15" i="2"/>
  <c r="N15" i="2"/>
  <c r="M14" i="2"/>
  <c r="N14" i="2"/>
  <c r="M13" i="2"/>
  <c r="N13" i="2"/>
  <c r="M12" i="2"/>
  <c r="N12" i="2"/>
  <c r="M11" i="2"/>
  <c r="N11" i="2"/>
  <c r="M10" i="2"/>
  <c r="N10" i="2"/>
  <c r="M9" i="2"/>
  <c r="N9" i="2"/>
  <c r="M8" i="2"/>
  <c r="N8" i="2"/>
  <c r="M7" i="2"/>
  <c r="N7" i="2"/>
  <c r="M6" i="2"/>
  <c r="N6" i="2"/>
  <c r="M5" i="2"/>
  <c r="N5" i="2"/>
  <c r="M4" i="2"/>
  <c r="N4" i="2"/>
  <c r="K2" i="2"/>
  <c r="R2" i="2"/>
  <c r="Q2" i="2"/>
  <c r="X247" i="2"/>
  <c r="Y247" i="2"/>
  <c r="Z247" i="2"/>
  <c r="AA247" i="2"/>
  <c r="AB247" i="2"/>
  <c r="AH247" i="2"/>
  <c r="AK247" i="2"/>
  <c r="AJ247" i="2"/>
  <c r="AI247" i="2"/>
  <c r="X246" i="2"/>
  <c r="Y246" i="2"/>
  <c r="Z246" i="2"/>
  <c r="AA246" i="2"/>
  <c r="AB246" i="2"/>
  <c r="AH246" i="2"/>
  <c r="AK246" i="2"/>
  <c r="AJ246" i="2"/>
  <c r="AI246" i="2"/>
  <c r="X245" i="2"/>
  <c r="Y245" i="2"/>
  <c r="Z245" i="2"/>
  <c r="AA245" i="2"/>
  <c r="AB245" i="2"/>
  <c r="AH245" i="2"/>
  <c r="AK245" i="2"/>
  <c r="AJ245" i="2"/>
  <c r="AI245" i="2"/>
  <c r="X244" i="2"/>
  <c r="Y244" i="2"/>
  <c r="Z244" i="2"/>
  <c r="AA244" i="2"/>
  <c r="AB244" i="2"/>
  <c r="AH244" i="2"/>
  <c r="AK244" i="2"/>
  <c r="AJ244" i="2"/>
  <c r="AI244" i="2"/>
  <c r="X243" i="2"/>
  <c r="Y243" i="2"/>
  <c r="Z243" i="2"/>
  <c r="AA243" i="2"/>
  <c r="AB243" i="2"/>
  <c r="AH243" i="2"/>
  <c r="AK243" i="2"/>
  <c r="AJ243" i="2"/>
  <c r="AI243" i="2"/>
  <c r="X242" i="2"/>
  <c r="Y242" i="2"/>
  <c r="Z242" i="2"/>
  <c r="AA242" i="2"/>
  <c r="AB242" i="2"/>
  <c r="AH242" i="2"/>
  <c r="AK242" i="2"/>
  <c r="AJ242" i="2"/>
  <c r="AI242" i="2"/>
  <c r="X241" i="2"/>
  <c r="Y241" i="2"/>
  <c r="Z241" i="2"/>
  <c r="AA241" i="2"/>
  <c r="AB241" i="2"/>
  <c r="AH241" i="2"/>
  <c r="AK241" i="2"/>
  <c r="AJ241" i="2"/>
  <c r="AI241" i="2"/>
  <c r="X240" i="2"/>
  <c r="Y240" i="2"/>
  <c r="Z240" i="2"/>
  <c r="AA240" i="2"/>
  <c r="AB240" i="2"/>
  <c r="AH240" i="2"/>
  <c r="AK240" i="2"/>
  <c r="AJ240" i="2"/>
  <c r="AI240" i="2"/>
  <c r="X239" i="2"/>
  <c r="Y239" i="2"/>
  <c r="Z239" i="2"/>
  <c r="AA239" i="2"/>
  <c r="AB239" i="2"/>
  <c r="AH239" i="2"/>
  <c r="AK239" i="2"/>
  <c r="AJ239" i="2"/>
  <c r="AI239" i="2"/>
  <c r="X238" i="2"/>
  <c r="Y238" i="2"/>
  <c r="Z238" i="2"/>
  <c r="AA238" i="2"/>
  <c r="AB238" i="2"/>
  <c r="AH238" i="2"/>
  <c r="AK238" i="2"/>
  <c r="AJ238" i="2"/>
  <c r="AI238" i="2"/>
  <c r="X237" i="2"/>
  <c r="Y237" i="2"/>
  <c r="Z237" i="2"/>
  <c r="AA237" i="2"/>
  <c r="AB237" i="2"/>
  <c r="AH237" i="2"/>
  <c r="AK237" i="2"/>
  <c r="AJ237" i="2"/>
  <c r="AI237" i="2"/>
  <c r="X236" i="2"/>
  <c r="Y236" i="2"/>
  <c r="Z236" i="2"/>
  <c r="AA236" i="2"/>
  <c r="AB236" i="2"/>
  <c r="AH236" i="2"/>
  <c r="AK236" i="2"/>
  <c r="AJ236" i="2"/>
  <c r="AI236" i="2"/>
  <c r="X235" i="2"/>
  <c r="Y235" i="2"/>
  <c r="Z235" i="2"/>
  <c r="AA235" i="2"/>
  <c r="AB235" i="2"/>
  <c r="AH235" i="2"/>
  <c r="AK235" i="2"/>
  <c r="AJ235" i="2"/>
  <c r="AI235" i="2"/>
  <c r="X234" i="2"/>
  <c r="Y234" i="2"/>
  <c r="Z234" i="2"/>
  <c r="AA234" i="2"/>
  <c r="AB234" i="2"/>
  <c r="AH234" i="2"/>
  <c r="AK234" i="2"/>
  <c r="AJ234" i="2"/>
  <c r="AI234" i="2"/>
  <c r="X233" i="2"/>
  <c r="Y233" i="2"/>
  <c r="Z233" i="2"/>
  <c r="AA233" i="2"/>
  <c r="AB233" i="2"/>
  <c r="AH233" i="2"/>
  <c r="AK233" i="2"/>
  <c r="AJ233" i="2"/>
  <c r="AI233" i="2"/>
  <c r="X232" i="2"/>
  <c r="Y232" i="2"/>
  <c r="Z232" i="2"/>
  <c r="AA232" i="2"/>
  <c r="AB232" i="2"/>
  <c r="AH232" i="2"/>
  <c r="AK232" i="2"/>
  <c r="AJ232" i="2"/>
  <c r="AI232" i="2"/>
  <c r="X231" i="2"/>
  <c r="Y231" i="2"/>
  <c r="Z231" i="2"/>
  <c r="AA231" i="2"/>
  <c r="AB231" i="2"/>
  <c r="AH231" i="2"/>
  <c r="AK231" i="2"/>
  <c r="AJ231" i="2"/>
  <c r="AI231" i="2"/>
  <c r="X230" i="2"/>
  <c r="Y230" i="2"/>
  <c r="Z230" i="2"/>
  <c r="AA230" i="2"/>
  <c r="AB230" i="2"/>
  <c r="AH230" i="2"/>
  <c r="AK230" i="2"/>
  <c r="AJ230" i="2"/>
  <c r="AI230" i="2"/>
  <c r="X229" i="2"/>
  <c r="Y229" i="2"/>
  <c r="Z229" i="2"/>
  <c r="AA229" i="2"/>
  <c r="AB229" i="2"/>
  <c r="AH229" i="2"/>
  <c r="AK229" i="2"/>
  <c r="AJ229" i="2"/>
  <c r="AI229" i="2"/>
  <c r="X228" i="2"/>
  <c r="Y228" i="2"/>
  <c r="Z228" i="2"/>
  <c r="AA228" i="2"/>
  <c r="AB228" i="2"/>
  <c r="AH228" i="2"/>
  <c r="AK228" i="2"/>
  <c r="AJ228" i="2"/>
  <c r="AI228" i="2"/>
  <c r="X227" i="2"/>
  <c r="Y227" i="2"/>
  <c r="Z227" i="2"/>
  <c r="AA227" i="2"/>
  <c r="AB227" i="2"/>
  <c r="AH227" i="2"/>
  <c r="AK227" i="2"/>
  <c r="AJ227" i="2"/>
  <c r="AI227" i="2"/>
  <c r="X226" i="2"/>
  <c r="Y226" i="2"/>
  <c r="Z226" i="2"/>
  <c r="AA226" i="2"/>
  <c r="AB226" i="2"/>
  <c r="AH226" i="2"/>
  <c r="AK226" i="2"/>
  <c r="AJ226" i="2"/>
  <c r="AI226" i="2"/>
  <c r="X225" i="2"/>
  <c r="Y225" i="2"/>
  <c r="Z225" i="2"/>
  <c r="AA225" i="2"/>
  <c r="AB225" i="2"/>
  <c r="AH225" i="2"/>
  <c r="AK225" i="2"/>
  <c r="AJ225" i="2"/>
  <c r="AI225" i="2"/>
  <c r="X224" i="2"/>
  <c r="Y224" i="2"/>
  <c r="Z224" i="2"/>
  <c r="AA224" i="2"/>
  <c r="AB224" i="2"/>
  <c r="AH224" i="2"/>
  <c r="AK224" i="2"/>
  <c r="AJ224" i="2"/>
  <c r="AI224" i="2"/>
  <c r="X223" i="2"/>
  <c r="Y223" i="2"/>
  <c r="Z223" i="2"/>
  <c r="AA223" i="2"/>
  <c r="AB223" i="2"/>
  <c r="AH223" i="2"/>
  <c r="AK223" i="2"/>
  <c r="AJ223" i="2"/>
  <c r="AI223" i="2"/>
  <c r="X222" i="2"/>
  <c r="Y222" i="2"/>
  <c r="Z222" i="2"/>
  <c r="AA222" i="2"/>
  <c r="AB222" i="2"/>
  <c r="AH222" i="2"/>
  <c r="AK222" i="2"/>
  <c r="AJ222" i="2"/>
  <c r="AI222" i="2"/>
  <c r="X221" i="2"/>
  <c r="Y221" i="2"/>
  <c r="Z221" i="2"/>
  <c r="AA221" i="2"/>
  <c r="AB221" i="2"/>
  <c r="AH221" i="2"/>
  <c r="AK221" i="2"/>
  <c r="AJ221" i="2"/>
  <c r="AI221" i="2"/>
  <c r="X220" i="2"/>
  <c r="Y220" i="2"/>
  <c r="Z220" i="2"/>
  <c r="AA220" i="2"/>
  <c r="AB220" i="2"/>
  <c r="AH220" i="2"/>
  <c r="AK220" i="2"/>
  <c r="AJ220" i="2"/>
  <c r="AI220" i="2"/>
  <c r="X219" i="2"/>
  <c r="Y219" i="2"/>
  <c r="Z219" i="2"/>
  <c r="AA219" i="2"/>
  <c r="AB219" i="2"/>
  <c r="AH219" i="2"/>
  <c r="AK219" i="2"/>
  <c r="AJ219" i="2"/>
  <c r="AI219" i="2"/>
  <c r="X218" i="2"/>
  <c r="Y218" i="2"/>
  <c r="Z218" i="2"/>
  <c r="AA218" i="2"/>
  <c r="AB218" i="2"/>
  <c r="AH218" i="2"/>
  <c r="AK218" i="2"/>
  <c r="AJ218" i="2"/>
  <c r="AI218" i="2"/>
  <c r="X217" i="2"/>
  <c r="Y217" i="2"/>
  <c r="Z217" i="2"/>
  <c r="AA217" i="2"/>
  <c r="AB217" i="2"/>
  <c r="AH217" i="2"/>
  <c r="AK217" i="2"/>
  <c r="AJ217" i="2"/>
  <c r="AI217" i="2"/>
  <c r="X216" i="2"/>
  <c r="Y216" i="2"/>
  <c r="Z216" i="2"/>
  <c r="AA216" i="2"/>
  <c r="AB216" i="2"/>
  <c r="AH216" i="2"/>
  <c r="AK216" i="2"/>
  <c r="AJ216" i="2"/>
  <c r="AI216" i="2"/>
  <c r="X215" i="2"/>
  <c r="Y215" i="2"/>
  <c r="Z215" i="2"/>
  <c r="AA215" i="2"/>
  <c r="AB215" i="2"/>
  <c r="AH215" i="2"/>
  <c r="AK215" i="2"/>
  <c r="AJ215" i="2"/>
  <c r="AI215" i="2"/>
  <c r="X214" i="2"/>
  <c r="Y214" i="2"/>
  <c r="Z214" i="2"/>
  <c r="AA214" i="2"/>
  <c r="AB214" i="2"/>
  <c r="AH214" i="2"/>
  <c r="AK214" i="2"/>
  <c r="AJ214" i="2"/>
  <c r="AI214" i="2"/>
  <c r="X213" i="2"/>
  <c r="Y213" i="2"/>
  <c r="Z213" i="2"/>
  <c r="AA213" i="2"/>
  <c r="AB213" i="2"/>
  <c r="AH213" i="2"/>
  <c r="AK213" i="2"/>
  <c r="AJ213" i="2"/>
  <c r="AI213" i="2"/>
  <c r="X212" i="2"/>
  <c r="Y212" i="2"/>
  <c r="Z212" i="2"/>
  <c r="AA212" i="2"/>
  <c r="AB212" i="2"/>
  <c r="AH212" i="2"/>
  <c r="AK212" i="2"/>
  <c r="AJ212" i="2"/>
  <c r="AI212" i="2"/>
  <c r="X211" i="2"/>
  <c r="Y211" i="2"/>
  <c r="Z211" i="2"/>
  <c r="AA211" i="2"/>
  <c r="AB211" i="2"/>
  <c r="AH211" i="2"/>
  <c r="AK211" i="2"/>
  <c r="AJ211" i="2"/>
  <c r="AI211" i="2"/>
  <c r="X210" i="2"/>
  <c r="Y210" i="2"/>
  <c r="Z210" i="2"/>
  <c r="AA210" i="2"/>
  <c r="AB210" i="2"/>
  <c r="AH210" i="2"/>
  <c r="AK210" i="2"/>
  <c r="AJ210" i="2"/>
  <c r="AI210" i="2"/>
  <c r="X209" i="2"/>
  <c r="Y209" i="2"/>
  <c r="Z209" i="2"/>
  <c r="AA209" i="2"/>
  <c r="AB209" i="2"/>
  <c r="AH209" i="2"/>
  <c r="AK209" i="2"/>
  <c r="AJ209" i="2"/>
  <c r="AI209" i="2"/>
  <c r="X208" i="2"/>
  <c r="Y208" i="2"/>
  <c r="Z208" i="2"/>
  <c r="AA208" i="2"/>
  <c r="AB208" i="2"/>
  <c r="AH208" i="2"/>
  <c r="AK208" i="2"/>
  <c r="AJ208" i="2"/>
  <c r="AI208" i="2"/>
  <c r="X207" i="2"/>
  <c r="Y207" i="2"/>
  <c r="Z207" i="2"/>
  <c r="AA207" i="2"/>
  <c r="AB207" i="2"/>
  <c r="AH207" i="2"/>
  <c r="AK207" i="2"/>
  <c r="AJ207" i="2"/>
  <c r="AI207" i="2"/>
  <c r="X206" i="2"/>
  <c r="Y206" i="2"/>
  <c r="Z206" i="2"/>
  <c r="AA206" i="2"/>
  <c r="AB206" i="2"/>
  <c r="AH206" i="2"/>
  <c r="AK206" i="2"/>
  <c r="AJ206" i="2"/>
  <c r="AI206" i="2"/>
  <c r="X205" i="2"/>
  <c r="Y205" i="2"/>
  <c r="Z205" i="2"/>
  <c r="AA205" i="2"/>
  <c r="AB205" i="2"/>
  <c r="AH205" i="2"/>
  <c r="AK205" i="2"/>
  <c r="AJ205" i="2"/>
  <c r="AI205" i="2"/>
  <c r="X204" i="2"/>
  <c r="Y204" i="2"/>
  <c r="Z204" i="2"/>
  <c r="AA204" i="2"/>
  <c r="AB204" i="2"/>
  <c r="AH204" i="2"/>
  <c r="AK204" i="2"/>
  <c r="AJ204" i="2"/>
  <c r="AI204" i="2"/>
  <c r="X203" i="2"/>
  <c r="Y203" i="2"/>
  <c r="Z203" i="2"/>
  <c r="AA203" i="2"/>
  <c r="AB203" i="2"/>
  <c r="AH203" i="2"/>
  <c r="AK203" i="2"/>
  <c r="AJ203" i="2"/>
  <c r="AI203" i="2"/>
  <c r="X202" i="2"/>
  <c r="Y202" i="2"/>
  <c r="Z202" i="2"/>
  <c r="AA202" i="2"/>
  <c r="AB202" i="2"/>
  <c r="AH202" i="2"/>
  <c r="AK202" i="2"/>
  <c r="AJ202" i="2"/>
  <c r="AI202" i="2"/>
  <c r="X201" i="2"/>
  <c r="Y201" i="2"/>
  <c r="Z201" i="2"/>
  <c r="AA201" i="2"/>
  <c r="AB201" i="2"/>
  <c r="AH201" i="2"/>
  <c r="AK201" i="2"/>
  <c r="AJ201" i="2"/>
  <c r="AI201" i="2"/>
  <c r="X200" i="2"/>
  <c r="Y200" i="2"/>
  <c r="Z200" i="2"/>
  <c r="AA200" i="2"/>
  <c r="AB200" i="2"/>
  <c r="AH200" i="2"/>
  <c r="AK200" i="2"/>
  <c r="AJ200" i="2"/>
  <c r="AI200" i="2"/>
  <c r="X199" i="2"/>
  <c r="Y199" i="2"/>
  <c r="Z199" i="2"/>
  <c r="AA199" i="2"/>
  <c r="AB199" i="2"/>
  <c r="AH199" i="2"/>
  <c r="AK199" i="2"/>
  <c r="AJ199" i="2"/>
  <c r="AI199" i="2"/>
  <c r="X198" i="2"/>
  <c r="Y198" i="2"/>
  <c r="Z198" i="2"/>
  <c r="AA198" i="2"/>
  <c r="AB198" i="2"/>
  <c r="AH198" i="2"/>
  <c r="AK198" i="2"/>
  <c r="AJ198" i="2"/>
  <c r="AI198" i="2"/>
  <c r="X197" i="2"/>
  <c r="Y197" i="2"/>
  <c r="Z197" i="2"/>
  <c r="AA197" i="2"/>
  <c r="AB197" i="2"/>
  <c r="AH197" i="2"/>
  <c r="AK197" i="2"/>
  <c r="AJ197" i="2"/>
  <c r="AI197" i="2"/>
  <c r="X196" i="2"/>
  <c r="Y196" i="2"/>
  <c r="Z196" i="2"/>
  <c r="AA196" i="2"/>
  <c r="AB196" i="2"/>
  <c r="AH196" i="2"/>
  <c r="AK196" i="2"/>
  <c r="AJ196" i="2"/>
  <c r="AI196" i="2"/>
  <c r="X195" i="2"/>
  <c r="Y195" i="2"/>
  <c r="Z195" i="2"/>
  <c r="AA195" i="2"/>
  <c r="AB195" i="2"/>
  <c r="AH195" i="2"/>
  <c r="AK195" i="2"/>
  <c r="AJ195" i="2"/>
  <c r="AI195" i="2"/>
  <c r="X194" i="2"/>
  <c r="Y194" i="2"/>
  <c r="Z194" i="2"/>
  <c r="AA194" i="2"/>
  <c r="AB194" i="2"/>
  <c r="AH194" i="2"/>
  <c r="AK194" i="2"/>
  <c r="AJ194" i="2"/>
  <c r="AI194" i="2"/>
  <c r="X193" i="2"/>
  <c r="Y193" i="2"/>
  <c r="Z193" i="2"/>
  <c r="AA193" i="2"/>
  <c r="AB193" i="2"/>
  <c r="AH193" i="2"/>
  <c r="AK193" i="2"/>
  <c r="AJ193" i="2"/>
  <c r="AI193" i="2"/>
  <c r="X192" i="2"/>
  <c r="Y192" i="2"/>
  <c r="Z192" i="2"/>
  <c r="AA192" i="2"/>
  <c r="AB192" i="2"/>
  <c r="AH192" i="2"/>
  <c r="AK192" i="2"/>
  <c r="AJ192" i="2"/>
  <c r="AI192" i="2"/>
  <c r="X191" i="2"/>
  <c r="Y191" i="2"/>
  <c r="Z191" i="2"/>
  <c r="AA191" i="2"/>
  <c r="AB191" i="2"/>
  <c r="AH191" i="2"/>
  <c r="AK191" i="2"/>
  <c r="AJ191" i="2"/>
  <c r="AI191" i="2"/>
  <c r="X190" i="2"/>
  <c r="Y190" i="2"/>
  <c r="Z190" i="2"/>
  <c r="AA190" i="2"/>
  <c r="AB190" i="2"/>
  <c r="AH190" i="2"/>
  <c r="AK190" i="2"/>
  <c r="AJ190" i="2"/>
  <c r="AI190" i="2"/>
  <c r="X189" i="2"/>
  <c r="Y189" i="2"/>
  <c r="Z189" i="2"/>
  <c r="AA189" i="2"/>
  <c r="AB189" i="2"/>
  <c r="AH189" i="2"/>
  <c r="AK189" i="2"/>
  <c r="AJ189" i="2"/>
  <c r="AI189" i="2"/>
  <c r="X188" i="2"/>
  <c r="Y188" i="2"/>
  <c r="Z188" i="2"/>
  <c r="AA188" i="2"/>
  <c r="AB188" i="2"/>
  <c r="AH188" i="2"/>
  <c r="AK188" i="2"/>
  <c r="AJ188" i="2"/>
  <c r="AI188" i="2"/>
  <c r="X187" i="2"/>
  <c r="Y187" i="2"/>
  <c r="Z187" i="2"/>
  <c r="AA187" i="2"/>
  <c r="AB187" i="2"/>
  <c r="AH187" i="2"/>
  <c r="AK187" i="2"/>
  <c r="AJ187" i="2"/>
  <c r="AI187" i="2"/>
  <c r="X186" i="2"/>
  <c r="Y186" i="2"/>
  <c r="Z186" i="2"/>
  <c r="AA186" i="2"/>
  <c r="AB186" i="2"/>
  <c r="AH186" i="2"/>
  <c r="AK186" i="2"/>
  <c r="AJ186" i="2"/>
  <c r="AI186" i="2"/>
  <c r="X185" i="2"/>
  <c r="Y185" i="2"/>
  <c r="Z185" i="2"/>
  <c r="AA185" i="2"/>
  <c r="AB185" i="2"/>
  <c r="AH185" i="2"/>
  <c r="AK185" i="2"/>
  <c r="AJ185" i="2"/>
  <c r="AI185" i="2"/>
  <c r="X184" i="2"/>
  <c r="Y184" i="2"/>
  <c r="Z184" i="2"/>
  <c r="AA184" i="2"/>
  <c r="AB184" i="2"/>
  <c r="AH184" i="2"/>
  <c r="AK184" i="2"/>
  <c r="AJ184" i="2"/>
  <c r="AI184" i="2"/>
  <c r="X183" i="2"/>
  <c r="Y183" i="2"/>
  <c r="Z183" i="2"/>
  <c r="AA183" i="2"/>
  <c r="AB183" i="2"/>
  <c r="AH183" i="2"/>
  <c r="AK183" i="2"/>
  <c r="AJ183" i="2"/>
  <c r="AI183" i="2"/>
  <c r="X182" i="2"/>
  <c r="Y182" i="2"/>
  <c r="Z182" i="2"/>
  <c r="AA182" i="2"/>
  <c r="AB182" i="2"/>
  <c r="AH182" i="2"/>
  <c r="AK182" i="2"/>
  <c r="AJ182" i="2"/>
  <c r="AI182" i="2"/>
  <c r="X181" i="2"/>
  <c r="Y181" i="2"/>
  <c r="Z181" i="2"/>
  <c r="AA181" i="2"/>
  <c r="AB181" i="2"/>
  <c r="AH181" i="2"/>
  <c r="AK181" i="2"/>
  <c r="AJ181" i="2"/>
  <c r="AI181" i="2"/>
  <c r="X180" i="2"/>
  <c r="Y180" i="2"/>
  <c r="Z180" i="2"/>
  <c r="AA180" i="2"/>
  <c r="AB180" i="2"/>
  <c r="AH180" i="2"/>
  <c r="AK180" i="2"/>
  <c r="AJ180" i="2"/>
  <c r="AI180" i="2"/>
  <c r="X179" i="2"/>
  <c r="Y179" i="2"/>
  <c r="Z179" i="2"/>
  <c r="AA179" i="2"/>
  <c r="AB179" i="2"/>
  <c r="AH179" i="2"/>
  <c r="AK179" i="2"/>
  <c r="AJ179" i="2"/>
  <c r="AI179" i="2"/>
  <c r="X178" i="2"/>
  <c r="Y178" i="2"/>
  <c r="Z178" i="2"/>
  <c r="AA178" i="2"/>
  <c r="AB178" i="2"/>
  <c r="AH178" i="2"/>
  <c r="AK178" i="2"/>
  <c r="AJ178" i="2"/>
  <c r="AI178" i="2"/>
  <c r="X177" i="2"/>
  <c r="Y177" i="2"/>
  <c r="Z177" i="2"/>
  <c r="AA177" i="2"/>
  <c r="AB177" i="2"/>
  <c r="AH177" i="2"/>
  <c r="AK177" i="2"/>
  <c r="AJ177" i="2"/>
  <c r="AI177" i="2"/>
  <c r="X176" i="2"/>
  <c r="Y176" i="2"/>
  <c r="Z176" i="2"/>
  <c r="AA176" i="2"/>
  <c r="AB176" i="2"/>
  <c r="AH176" i="2"/>
  <c r="AK176" i="2"/>
  <c r="AJ176" i="2"/>
  <c r="AI176" i="2"/>
  <c r="X175" i="2"/>
  <c r="Y175" i="2"/>
  <c r="Z175" i="2"/>
  <c r="AA175" i="2"/>
  <c r="AB175" i="2"/>
  <c r="AH175" i="2"/>
  <c r="AK175" i="2"/>
  <c r="AJ175" i="2"/>
  <c r="AI175" i="2"/>
  <c r="X174" i="2"/>
  <c r="Y174" i="2"/>
  <c r="Z174" i="2"/>
  <c r="AA174" i="2"/>
  <c r="AB174" i="2"/>
  <c r="AH174" i="2"/>
  <c r="AK174" i="2"/>
  <c r="AJ174" i="2"/>
  <c r="AI174" i="2"/>
  <c r="X173" i="2"/>
  <c r="Y173" i="2"/>
  <c r="Z173" i="2"/>
  <c r="AA173" i="2"/>
  <c r="AB173" i="2"/>
  <c r="AH173" i="2"/>
  <c r="AK173" i="2"/>
  <c r="AJ173" i="2"/>
  <c r="AI173" i="2"/>
  <c r="X172" i="2"/>
  <c r="Y172" i="2"/>
  <c r="Z172" i="2"/>
  <c r="AA172" i="2"/>
  <c r="AB172" i="2"/>
  <c r="AH172" i="2"/>
  <c r="AK172" i="2"/>
  <c r="AJ172" i="2"/>
  <c r="AI172" i="2"/>
  <c r="X171" i="2"/>
  <c r="Y171" i="2"/>
  <c r="Z171" i="2"/>
  <c r="AA171" i="2"/>
  <c r="AB171" i="2"/>
  <c r="AH171" i="2"/>
  <c r="AK171" i="2"/>
  <c r="AJ171" i="2"/>
  <c r="AI171" i="2"/>
  <c r="X170" i="2"/>
  <c r="Y170" i="2"/>
  <c r="Z170" i="2"/>
  <c r="AA170" i="2"/>
  <c r="AB170" i="2"/>
  <c r="AH170" i="2"/>
  <c r="AK170" i="2"/>
  <c r="AJ170" i="2"/>
  <c r="AI170" i="2"/>
  <c r="X169" i="2"/>
  <c r="Y169" i="2"/>
  <c r="Z169" i="2"/>
  <c r="AA169" i="2"/>
  <c r="AB169" i="2"/>
  <c r="AH169" i="2"/>
  <c r="AK169" i="2"/>
  <c r="AJ169" i="2"/>
  <c r="AI169" i="2"/>
  <c r="X168" i="2"/>
  <c r="Y168" i="2"/>
  <c r="Z168" i="2"/>
  <c r="AA168" i="2"/>
  <c r="AB168" i="2"/>
  <c r="AH168" i="2"/>
  <c r="AK168" i="2"/>
  <c r="AJ168" i="2"/>
  <c r="AI168" i="2"/>
  <c r="X167" i="2"/>
  <c r="Y167" i="2"/>
  <c r="Z167" i="2"/>
  <c r="AA167" i="2"/>
  <c r="AB167" i="2"/>
  <c r="AH167" i="2"/>
  <c r="AK167" i="2"/>
  <c r="AJ167" i="2"/>
  <c r="AI167" i="2"/>
  <c r="X166" i="2"/>
  <c r="Y166" i="2"/>
  <c r="Z166" i="2"/>
  <c r="AA166" i="2"/>
  <c r="AB166" i="2"/>
  <c r="AH166" i="2"/>
  <c r="AK166" i="2"/>
  <c r="AJ166" i="2"/>
  <c r="AI166" i="2"/>
  <c r="X165" i="2"/>
  <c r="Y165" i="2"/>
  <c r="Z165" i="2"/>
  <c r="AA165" i="2"/>
  <c r="AB165" i="2"/>
  <c r="AH165" i="2"/>
  <c r="AK165" i="2"/>
  <c r="AJ165" i="2"/>
  <c r="AI165" i="2"/>
  <c r="X164" i="2"/>
  <c r="Y164" i="2"/>
  <c r="Z164" i="2"/>
  <c r="AA164" i="2"/>
  <c r="AB164" i="2"/>
  <c r="AH164" i="2"/>
  <c r="AK164" i="2"/>
  <c r="AJ164" i="2"/>
  <c r="AI164" i="2"/>
  <c r="X163" i="2"/>
  <c r="Y163" i="2"/>
  <c r="Z163" i="2"/>
  <c r="AA163" i="2"/>
  <c r="AB163" i="2"/>
  <c r="AH163" i="2"/>
  <c r="AK163" i="2"/>
  <c r="AJ163" i="2"/>
  <c r="AI163" i="2"/>
  <c r="X162" i="2"/>
  <c r="Y162" i="2"/>
  <c r="Z162" i="2"/>
  <c r="AA162" i="2"/>
  <c r="AB162" i="2"/>
  <c r="AH162" i="2"/>
  <c r="AK162" i="2"/>
  <c r="AJ162" i="2"/>
  <c r="AI162" i="2"/>
  <c r="X161" i="2"/>
  <c r="Y161" i="2"/>
  <c r="Z161" i="2"/>
  <c r="AA161" i="2"/>
  <c r="AB161" i="2"/>
  <c r="AH161" i="2"/>
  <c r="AK161" i="2"/>
  <c r="AJ161" i="2"/>
  <c r="AI161" i="2"/>
  <c r="X160" i="2"/>
  <c r="Y160" i="2"/>
  <c r="Z160" i="2"/>
  <c r="AA160" i="2"/>
  <c r="AB160" i="2"/>
  <c r="AH160" i="2"/>
  <c r="AK160" i="2"/>
  <c r="AJ160" i="2"/>
  <c r="AI160" i="2"/>
  <c r="X159" i="2"/>
  <c r="Y159" i="2"/>
  <c r="Z159" i="2"/>
  <c r="AA159" i="2"/>
  <c r="AB159" i="2"/>
  <c r="AH159" i="2"/>
  <c r="AK159" i="2"/>
  <c r="AJ159" i="2"/>
  <c r="AI159" i="2"/>
  <c r="X158" i="2"/>
  <c r="Y158" i="2"/>
  <c r="Z158" i="2"/>
  <c r="AA158" i="2"/>
  <c r="AB158" i="2"/>
  <c r="AH158" i="2"/>
  <c r="AK158" i="2"/>
  <c r="AJ158" i="2"/>
  <c r="AI158" i="2"/>
  <c r="X157" i="2"/>
  <c r="Y157" i="2"/>
  <c r="Z157" i="2"/>
  <c r="AA157" i="2"/>
  <c r="AB157" i="2"/>
  <c r="AH157" i="2"/>
  <c r="AK157" i="2"/>
  <c r="AJ157" i="2"/>
  <c r="AI157" i="2"/>
  <c r="X156" i="2"/>
  <c r="Y156" i="2"/>
  <c r="Z156" i="2"/>
  <c r="AA156" i="2"/>
  <c r="AB156" i="2"/>
  <c r="AH156" i="2"/>
  <c r="AK156" i="2"/>
  <c r="AJ156" i="2"/>
  <c r="AI156" i="2"/>
  <c r="X155" i="2"/>
  <c r="Y155" i="2"/>
  <c r="Z155" i="2"/>
  <c r="AA155" i="2"/>
  <c r="AB155" i="2"/>
  <c r="AH155" i="2"/>
  <c r="AK155" i="2"/>
  <c r="AJ155" i="2"/>
  <c r="AI155" i="2"/>
  <c r="X154" i="2"/>
  <c r="Y154" i="2"/>
  <c r="Z154" i="2"/>
  <c r="AA154" i="2"/>
  <c r="AB154" i="2"/>
  <c r="AH154" i="2"/>
  <c r="AK154" i="2"/>
  <c r="AJ154" i="2"/>
  <c r="AI154" i="2"/>
  <c r="X153" i="2"/>
  <c r="Y153" i="2"/>
  <c r="Z153" i="2"/>
  <c r="AA153" i="2"/>
  <c r="AB153" i="2"/>
  <c r="AH153" i="2"/>
  <c r="AK153" i="2"/>
  <c r="AJ153" i="2"/>
  <c r="AI153" i="2"/>
  <c r="X152" i="2"/>
  <c r="Y152" i="2"/>
  <c r="Z152" i="2"/>
  <c r="AA152" i="2"/>
  <c r="AB152" i="2"/>
  <c r="AH152" i="2"/>
  <c r="AK152" i="2"/>
  <c r="AJ152" i="2"/>
  <c r="AI152" i="2"/>
  <c r="X151" i="2"/>
  <c r="Y151" i="2"/>
  <c r="Z151" i="2"/>
  <c r="AA151" i="2"/>
  <c r="AB151" i="2"/>
  <c r="AH151" i="2"/>
  <c r="AK151" i="2"/>
  <c r="AJ151" i="2"/>
  <c r="AI151" i="2"/>
  <c r="X150" i="2"/>
  <c r="Y150" i="2"/>
  <c r="Z150" i="2"/>
  <c r="AA150" i="2"/>
  <c r="AB150" i="2"/>
  <c r="AH150" i="2"/>
  <c r="AK150" i="2"/>
  <c r="AJ150" i="2"/>
  <c r="AI150" i="2"/>
  <c r="X149" i="2"/>
  <c r="Y149" i="2"/>
  <c r="Z149" i="2"/>
  <c r="AA149" i="2"/>
  <c r="AB149" i="2"/>
  <c r="AH149" i="2"/>
  <c r="AK149" i="2"/>
  <c r="AJ149" i="2"/>
  <c r="AI149" i="2"/>
  <c r="X148" i="2"/>
  <c r="Y148" i="2"/>
  <c r="Z148" i="2"/>
  <c r="AA148" i="2"/>
  <c r="AB148" i="2"/>
  <c r="AH148" i="2"/>
  <c r="AK148" i="2"/>
  <c r="AJ148" i="2"/>
  <c r="AI148" i="2"/>
  <c r="X147" i="2"/>
  <c r="Y147" i="2"/>
  <c r="Z147" i="2"/>
  <c r="AA147" i="2"/>
  <c r="AB147" i="2"/>
  <c r="AH147" i="2"/>
  <c r="AK147" i="2"/>
  <c r="AJ147" i="2"/>
  <c r="AI147" i="2"/>
  <c r="X146" i="2"/>
  <c r="Y146" i="2"/>
  <c r="Z146" i="2"/>
  <c r="AA146" i="2"/>
  <c r="AB146" i="2"/>
  <c r="AH146" i="2"/>
  <c r="AK146" i="2"/>
  <c r="AJ146" i="2"/>
  <c r="AI146" i="2"/>
  <c r="X145" i="2"/>
  <c r="Y145" i="2"/>
  <c r="Z145" i="2"/>
  <c r="AA145" i="2"/>
  <c r="AB145" i="2"/>
  <c r="AH145" i="2"/>
  <c r="AK145" i="2"/>
  <c r="AJ145" i="2"/>
  <c r="AI145" i="2"/>
  <c r="X144" i="2"/>
  <c r="Y144" i="2"/>
  <c r="Z144" i="2"/>
  <c r="AA144" i="2"/>
  <c r="AB144" i="2"/>
  <c r="AH144" i="2"/>
  <c r="AK144" i="2"/>
  <c r="AJ144" i="2"/>
  <c r="AI144" i="2"/>
  <c r="X143" i="2"/>
  <c r="Y143" i="2"/>
  <c r="Z143" i="2"/>
  <c r="AA143" i="2"/>
  <c r="AB143" i="2"/>
  <c r="AH143" i="2"/>
  <c r="AK143" i="2"/>
  <c r="AJ143" i="2"/>
  <c r="AI143" i="2"/>
  <c r="X142" i="2"/>
  <c r="Y142" i="2"/>
  <c r="Z142" i="2"/>
  <c r="AA142" i="2"/>
  <c r="AB142" i="2"/>
  <c r="AH142" i="2"/>
  <c r="AK142" i="2"/>
  <c r="AJ142" i="2"/>
  <c r="AI142" i="2"/>
  <c r="X141" i="2"/>
  <c r="Y141" i="2"/>
  <c r="Z141" i="2"/>
  <c r="AA141" i="2"/>
  <c r="AB141" i="2"/>
  <c r="AH141" i="2"/>
  <c r="AK141" i="2"/>
  <c r="AJ141" i="2"/>
  <c r="AI141" i="2"/>
  <c r="X140" i="2"/>
  <c r="Y140" i="2"/>
  <c r="Z140" i="2"/>
  <c r="AA140" i="2"/>
  <c r="AB140" i="2"/>
  <c r="AH140" i="2"/>
  <c r="AK140" i="2"/>
  <c r="AJ140" i="2"/>
  <c r="AI140" i="2"/>
  <c r="X139" i="2"/>
  <c r="Y139" i="2"/>
  <c r="Z139" i="2"/>
  <c r="AA139" i="2"/>
  <c r="AB139" i="2"/>
  <c r="AH139" i="2"/>
  <c r="AK139" i="2"/>
  <c r="AJ139" i="2"/>
  <c r="AI139" i="2"/>
  <c r="X138" i="2"/>
  <c r="Y138" i="2"/>
  <c r="Z138" i="2"/>
  <c r="AA138" i="2"/>
  <c r="AB138" i="2"/>
  <c r="AH138" i="2"/>
  <c r="AK138" i="2"/>
  <c r="AJ138" i="2"/>
  <c r="AI138" i="2"/>
  <c r="X137" i="2"/>
  <c r="Y137" i="2"/>
  <c r="Z137" i="2"/>
  <c r="AA137" i="2"/>
  <c r="AB137" i="2"/>
  <c r="AH137" i="2"/>
  <c r="AK137" i="2"/>
  <c r="AJ137" i="2"/>
  <c r="AI137" i="2"/>
  <c r="X136" i="2"/>
  <c r="Y136" i="2"/>
  <c r="Z136" i="2"/>
  <c r="AA136" i="2"/>
  <c r="AB136" i="2"/>
  <c r="AH136" i="2"/>
  <c r="AK136" i="2"/>
  <c r="AJ136" i="2"/>
  <c r="AI136" i="2"/>
  <c r="X135" i="2"/>
  <c r="Y135" i="2"/>
  <c r="Z135" i="2"/>
  <c r="AA135" i="2"/>
  <c r="AB135" i="2"/>
  <c r="AH135" i="2"/>
  <c r="AK135" i="2"/>
  <c r="AJ135" i="2"/>
  <c r="AI135" i="2"/>
  <c r="X134" i="2"/>
  <c r="Y134" i="2"/>
  <c r="Z134" i="2"/>
  <c r="AA134" i="2"/>
  <c r="AB134" i="2"/>
  <c r="AH134" i="2"/>
  <c r="AK134" i="2"/>
  <c r="AJ134" i="2"/>
  <c r="AI134" i="2"/>
  <c r="X133" i="2"/>
  <c r="Y133" i="2"/>
  <c r="Z133" i="2"/>
  <c r="AA133" i="2"/>
  <c r="AB133" i="2"/>
  <c r="AH133" i="2"/>
  <c r="AK133" i="2"/>
  <c r="AJ133" i="2"/>
  <c r="AI133" i="2"/>
  <c r="X132" i="2"/>
  <c r="Y132" i="2"/>
  <c r="Z132" i="2"/>
  <c r="AA132" i="2"/>
  <c r="AB132" i="2"/>
  <c r="AH132" i="2"/>
  <c r="AK132" i="2"/>
  <c r="AJ132" i="2"/>
  <c r="AI132" i="2"/>
  <c r="X131" i="2"/>
  <c r="Y131" i="2"/>
  <c r="Z131" i="2"/>
  <c r="AA131" i="2"/>
  <c r="AB131" i="2"/>
  <c r="AH131" i="2"/>
  <c r="AK131" i="2"/>
  <c r="AJ131" i="2"/>
  <c r="AI131" i="2"/>
  <c r="X130" i="2"/>
  <c r="Y130" i="2"/>
  <c r="Z130" i="2"/>
  <c r="AA130" i="2"/>
  <c r="AB130" i="2"/>
  <c r="AH130" i="2"/>
  <c r="AK130" i="2"/>
  <c r="AJ130" i="2"/>
  <c r="AI130" i="2"/>
  <c r="X129" i="2"/>
  <c r="Y129" i="2"/>
  <c r="Z129" i="2"/>
  <c r="AA129" i="2"/>
  <c r="AB129" i="2"/>
  <c r="AH129" i="2"/>
  <c r="AK129" i="2"/>
  <c r="AJ129" i="2"/>
  <c r="AI129" i="2"/>
  <c r="X128" i="2"/>
  <c r="Y128" i="2"/>
  <c r="Z128" i="2"/>
  <c r="AA128" i="2"/>
  <c r="AB128" i="2"/>
  <c r="AH128" i="2"/>
  <c r="AK128" i="2"/>
  <c r="AJ128" i="2"/>
  <c r="AI128" i="2"/>
  <c r="X127" i="2"/>
  <c r="Y127" i="2"/>
  <c r="Z127" i="2"/>
  <c r="AA127" i="2"/>
  <c r="AB127" i="2"/>
  <c r="AH127" i="2"/>
  <c r="AK127" i="2"/>
  <c r="AJ127" i="2"/>
  <c r="AI127" i="2"/>
  <c r="X126" i="2"/>
  <c r="Y126" i="2"/>
  <c r="Z126" i="2"/>
  <c r="AA126" i="2"/>
  <c r="AB126" i="2"/>
  <c r="AH126" i="2"/>
  <c r="AK126" i="2"/>
  <c r="AJ126" i="2"/>
  <c r="AI126" i="2"/>
  <c r="X125" i="2"/>
  <c r="Y125" i="2"/>
  <c r="Z125" i="2"/>
  <c r="AA125" i="2"/>
  <c r="AB125" i="2"/>
  <c r="AH125" i="2"/>
  <c r="AK125" i="2"/>
  <c r="AJ125" i="2"/>
  <c r="AI125" i="2"/>
  <c r="X124" i="2"/>
  <c r="Y124" i="2"/>
  <c r="Z124" i="2"/>
  <c r="AA124" i="2"/>
  <c r="AB124" i="2"/>
  <c r="AH124" i="2"/>
  <c r="AK124" i="2"/>
  <c r="AJ124" i="2"/>
  <c r="AI124" i="2"/>
  <c r="X123" i="2"/>
  <c r="Y123" i="2"/>
  <c r="Z123" i="2"/>
  <c r="AA123" i="2"/>
  <c r="AB123" i="2"/>
  <c r="AH123" i="2"/>
  <c r="AK123" i="2"/>
  <c r="AJ123" i="2"/>
  <c r="AI123" i="2"/>
  <c r="X122" i="2"/>
  <c r="Y122" i="2"/>
  <c r="Z122" i="2"/>
  <c r="AA122" i="2"/>
  <c r="AB122" i="2"/>
  <c r="AH122" i="2"/>
  <c r="AK122" i="2"/>
  <c r="AJ122" i="2"/>
  <c r="AI122" i="2"/>
  <c r="X121" i="2"/>
  <c r="Y121" i="2"/>
  <c r="Z121" i="2"/>
  <c r="AA121" i="2"/>
  <c r="AB121" i="2"/>
  <c r="AH121" i="2"/>
  <c r="AK121" i="2"/>
  <c r="AJ121" i="2"/>
  <c r="AI121" i="2"/>
  <c r="X120" i="2"/>
  <c r="Y120" i="2"/>
  <c r="Z120" i="2"/>
  <c r="AA120" i="2"/>
  <c r="AB120" i="2"/>
  <c r="AH120" i="2"/>
  <c r="AK120" i="2"/>
  <c r="AJ120" i="2"/>
  <c r="AI120" i="2"/>
  <c r="X119" i="2"/>
  <c r="Y119" i="2"/>
  <c r="Z119" i="2"/>
  <c r="AA119" i="2"/>
  <c r="AB119" i="2"/>
  <c r="AH119" i="2"/>
  <c r="AK119" i="2"/>
  <c r="AJ119" i="2"/>
  <c r="AI119" i="2"/>
  <c r="X118" i="2"/>
  <c r="Y118" i="2"/>
  <c r="Z118" i="2"/>
  <c r="AA118" i="2"/>
  <c r="AB118" i="2"/>
  <c r="AH118" i="2"/>
  <c r="AK118" i="2"/>
  <c r="AJ118" i="2"/>
  <c r="AI118" i="2"/>
  <c r="X117" i="2"/>
  <c r="Y117" i="2"/>
  <c r="Z117" i="2"/>
  <c r="AA117" i="2"/>
  <c r="AB117" i="2"/>
  <c r="AH117" i="2"/>
  <c r="AK117" i="2"/>
  <c r="AJ117" i="2"/>
  <c r="AI117" i="2"/>
  <c r="X116" i="2"/>
  <c r="Y116" i="2"/>
  <c r="Z116" i="2"/>
  <c r="AA116" i="2"/>
  <c r="AB116" i="2"/>
  <c r="AH116" i="2"/>
  <c r="AK116" i="2"/>
  <c r="AJ116" i="2"/>
  <c r="AI116" i="2"/>
  <c r="X115" i="2"/>
  <c r="Y115" i="2"/>
  <c r="Z115" i="2"/>
  <c r="AA115" i="2"/>
  <c r="AB115" i="2"/>
  <c r="AH115" i="2"/>
  <c r="AK115" i="2"/>
  <c r="AJ115" i="2"/>
  <c r="AI115" i="2"/>
  <c r="X114" i="2"/>
  <c r="Y114" i="2"/>
  <c r="Z114" i="2"/>
  <c r="AA114" i="2"/>
  <c r="AB114" i="2"/>
  <c r="AH114" i="2"/>
  <c r="AK114" i="2"/>
  <c r="AJ114" i="2"/>
  <c r="AI114" i="2"/>
  <c r="X113" i="2"/>
  <c r="Y113" i="2"/>
  <c r="Z113" i="2"/>
  <c r="AA113" i="2"/>
  <c r="AB113" i="2"/>
  <c r="AH113" i="2"/>
  <c r="AK113" i="2"/>
  <c r="AJ113" i="2"/>
  <c r="AI113" i="2"/>
  <c r="X112" i="2"/>
  <c r="Y112" i="2"/>
  <c r="Z112" i="2"/>
  <c r="AA112" i="2"/>
  <c r="AB112" i="2"/>
  <c r="AH112" i="2"/>
  <c r="AK112" i="2"/>
  <c r="AJ112" i="2"/>
  <c r="AI112" i="2"/>
  <c r="X111" i="2"/>
  <c r="Y111" i="2"/>
  <c r="Z111" i="2"/>
  <c r="AA111" i="2"/>
  <c r="AB111" i="2"/>
  <c r="AH111" i="2"/>
  <c r="AK111" i="2"/>
  <c r="AJ111" i="2"/>
  <c r="AI111" i="2"/>
  <c r="X110" i="2"/>
  <c r="Y110" i="2"/>
  <c r="Z110" i="2"/>
  <c r="AA110" i="2"/>
  <c r="AB110" i="2"/>
  <c r="AH110" i="2"/>
  <c r="AK110" i="2"/>
  <c r="AJ110" i="2"/>
  <c r="AI110" i="2"/>
  <c r="X109" i="2"/>
  <c r="Y109" i="2"/>
  <c r="Z109" i="2"/>
  <c r="AA109" i="2"/>
  <c r="AB109" i="2"/>
  <c r="AH109" i="2"/>
  <c r="AK109" i="2"/>
  <c r="AJ109" i="2"/>
  <c r="AI109" i="2"/>
  <c r="X108" i="2"/>
  <c r="Y108" i="2"/>
  <c r="Z108" i="2"/>
  <c r="AA108" i="2"/>
  <c r="AB108" i="2"/>
  <c r="AH108" i="2"/>
  <c r="AK108" i="2"/>
  <c r="AJ108" i="2"/>
  <c r="AI108" i="2"/>
  <c r="X107" i="2"/>
  <c r="Y107" i="2"/>
  <c r="Z107" i="2"/>
  <c r="AA107" i="2"/>
  <c r="AB107" i="2"/>
  <c r="AH107" i="2"/>
  <c r="AK107" i="2"/>
  <c r="AJ107" i="2"/>
  <c r="AI107" i="2"/>
  <c r="X106" i="2"/>
  <c r="Y106" i="2"/>
  <c r="Z106" i="2"/>
  <c r="AA106" i="2"/>
  <c r="AB106" i="2"/>
  <c r="AH106" i="2"/>
  <c r="AK106" i="2"/>
  <c r="AJ106" i="2"/>
  <c r="AI106" i="2"/>
  <c r="X105" i="2"/>
  <c r="Y105" i="2"/>
  <c r="Z105" i="2"/>
  <c r="AA105" i="2"/>
  <c r="AB105" i="2"/>
  <c r="AH105" i="2"/>
  <c r="AK105" i="2"/>
  <c r="AJ105" i="2"/>
  <c r="AI105" i="2"/>
  <c r="X104" i="2"/>
  <c r="Y104" i="2"/>
  <c r="Z104" i="2"/>
  <c r="AA104" i="2"/>
  <c r="AB104" i="2"/>
  <c r="AH104" i="2"/>
  <c r="AK104" i="2"/>
  <c r="AJ104" i="2"/>
  <c r="AI104" i="2"/>
  <c r="X103" i="2"/>
  <c r="Y103" i="2"/>
  <c r="Z103" i="2"/>
  <c r="AA103" i="2"/>
  <c r="AB103" i="2"/>
  <c r="AH103" i="2"/>
  <c r="AK103" i="2"/>
  <c r="AJ103" i="2"/>
  <c r="AI103" i="2"/>
  <c r="X102" i="2"/>
  <c r="Y102" i="2"/>
  <c r="Z102" i="2"/>
  <c r="AA102" i="2"/>
  <c r="AB102" i="2"/>
  <c r="AH102" i="2"/>
  <c r="AK102" i="2"/>
  <c r="AJ102" i="2"/>
  <c r="AI102" i="2"/>
  <c r="X101" i="2"/>
  <c r="Y101" i="2"/>
  <c r="Z101" i="2"/>
  <c r="AA101" i="2"/>
  <c r="AB101" i="2"/>
  <c r="AH101" i="2"/>
  <c r="AK101" i="2"/>
  <c r="AJ101" i="2"/>
  <c r="AI101" i="2"/>
  <c r="X100" i="2"/>
  <c r="Y100" i="2"/>
  <c r="Z100" i="2"/>
  <c r="AA100" i="2"/>
  <c r="AB100" i="2"/>
  <c r="AH100" i="2"/>
  <c r="AK100" i="2"/>
  <c r="AJ100" i="2"/>
  <c r="AI100" i="2"/>
  <c r="X99" i="2"/>
  <c r="Y99" i="2"/>
  <c r="Z99" i="2"/>
  <c r="AA99" i="2"/>
  <c r="AB99" i="2"/>
  <c r="AH99" i="2"/>
  <c r="AK99" i="2"/>
  <c r="AJ99" i="2"/>
  <c r="AI99" i="2"/>
  <c r="X98" i="2"/>
  <c r="Y98" i="2"/>
  <c r="Z98" i="2"/>
  <c r="AA98" i="2"/>
  <c r="AB98" i="2"/>
  <c r="AH98" i="2"/>
  <c r="AK98" i="2"/>
  <c r="AJ98" i="2"/>
  <c r="AI98" i="2"/>
  <c r="X97" i="2"/>
  <c r="Y97" i="2"/>
  <c r="Z97" i="2"/>
  <c r="AA97" i="2"/>
  <c r="AB97" i="2"/>
  <c r="AH97" i="2"/>
  <c r="AK97" i="2"/>
  <c r="AJ97" i="2"/>
  <c r="AI97" i="2"/>
  <c r="X96" i="2"/>
  <c r="Y96" i="2"/>
  <c r="Z96" i="2"/>
  <c r="AA96" i="2"/>
  <c r="AB96" i="2"/>
  <c r="AH96" i="2"/>
  <c r="AK96" i="2"/>
  <c r="AJ96" i="2"/>
  <c r="AI96" i="2"/>
  <c r="X95" i="2"/>
  <c r="Y95" i="2"/>
  <c r="Z95" i="2"/>
  <c r="AA95" i="2"/>
  <c r="AB95" i="2"/>
  <c r="AH95" i="2"/>
  <c r="AK95" i="2"/>
  <c r="AJ95" i="2"/>
  <c r="AI95" i="2"/>
  <c r="X94" i="2"/>
  <c r="Y94" i="2"/>
  <c r="Z94" i="2"/>
  <c r="AA94" i="2"/>
  <c r="AB94" i="2"/>
  <c r="AH94" i="2"/>
  <c r="AK94" i="2"/>
  <c r="AJ94" i="2"/>
  <c r="AI94" i="2"/>
  <c r="X93" i="2"/>
  <c r="Y93" i="2"/>
  <c r="Z93" i="2"/>
  <c r="AA93" i="2"/>
  <c r="AB93" i="2"/>
  <c r="AH93" i="2"/>
  <c r="AK93" i="2"/>
  <c r="AJ93" i="2"/>
  <c r="AI93" i="2"/>
  <c r="X92" i="2"/>
  <c r="Y92" i="2"/>
  <c r="Z92" i="2"/>
  <c r="AA92" i="2"/>
  <c r="AB92" i="2"/>
  <c r="AH92" i="2"/>
  <c r="AK92" i="2"/>
  <c r="AJ92" i="2"/>
  <c r="AI92" i="2"/>
  <c r="X91" i="2"/>
  <c r="Y91" i="2"/>
  <c r="Z91" i="2"/>
  <c r="AA91" i="2"/>
  <c r="AB91" i="2"/>
  <c r="AH91" i="2"/>
  <c r="AK91" i="2"/>
  <c r="AJ91" i="2"/>
  <c r="AI91" i="2"/>
  <c r="X90" i="2"/>
  <c r="Y90" i="2"/>
  <c r="Z90" i="2"/>
  <c r="AA90" i="2"/>
  <c r="AB90" i="2"/>
  <c r="AH90" i="2"/>
  <c r="AK90" i="2"/>
  <c r="AJ90" i="2"/>
  <c r="AI90" i="2"/>
  <c r="X89" i="2"/>
  <c r="Y89" i="2"/>
  <c r="Z89" i="2"/>
  <c r="AA89" i="2"/>
  <c r="AB89" i="2"/>
  <c r="AH89" i="2"/>
  <c r="AK89" i="2"/>
  <c r="AJ89" i="2"/>
  <c r="AI89" i="2"/>
  <c r="X88" i="2"/>
  <c r="Y88" i="2"/>
  <c r="Z88" i="2"/>
  <c r="AA88" i="2"/>
  <c r="AB88" i="2"/>
  <c r="AH88" i="2"/>
  <c r="AK88" i="2"/>
  <c r="AJ88" i="2"/>
  <c r="AI88" i="2"/>
  <c r="X87" i="2"/>
  <c r="Y87" i="2"/>
  <c r="Z87" i="2"/>
  <c r="AA87" i="2"/>
  <c r="AB87" i="2"/>
  <c r="AH87" i="2"/>
  <c r="AK87" i="2"/>
  <c r="AJ87" i="2"/>
  <c r="AI87" i="2"/>
  <c r="X86" i="2"/>
  <c r="Y86" i="2"/>
  <c r="Z86" i="2"/>
  <c r="AA86" i="2"/>
  <c r="AB86" i="2"/>
  <c r="AH86" i="2"/>
  <c r="AK86" i="2"/>
  <c r="AJ86" i="2"/>
  <c r="AI86" i="2"/>
  <c r="X85" i="2"/>
  <c r="Y85" i="2"/>
  <c r="Z85" i="2"/>
  <c r="AA85" i="2"/>
  <c r="AB85" i="2"/>
  <c r="AH85" i="2"/>
  <c r="AK85" i="2"/>
  <c r="AJ85" i="2"/>
  <c r="AI85" i="2"/>
  <c r="X84" i="2"/>
  <c r="Y84" i="2"/>
  <c r="Z84" i="2"/>
  <c r="AA84" i="2"/>
  <c r="AB84" i="2"/>
  <c r="AH84" i="2"/>
  <c r="AK84" i="2"/>
  <c r="AJ84" i="2"/>
  <c r="AI84" i="2"/>
  <c r="X83" i="2"/>
  <c r="Y83" i="2"/>
  <c r="Z83" i="2"/>
  <c r="AA83" i="2"/>
  <c r="AB83" i="2"/>
  <c r="AH83" i="2"/>
  <c r="AK83" i="2"/>
  <c r="AJ83" i="2"/>
  <c r="AI83" i="2"/>
  <c r="X82" i="2"/>
  <c r="Y82" i="2"/>
  <c r="Z82" i="2"/>
  <c r="AA82" i="2"/>
  <c r="AB82" i="2"/>
  <c r="AH82" i="2"/>
  <c r="AK82" i="2"/>
  <c r="AJ82" i="2"/>
  <c r="AI82" i="2"/>
  <c r="X81" i="2"/>
  <c r="Y81" i="2"/>
  <c r="Z81" i="2"/>
  <c r="AA81" i="2"/>
  <c r="AB81" i="2"/>
  <c r="AH81" i="2"/>
  <c r="AK81" i="2"/>
  <c r="AJ81" i="2"/>
  <c r="AI81" i="2"/>
  <c r="X80" i="2"/>
  <c r="Y80" i="2"/>
  <c r="Z80" i="2"/>
  <c r="AA80" i="2"/>
  <c r="AB80" i="2"/>
  <c r="AH80" i="2"/>
  <c r="AK80" i="2"/>
  <c r="AJ80" i="2"/>
  <c r="AI80" i="2"/>
  <c r="X79" i="2"/>
  <c r="Y79" i="2"/>
  <c r="Z79" i="2"/>
  <c r="AA79" i="2"/>
  <c r="AB79" i="2"/>
  <c r="AH79" i="2"/>
  <c r="AK79" i="2"/>
  <c r="AJ79" i="2"/>
  <c r="AI79" i="2"/>
  <c r="X78" i="2"/>
  <c r="Y78" i="2"/>
  <c r="Z78" i="2"/>
  <c r="AA78" i="2"/>
  <c r="AB78" i="2"/>
  <c r="AH78" i="2"/>
  <c r="AK78" i="2"/>
  <c r="AJ78" i="2"/>
  <c r="AI78" i="2"/>
  <c r="X77" i="2"/>
  <c r="Y77" i="2"/>
  <c r="Z77" i="2"/>
  <c r="AA77" i="2"/>
  <c r="AB77" i="2"/>
  <c r="AH77" i="2"/>
  <c r="AK77" i="2"/>
  <c r="AJ77" i="2"/>
  <c r="AI77" i="2"/>
  <c r="X76" i="2"/>
  <c r="Y76" i="2"/>
  <c r="Z76" i="2"/>
  <c r="AA76" i="2"/>
  <c r="AB76" i="2"/>
  <c r="AH76" i="2"/>
  <c r="AK76" i="2"/>
  <c r="AJ76" i="2"/>
  <c r="AI76" i="2"/>
  <c r="X75" i="2"/>
  <c r="Y75" i="2"/>
  <c r="Z75" i="2"/>
  <c r="AA75" i="2"/>
  <c r="AB75" i="2"/>
  <c r="AH75" i="2"/>
  <c r="AK75" i="2"/>
  <c r="AJ75" i="2"/>
  <c r="AI75" i="2"/>
  <c r="X74" i="2"/>
  <c r="Y74" i="2"/>
  <c r="Z74" i="2"/>
  <c r="AA74" i="2"/>
  <c r="AB74" i="2"/>
  <c r="AH74" i="2"/>
  <c r="AK74" i="2"/>
  <c r="AJ74" i="2"/>
  <c r="AI74" i="2"/>
  <c r="X73" i="2"/>
  <c r="Y73" i="2"/>
  <c r="Z73" i="2"/>
  <c r="AA73" i="2"/>
  <c r="AB73" i="2"/>
  <c r="AH73" i="2"/>
  <c r="AK73" i="2"/>
  <c r="AJ73" i="2"/>
  <c r="AI73" i="2"/>
  <c r="X72" i="2"/>
  <c r="Y72" i="2"/>
  <c r="Z72" i="2"/>
  <c r="AA72" i="2"/>
  <c r="AB72" i="2"/>
  <c r="AH72" i="2"/>
  <c r="AK72" i="2"/>
  <c r="AJ72" i="2"/>
  <c r="AI72" i="2"/>
  <c r="X71" i="2"/>
  <c r="Y71" i="2"/>
  <c r="Z71" i="2"/>
  <c r="AA71" i="2"/>
  <c r="AB71" i="2"/>
  <c r="AH71" i="2"/>
  <c r="AK71" i="2"/>
  <c r="AJ71" i="2"/>
  <c r="AI71" i="2"/>
  <c r="X70" i="2"/>
  <c r="Y70" i="2"/>
  <c r="Z70" i="2"/>
  <c r="AA70" i="2"/>
  <c r="AB70" i="2"/>
  <c r="AH70" i="2"/>
  <c r="AK70" i="2"/>
  <c r="AJ70" i="2"/>
  <c r="AI70" i="2"/>
  <c r="X69" i="2"/>
  <c r="Y69" i="2"/>
  <c r="Z69" i="2"/>
  <c r="AA69" i="2"/>
  <c r="AB69" i="2"/>
  <c r="AH69" i="2"/>
  <c r="AK69" i="2"/>
  <c r="AJ69" i="2"/>
  <c r="AI69" i="2"/>
  <c r="X68" i="2"/>
  <c r="Y68" i="2"/>
  <c r="Z68" i="2"/>
  <c r="AA68" i="2"/>
  <c r="AB68" i="2"/>
  <c r="AH68" i="2"/>
  <c r="AK68" i="2"/>
  <c r="AJ68" i="2"/>
  <c r="AI68" i="2"/>
  <c r="X67" i="2"/>
  <c r="Y67" i="2"/>
  <c r="Z67" i="2"/>
  <c r="AA67" i="2"/>
  <c r="AB67" i="2"/>
  <c r="AH67" i="2"/>
  <c r="AK67" i="2"/>
  <c r="AJ67" i="2"/>
  <c r="AI67" i="2"/>
  <c r="X66" i="2"/>
  <c r="Y66" i="2"/>
  <c r="Z66" i="2"/>
  <c r="AA66" i="2"/>
  <c r="AB66" i="2"/>
  <c r="AH66" i="2"/>
  <c r="AK66" i="2"/>
  <c r="AJ66" i="2"/>
  <c r="AI66" i="2"/>
  <c r="X65" i="2"/>
  <c r="Y65" i="2"/>
  <c r="Z65" i="2"/>
  <c r="AA65" i="2"/>
  <c r="AB65" i="2"/>
  <c r="AH65" i="2"/>
  <c r="AK65" i="2"/>
  <c r="AJ65" i="2"/>
  <c r="AI65" i="2"/>
  <c r="X64" i="2"/>
  <c r="Y64" i="2"/>
  <c r="Z64" i="2"/>
  <c r="AA64" i="2"/>
  <c r="AB64" i="2"/>
  <c r="AH64" i="2"/>
  <c r="AK64" i="2"/>
  <c r="AJ64" i="2"/>
  <c r="AI64" i="2"/>
  <c r="X63" i="2"/>
  <c r="Y63" i="2"/>
  <c r="Z63" i="2"/>
  <c r="AA63" i="2"/>
  <c r="AB63" i="2"/>
  <c r="AH63" i="2"/>
  <c r="AK63" i="2"/>
  <c r="AJ63" i="2"/>
  <c r="AI63" i="2"/>
  <c r="X62" i="2"/>
  <c r="Y62" i="2"/>
  <c r="Z62" i="2"/>
  <c r="AA62" i="2"/>
  <c r="AB62" i="2"/>
  <c r="AH62" i="2"/>
  <c r="AK62" i="2"/>
  <c r="AJ62" i="2"/>
  <c r="AI62" i="2"/>
  <c r="X61" i="2"/>
  <c r="Y61" i="2"/>
  <c r="Z61" i="2"/>
  <c r="AA61" i="2"/>
  <c r="AB61" i="2"/>
  <c r="AH61" i="2"/>
  <c r="AK61" i="2"/>
  <c r="AJ61" i="2"/>
  <c r="AI61" i="2"/>
  <c r="X60" i="2"/>
  <c r="Y60" i="2"/>
  <c r="Z60" i="2"/>
  <c r="AA60" i="2"/>
  <c r="AB60" i="2"/>
  <c r="AH60" i="2"/>
  <c r="AK60" i="2"/>
  <c r="AJ60" i="2"/>
  <c r="AI60" i="2"/>
  <c r="X59" i="2"/>
  <c r="Y59" i="2"/>
  <c r="Z59" i="2"/>
  <c r="AA59" i="2"/>
  <c r="AB59" i="2"/>
  <c r="AH59" i="2"/>
  <c r="AK59" i="2"/>
  <c r="AJ59" i="2"/>
  <c r="AI59" i="2"/>
  <c r="X58" i="2"/>
  <c r="Y58" i="2"/>
  <c r="Z58" i="2"/>
  <c r="AA58" i="2"/>
  <c r="AB58" i="2"/>
  <c r="AH58" i="2"/>
  <c r="AK58" i="2"/>
  <c r="AJ58" i="2"/>
  <c r="AI58" i="2"/>
  <c r="X57" i="2"/>
  <c r="Y57" i="2"/>
  <c r="Z57" i="2"/>
  <c r="AA57" i="2"/>
  <c r="AB57" i="2"/>
  <c r="AH57" i="2"/>
  <c r="AK57" i="2"/>
  <c r="AJ57" i="2"/>
  <c r="AI57" i="2"/>
  <c r="X56" i="2"/>
  <c r="Y56" i="2"/>
  <c r="Z56" i="2"/>
  <c r="AA56" i="2"/>
  <c r="AB56" i="2"/>
  <c r="AH56" i="2"/>
  <c r="AK56" i="2"/>
  <c r="AJ56" i="2"/>
  <c r="AI56" i="2"/>
  <c r="X55" i="2"/>
  <c r="Y55" i="2"/>
  <c r="Z55" i="2"/>
  <c r="AA55" i="2"/>
  <c r="AB55" i="2"/>
  <c r="AH55" i="2"/>
  <c r="AK55" i="2"/>
  <c r="AJ55" i="2"/>
  <c r="AI55" i="2"/>
  <c r="X54" i="2"/>
  <c r="Y54" i="2"/>
  <c r="Z54" i="2"/>
  <c r="AA54" i="2"/>
  <c r="AB54" i="2"/>
  <c r="AH54" i="2"/>
  <c r="AK54" i="2"/>
  <c r="AJ54" i="2"/>
  <c r="AI54" i="2"/>
  <c r="X53" i="2"/>
  <c r="Y53" i="2"/>
  <c r="Z53" i="2"/>
  <c r="AA53" i="2"/>
  <c r="AB53" i="2"/>
  <c r="AH53" i="2"/>
  <c r="AK53" i="2"/>
  <c r="AJ53" i="2"/>
  <c r="AI53" i="2"/>
  <c r="X52" i="2"/>
  <c r="Y52" i="2"/>
  <c r="Z52" i="2"/>
  <c r="AA52" i="2"/>
  <c r="AB52" i="2"/>
  <c r="AH52" i="2"/>
  <c r="AK52" i="2"/>
  <c r="AJ52" i="2"/>
  <c r="AI52" i="2"/>
  <c r="X51" i="2"/>
  <c r="Y51" i="2"/>
  <c r="Z51" i="2"/>
  <c r="AA51" i="2"/>
  <c r="AB51" i="2"/>
  <c r="AH51" i="2"/>
  <c r="AK51" i="2"/>
  <c r="AJ51" i="2"/>
  <c r="AI51" i="2"/>
  <c r="X50" i="2"/>
  <c r="Y50" i="2"/>
  <c r="Z50" i="2"/>
  <c r="AA50" i="2"/>
  <c r="AB50" i="2"/>
  <c r="AH50" i="2"/>
  <c r="AK50" i="2"/>
  <c r="AJ50" i="2"/>
  <c r="AI50" i="2"/>
  <c r="X49" i="2"/>
  <c r="Y49" i="2"/>
  <c r="Z49" i="2"/>
  <c r="AA49" i="2"/>
  <c r="AB49" i="2"/>
  <c r="AH49" i="2"/>
  <c r="AK49" i="2"/>
  <c r="AJ49" i="2"/>
  <c r="AI49" i="2"/>
  <c r="X48" i="2"/>
  <c r="Y48" i="2"/>
  <c r="Z48" i="2"/>
  <c r="AA48" i="2"/>
  <c r="AB48" i="2"/>
  <c r="AH48" i="2"/>
  <c r="AK48" i="2"/>
  <c r="AJ48" i="2"/>
  <c r="AI48" i="2"/>
  <c r="X47" i="2"/>
  <c r="Y47" i="2"/>
  <c r="Z47" i="2"/>
  <c r="AA47" i="2"/>
  <c r="AB47" i="2"/>
  <c r="AH47" i="2"/>
  <c r="AK47" i="2"/>
  <c r="AJ47" i="2"/>
  <c r="AI47" i="2"/>
  <c r="X46" i="2"/>
  <c r="Y46" i="2"/>
  <c r="Z46" i="2"/>
  <c r="AA46" i="2"/>
  <c r="AB46" i="2"/>
  <c r="AH46" i="2"/>
  <c r="AK46" i="2"/>
  <c r="AJ46" i="2"/>
  <c r="AI46" i="2"/>
  <c r="X45" i="2"/>
  <c r="Y45" i="2"/>
  <c r="Z45" i="2"/>
  <c r="AA45" i="2"/>
  <c r="AB45" i="2"/>
  <c r="AH45" i="2"/>
  <c r="AK45" i="2"/>
  <c r="AJ45" i="2"/>
  <c r="AI45" i="2"/>
  <c r="X44" i="2"/>
  <c r="Y44" i="2"/>
  <c r="Z44" i="2"/>
  <c r="AA44" i="2"/>
  <c r="AB44" i="2"/>
  <c r="AH44" i="2"/>
  <c r="AK44" i="2"/>
  <c r="AJ44" i="2"/>
  <c r="AI44" i="2"/>
  <c r="X43" i="2"/>
  <c r="Y43" i="2"/>
  <c r="Z43" i="2"/>
  <c r="AA43" i="2"/>
  <c r="AB43" i="2"/>
  <c r="AH43" i="2"/>
  <c r="AK43" i="2"/>
  <c r="AJ43" i="2"/>
  <c r="AI43" i="2"/>
  <c r="X42" i="2"/>
  <c r="Y42" i="2"/>
  <c r="Z42" i="2"/>
  <c r="AA42" i="2"/>
  <c r="AB42" i="2"/>
  <c r="AH42" i="2"/>
  <c r="AK42" i="2"/>
  <c r="AJ42" i="2"/>
  <c r="AI42" i="2"/>
  <c r="X41" i="2"/>
  <c r="Y41" i="2"/>
  <c r="Z41" i="2"/>
  <c r="AA41" i="2"/>
  <c r="AB41" i="2"/>
  <c r="AH41" i="2"/>
  <c r="AK41" i="2"/>
  <c r="AJ41" i="2"/>
  <c r="AI41" i="2"/>
  <c r="X40" i="2"/>
  <c r="Y40" i="2"/>
  <c r="Z40" i="2"/>
  <c r="AA40" i="2"/>
  <c r="AB40" i="2"/>
  <c r="AH40" i="2"/>
  <c r="AK40" i="2"/>
  <c r="AJ40" i="2"/>
  <c r="AI40" i="2"/>
  <c r="X39" i="2"/>
  <c r="Y39" i="2"/>
  <c r="Z39" i="2"/>
  <c r="AA39" i="2"/>
  <c r="AB39" i="2"/>
  <c r="AH39" i="2"/>
  <c r="AK39" i="2"/>
  <c r="AJ39" i="2"/>
  <c r="AI39" i="2"/>
  <c r="X38" i="2"/>
  <c r="Y38" i="2"/>
  <c r="Z38" i="2"/>
  <c r="AA38" i="2"/>
  <c r="AB38" i="2"/>
  <c r="AH38" i="2"/>
  <c r="AK38" i="2"/>
  <c r="AJ38" i="2"/>
  <c r="AI38" i="2"/>
  <c r="X37" i="2"/>
  <c r="Y37" i="2"/>
  <c r="Z37" i="2"/>
  <c r="AA37" i="2"/>
  <c r="AB37" i="2"/>
  <c r="AH37" i="2"/>
  <c r="AK37" i="2"/>
  <c r="AJ37" i="2"/>
  <c r="AI37" i="2"/>
  <c r="X36" i="2"/>
  <c r="Y36" i="2"/>
  <c r="Z36" i="2"/>
  <c r="AA36" i="2"/>
  <c r="AB36" i="2"/>
  <c r="AH36" i="2"/>
  <c r="AK36" i="2"/>
  <c r="AJ36" i="2"/>
  <c r="AI36" i="2"/>
  <c r="X35" i="2"/>
  <c r="Y35" i="2"/>
  <c r="Z35" i="2"/>
  <c r="AA35" i="2"/>
  <c r="AB35" i="2"/>
  <c r="AH35" i="2"/>
  <c r="AK35" i="2"/>
  <c r="AJ35" i="2"/>
  <c r="AI35" i="2"/>
  <c r="X34" i="2"/>
  <c r="Y34" i="2"/>
  <c r="Z34" i="2"/>
  <c r="AA34" i="2"/>
  <c r="AB34" i="2"/>
  <c r="AH34" i="2"/>
  <c r="AK34" i="2"/>
  <c r="AJ34" i="2"/>
  <c r="AI34" i="2"/>
  <c r="X33" i="2"/>
  <c r="Y33" i="2"/>
  <c r="Z33" i="2"/>
  <c r="AA33" i="2"/>
  <c r="AB33" i="2"/>
  <c r="AH33" i="2"/>
  <c r="AK33" i="2"/>
  <c r="AJ33" i="2"/>
  <c r="AI33" i="2"/>
  <c r="X32" i="2"/>
  <c r="Y32" i="2"/>
  <c r="Z32" i="2"/>
  <c r="AA32" i="2"/>
  <c r="AB32" i="2"/>
  <c r="AH32" i="2"/>
  <c r="AK32" i="2"/>
  <c r="AJ32" i="2"/>
  <c r="AI32" i="2"/>
  <c r="X31" i="2"/>
  <c r="Y31" i="2"/>
  <c r="Z31" i="2"/>
  <c r="AA31" i="2"/>
  <c r="AB31" i="2"/>
  <c r="AH31" i="2"/>
  <c r="AK31" i="2"/>
  <c r="AJ31" i="2"/>
  <c r="AI31" i="2"/>
  <c r="X30" i="2"/>
  <c r="Y30" i="2"/>
  <c r="Z30" i="2"/>
  <c r="AA30" i="2"/>
  <c r="AB30" i="2"/>
  <c r="AH30" i="2"/>
  <c r="AK30" i="2"/>
  <c r="AJ30" i="2"/>
  <c r="AI30" i="2"/>
  <c r="X29" i="2"/>
  <c r="Y29" i="2"/>
  <c r="Z29" i="2"/>
  <c r="AA29" i="2"/>
  <c r="AB29" i="2"/>
  <c r="AH29" i="2"/>
  <c r="AK29" i="2"/>
  <c r="AJ29" i="2"/>
  <c r="AI29" i="2"/>
  <c r="X28" i="2"/>
  <c r="Y28" i="2"/>
  <c r="Z28" i="2"/>
  <c r="AA28" i="2"/>
  <c r="AB28" i="2"/>
  <c r="AH28" i="2"/>
  <c r="AK28" i="2"/>
  <c r="AJ28" i="2"/>
  <c r="AI28" i="2"/>
  <c r="X27" i="2"/>
  <c r="Y27" i="2"/>
  <c r="Z27" i="2"/>
  <c r="AA27" i="2"/>
  <c r="AB27" i="2"/>
  <c r="AH27" i="2"/>
  <c r="AK27" i="2"/>
  <c r="AJ27" i="2"/>
  <c r="AI27" i="2"/>
  <c r="X26" i="2"/>
  <c r="Y26" i="2"/>
  <c r="Z26" i="2"/>
  <c r="AA26" i="2"/>
  <c r="AB26" i="2"/>
  <c r="AH26" i="2"/>
  <c r="AK26" i="2"/>
  <c r="AJ26" i="2"/>
  <c r="AI26" i="2"/>
  <c r="X25" i="2"/>
  <c r="Y25" i="2"/>
  <c r="Z25" i="2"/>
  <c r="AA25" i="2"/>
  <c r="AB25" i="2"/>
  <c r="AH25" i="2"/>
  <c r="AK25" i="2"/>
  <c r="AJ25" i="2"/>
  <c r="AI25" i="2"/>
  <c r="X24" i="2"/>
  <c r="Y24" i="2"/>
  <c r="Z24" i="2"/>
  <c r="AA24" i="2"/>
  <c r="AB24" i="2"/>
  <c r="AH24" i="2"/>
  <c r="AK24" i="2"/>
  <c r="AJ24" i="2"/>
  <c r="AI24" i="2"/>
  <c r="X23" i="2"/>
  <c r="Y23" i="2"/>
  <c r="Z23" i="2"/>
  <c r="AA23" i="2"/>
  <c r="AB23" i="2"/>
  <c r="AH23" i="2"/>
  <c r="AK23" i="2"/>
  <c r="AJ23" i="2"/>
  <c r="AI23" i="2"/>
  <c r="X22" i="2"/>
  <c r="Y22" i="2"/>
  <c r="Z22" i="2"/>
  <c r="AA22" i="2"/>
  <c r="AB22" i="2"/>
  <c r="AH22" i="2"/>
  <c r="AK22" i="2"/>
  <c r="AJ22" i="2"/>
  <c r="AI22" i="2"/>
  <c r="X21" i="2"/>
  <c r="Y21" i="2"/>
  <c r="Z21" i="2"/>
  <c r="AA21" i="2"/>
  <c r="AB21" i="2"/>
  <c r="AH21" i="2"/>
  <c r="AK21" i="2"/>
  <c r="AJ21" i="2"/>
  <c r="AI21" i="2"/>
  <c r="X20" i="2"/>
  <c r="Y20" i="2"/>
  <c r="Z20" i="2"/>
  <c r="AA20" i="2"/>
  <c r="AB20" i="2"/>
  <c r="AH20" i="2"/>
  <c r="AK20" i="2"/>
  <c r="AJ20" i="2"/>
  <c r="AI20" i="2"/>
  <c r="X19" i="2"/>
  <c r="Y19" i="2"/>
  <c r="Z19" i="2"/>
  <c r="AA19" i="2"/>
  <c r="AB19" i="2"/>
  <c r="AH19" i="2"/>
  <c r="AK19" i="2"/>
  <c r="AJ19" i="2"/>
  <c r="AI19" i="2"/>
  <c r="X18" i="2"/>
  <c r="Y18" i="2"/>
  <c r="Z18" i="2"/>
  <c r="AA18" i="2"/>
  <c r="AB18" i="2"/>
  <c r="AH18" i="2"/>
  <c r="AK18" i="2"/>
  <c r="AJ18" i="2"/>
  <c r="AI18" i="2"/>
  <c r="X17" i="2"/>
  <c r="Y17" i="2"/>
  <c r="Z17" i="2"/>
  <c r="AA17" i="2"/>
  <c r="AB17" i="2"/>
  <c r="AH17" i="2"/>
  <c r="AK17" i="2"/>
  <c r="AJ17" i="2"/>
  <c r="AI17" i="2"/>
  <c r="X16" i="2"/>
  <c r="Y16" i="2"/>
  <c r="Z16" i="2"/>
  <c r="AA16" i="2"/>
  <c r="AB16" i="2"/>
  <c r="AH16" i="2"/>
  <c r="AK16" i="2"/>
  <c r="AJ16" i="2"/>
  <c r="AI16" i="2"/>
  <c r="X15" i="2"/>
  <c r="Y15" i="2"/>
  <c r="Z15" i="2"/>
  <c r="AA15" i="2"/>
  <c r="AB15" i="2"/>
  <c r="AH15" i="2"/>
  <c r="AK15" i="2"/>
  <c r="AJ15" i="2"/>
  <c r="AI15" i="2"/>
  <c r="X14" i="2"/>
  <c r="Y14" i="2"/>
  <c r="Z14" i="2"/>
  <c r="AA14" i="2"/>
  <c r="AB14" i="2"/>
  <c r="AH14" i="2"/>
  <c r="AK14" i="2"/>
  <c r="AJ14" i="2"/>
  <c r="AI14" i="2"/>
  <c r="X13" i="2"/>
  <c r="Y13" i="2"/>
  <c r="Z13" i="2"/>
  <c r="AA13" i="2"/>
  <c r="AB13" i="2"/>
  <c r="AH13" i="2"/>
  <c r="AK13" i="2"/>
  <c r="AJ13" i="2"/>
  <c r="AI13" i="2"/>
  <c r="X12" i="2"/>
  <c r="Y12" i="2"/>
  <c r="Z12" i="2"/>
  <c r="AA12" i="2"/>
  <c r="AB12" i="2"/>
  <c r="AH12" i="2"/>
  <c r="AK12" i="2"/>
  <c r="AJ12" i="2"/>
  <c r="AI12" i="2"/>
  <c r="X11" i="2"/>
  <c r="Y11" i="2"/>
  <c r="Z11" i="2"/>
  <c r="AA11" i="2"/>
  <c r="AB11" i="2"/>
  <c r="AH11" i="2"/>
  <c r="AK11" i="2"/>
  <c r="AJ11" i="2"/>
  <c r="AI11" i="2"/>
  <c r="X10" i="2"/>
  <c r="Y10" i="2"/>
  <c r="Z10" i="2"/>
  <c r="AA10" i="2"/>
  <c r="AB10" i="2"/>
  <c r="AH10" i="2"/>
  <c r="AK10" i="2"/>
  <c r="AJ10" i="2"/>
  <c r="AI10" i="2"/>
  <c r="X9" i="2"/>
  <c r="Y9" i="2"/>
  <c r="Z9" i="2"/>
  <c r="AA9" i="2"/>
  <c r="AB9" i="2"/>
  <c r="AH9" i="2"/>
  <c r="AK9" i="2"/>
  <c r="AJ9" i="2"/>
  <c r="AI9" i="2"/>
  <c r="X8" i="2"/>
  <c r="Y8" i="2"/>
  <c r="Z8" i="2"/>
  <c r="AA8" i="2"/>
  <c r="AB8" i="2"/>
  <c r="AH8" i="2"/>
  <c r="AK8" i="2"/>
  <c r="AJ8" i="2"/>
  <c r="AI8" i="2"/>
  <c r="X7" i="2"/>
  <c r="Y7" i="2"/>
  <c r="Z7" i="2"/>
  <c r="AA7" i="2"/>
  <c r="AB7" i="2"/>
  <c r="AH7" i="2"/>
  <c r="AK7" i="2"/>
  <c r="AJ7" i="2"/>
  <c r="AI7" i="2"/>
  <c r="X6" i="2"/>
  <c r="Y6" i="2"/>
  <c r="Z6" i="2"/>
  <c r="AA6" i="2"/>
  <c r="AB6" i="2"/>
  <c r="AH6" i="2"/>
  <c r="AK6" i="2"/>
  <c r="AJ6" i="2"/>
  <c r="AI6" i="2"/>
  <c r="X5" i="2"/>
  <c r="Y5" i="2"/>
  <c r="Z5" i="2"/>
  <c r="AA5" i="2"/>
  <c r="AB5" i="2"/>
  <c r="AH5" i="2"/>
  <c r="AK5" i="2"/>
  <c r="AJ5" i="2"/>
  <c r="AI5" i="2"/>
  <c r="X4" i="2"/>
  <c r="Y4" i="2"/>
  <c r="Z4" i="2"/>
  <c r="AA4" i="2"/>
  <c r="AB4" i="2"/>
  <c r="AH4" i="2"/>
  <c r="AK4" i="2"/>
  <c r="AJ4" i="2"/>
  <c r="AI4" i="2"/>
  <c r="AL247" i="2"/>
  <c r="AL246" i="2"/>
  <c r="AL245" i="2"/>
  <c r="AL244" i="2"/>
  <c r="AL243" i="2"/>
  <c r="AL242" i="2"/>
  <c r="AL241" i="2"/>
  <c r="AL240" i="2"/>
  <c r="AL239" i="2"/>
  <c r="AL238" i="2"/>
  <c r="AL237" i="2"/>
  <c r="AL236" i="2"/>
  <c r="AL235" i="2"/>
  <c r="AL234" i="2"/>
  <c r="AL233" i="2"/>
  <c r="AL232" i="2"/>
  <c r="AL231" i="2"/>
  <c r="AL230" i="2"/>
  <c r="AL229" i="2"/>
  <c r="AL228" i="2"/>
  <c r="AL227" i="2"/>
  <c r="AL226" i="2"/>
  <c r="AL225" i="2"/>
  <c r="AL224" i="2"/>
  <c r="AL223" i="2"/>
  <c r="AL222" i="2"/>
  <c r="AL221" i="2"/>
  <c r="AL220" i="2"/>
  <c r="AL219" i="2"/>
  <c r="AL218" i="2"/>
  <c r="AL217" i="2"/>
  <c r="AL216" i="2"/>
  <c r="AL215" i="2"/>
  <c r="AL214" i="2"/>
  <c r="AL213" i="2"/>
  <c r="AL212" i="2"/>
  <c r="AL211" i="2"/>
  <c r="AL210" i="2"/>
  <c r="AL209" i="2"/>
  <c r="AL208" i="2"/>
  <c r="AL207" i="2"/>
  <c r="AL206" i="2"/>
  <c r="AL205" i="2"/>
  <c r="AL204" i="2"/>
  <c r="AL203" i="2"/>
  <c r="AL202" i="2"/>
  <c r="AL201" i="2"/>
  <c r="AL200" i="2"/>
  <c r="AL199" i="2"/>
  <c r="AL198" i="2"/>
  <c r="AL197" i="2"/>
  <c r="AL196" i="2"/>
  <c r="AL195" i="2"/>
  <c r="AL194" i="2"/>
  <c r="AL193" i="2"/>
  <c r="AL192" i="2"/>
  <c r="AL191" i="2"/>
  <c r="AL190" i="2"/>
  <c r="AL189" i="2"/>
  <c r="AL188" i="2"/>
  <c r="AL187" i="2"/>
  <c r="AL186" i="2"/>
  <c r="AL185" i="2"/>
  <c r="AL184" i="2"/>
  <c r="AL183" i="2"/>
  <c r="AL182" i="2"/>
  <c r="AL181" i="2"/>
  <c r="AL180" i="2"/>
  <c r="AL179" i="2"/>
  <c r="AL178" i="2"/>
  <c r="AL177" i="2"/>
  <c r="AL176" i="2"/>
  <c r="AL175" i="2"/>
  <c r="AL174" i="2"/>
  <c r="AL173" i="2"/>
  <c r="AL172" i="2"/>
  <c r="AL171" i="2"/>
  <c r="AL170" i="2"/>
  <c r="AL169" i="2"/>
  <c r="AL168" i="2"/>
  <c r="AL167" i="2"/>
  <c r="AL166" i="2"/>
  <c r="AL165" i="2"/>
  <c r="AL164" i="2"/>
  <c r="AL163" i="2"/>
  <c r="AL162" i="2"/>
  <c r="AL161" i="2"/>
  <c r="AL160" i="2"/>
  <c r="AL159" i="2"/>
  <c r="AL158" i="2"/>
  <c r="AL157" i="2"/>
  <c r="AL156" i="2"/>
  <c r="AL155" i="2"/>
  <c r="AL154" i="2"/>
  <c r="AL153" i="2"/>
  <c r="AL152" i="2"/>
  <c r="AL151" i="2"/>
  <c r="AL150" i="2"/>
  <c r="AL149" i="2"/>
  <c r="AL148" i="2"/>
  <c r="AL147" i="2"/>
  <c r="AL146" i="2"/>
  <c r="AL145" i="2"/>
  <c r="AL144" i="2"/>
  <c r="AL143" i="2"/>
  <c r="AL142" i="2"/>
  <c r="AL141" i="2"/>
  <c r="AL140" i="2"/>
  <c r="AL139" i="2"/>
  <c r="AL138" i="2"/>
  <c r="AL137" i="2"/>
  <c r="AL136" i="2"/>
  <c r="AL135" i="2"/>
  <c r="AL134" i="2"/>
  <c r="AL133" i="2"/>
  <c r="AL132" i="2"/>
  <c r="AL131" i="2"/>
  <c r="AL130" i="2"/>
  <c r="AL129" i="2"/>
  <c r="AL128" i="2"/>
  <c r="AL127" i="2"/>
  <c r="AL126" i="2"/>
  <c r="AL125" i="2"/>
  <c r="AL124" i="2"/>
  <c r="AL123" i="2"/>
  <c r="AL122" i="2"/>
  <c r="AL121" i="2"/>
  <c r="AL120" i="2"/>
  <c r="AL119" i="2"/>
  <c r="AL118" i="2"/>
  <c r="AL117" i="2"/>
  <c r="AL116" i="2"/>
  <c r="AL115" i="2"/>
  <c r="AL114" i="2"/>
  <c r="AL113" i="2"/>
  <c r="AL112" i="2"/>
  <c r="AL111" i="2"/>
  <c r="AL110" i="2"/>
  <c r="AL109" i="2"/>
  <c r="AL108" i="2"/>
  <c r="AL107" i="2"/>
  <c r="AL106" i="2"/>
  <c r="AL105" i="2"/>
  <c r="AL104" i="2"/>
  <c r="AL103" i="2"/>
  <c r="AL102" i="2"/>
  <c r="AL101" i="2"/>
  <c r="AL100" i="2"/>
  <c r="AL99" i="2"/>
  <c r="AL98" i="2"/>
  <c r="AL97" i="2"/>
  <c r="AL96" i="2"/>
  <c r="AL95" i="2"/>
  <c r="AL94" i="2"/>
  <c r="AL93" i="2"/>
  <c r="AL92" i="2"/>
  <c r="AL91" i="2"/>
  <c r="AL90" i="2"/>
  <c r="AL89" i="2"/>
  <c r="AL88" i="2"/>
  <c r="AL87" i="2"/>
  <c r="AL86" i="2"/>
  <c r="AL85" i="2"/>
  <c r="AL84" i="2"/>
  <c r="AL83" i="2"/>
  <c r="AL82" i="2"/>
  <c r="AL81" i="2"/>
  <c r="AL80" i="2"/>
  <c r="AL79" i="2"/>
  <c r="AL78" i="2"/>
  <c r="AL77" i="2"/>
  <c r="AL76" i="2"/>
  <c r="AL75" i="2"/>
  <c r="AL74" i="2"/>
  <c r="AL73" i="2"/>
  <c r="AL72" i="2"/>
  <c r="AL71" i="2"/>
  <c r="AL70" i="2"/>
  <c r="AL69" i="2"/>
  <c r="AL68" i="2"/>
  <c r="AL67" i="2"/>
  <c r="AL66" i="2"/>
  <c r="AL65" i="2"/>
  <c r="AL64" i="2"/>
  <c r="AL63" i="2"/>
  <c r="AL62" i="2"/>
  <c r="AL61" i="2"/>
  <c r="AL60" i="2"/>
  <c r="AL59" i="2"/>
  <c r="AL58" i="2"/>
  <c r="AL57" i="2"/>
  <c r="AL56" i="2"/>
  <c r="AL55" i="2"/>
  <c r="AL54" i="2"/>
  <c r="AL53" i="2"/>
  <c r="AL52" i="2"/>
  <c r="AL51" i="2"/>
  <c r="AL50" i="2"/>
  <c r="AL49" i="2"/>
  <c r="AL48" i="2"/>
  <c r="AL47" i="2"/>
  <c r="AL46" i="2"/>
  <c r="AL45" i="2"/>
  <c r="AL44" i="2"/>
  <c r="AL43" i="2"/>
  <c r="AL42" i="2"/>
  <c r="AL41" i="2"/>
  <c r="AL40" i="2"/>
  <c r="AL39" i="2"/>
  <c r="AL38" i="2"/>
  <c r="AL37" i="2"/>
  <c r="AL36" i="2"/>
  <c r="AL35" i="2"/>
  <c r="AL34" i="2"/>
  <c r="AL33" i="2"/>
  <c r="AL32" i="2"/>
  <c r="AL31" i="2"/>
  <c r="AL30" i="2"/>
  <c r="AL29" i="2"/>
  <c r="AL28" i="2"/>
  <c r="AL27" i="2"/>
  <c r="AL26" i="2"/>
  <c r="AL25" i="2"/>
  <c r="AL24" i="2"/>
  <c r="AL23" i="2"/>
  <c r="AL22" i="2"/>
  <c r="AL21" i="2"/>
  <c r="AL20" i="2"/>
  <c r="AL19" i="2"/>
  <c r="AL18" i="2"/>
  <c r="AL17" i="2"/>
  <c r="AL16" i="2"/>
  <c r="AL15" i="2"/>
  <c r="AL14" i="2"/>
  <c r="AL13" i="2"/>
  <c r="AL12" i="2"/>
  <c r="AL11" i="2"/>
  <c r="AL10" i="2"/>
  <c r="AL9" i="2"/>
  <c r="AL8" i="2"/>
  <c r="AL7" i="2"/>
  <c r="AL6" i="2"/>
  <c r="AL5" i="2"/>
  <c r="AL4" i="2"/>
  <c r="R247" i="2"/>
  <c r="S247" i="2"/>
  <c r="T247" i="2"/>
  <c r="R246" i="2"/>
  <c r="S246" i="2"/>
  <c r="T246" i="2"/>
  <c r="R245" i="2"/>
  <c r="S245" i="2"/>
  <c r="T245" i="2"/>
  <c r="R244" i="2"/>
  <c r="S244" i="2"/>
  <c r="T244" i="2"/>
  <c r="R243" i="2"/>
  <c r="S243" i="2"/>
  <c r="T243" i="2"/>
  <c r="R242" i="2"/>
  <c r="S242" i="2"/>
  <c r="T242" i="2"/>
  <c r="R241" i="2"/>
  <c r="S241" i="2"/>
  <c r="T241" i="2"/>
  <c r="R240" i="2"/>
  <c r="S240" i="2"/>
  <c r="T240" i="2"/>
  <c r="R239" i="2"/>
  <c r="S239" i="2"/>
  <c r="T239" i="2"/>
  <c r="R238" i="2"/>
  <c r="S238" i="2"/>
  <c r="T238" i="2"/>
  <c r="R237" i="2"/>
  <c r="S237" i="2"/>
  <c r="T237" i="2"/>
  <c r="R236" i="2"/>
  <c r="S236" i="2"/>
  <c r="T236" i="2"/>
  <c r="R235" i="2"/>
  <c r="S235" i="2"/>
  <c r="T235" i="2"/>
  <c r="R234" i="2"/>
  <c r="S234" i="2"/>
  <c r="T234" i="2"/>
  <c r="R233" i="2"/>
  <c r="S233" i="2"/>
  <c r="T233" i="2"/>
  <c r="R232" i="2"/>
  <c r="S232" i="2"/>
  <c r="T232" i="2"/>
  <c r="R231" i="2"/>
  <c r="S231" i="2"/>
  <c r="T231" i="2"/>
  <c r="R230" i="2"/>
  <c r="S230" i="2"/>
  <c r="T230" i="2"/>
  <c r="R229" i="2"/>
  <c r="S229" i="2"/>
  <c r="T229" i="2"/>
  <c r="R228" i="2"/>
  <c r="S228" i="2"/>
  <c r="T228" i="2"/>
  <c r="R227" i="2"/>
  <c r="S227" i="2"/>
  <c r="T227" i="2"/>
  <c r="R226" i="2"/>
  <c r="S226" i="2"/>
  <c r="T226" i="2"/>
  <c r="R225" i="2"/>
  <c r="S225" i="2"/>
  <c r="T225" i="2"/>
  <c r="R224" i="2"/>
  <c r="S224" i="2"/>
  <c r="T224" i="2"/>
  <c r="R223" i="2"/>
  <c r="S223" i="2"/>
  <c r="T223" i="2"/>
  <c r="R222" i="2"/>
  <c r="S222" i="2"/>
  <c r="T222" i="2"/>
  <c r="R221" i="2"/>
  <c r="S221" i="2"/>
  <c r="T221" i="2"/>
  <c r="R220" i="2"/>
  <c r="S220" i="2"/>
  <c r="T220" i="2"/>
  <c r="R219" i="2"/>
  <c r="S219" i="2"/>
  <c r="T219" i="2"/>
  <c r="R218" i="2"/>
  <c r="S218" i="2"/>
  <c r="T218" i="2"/>
  <c r="R217" i="2"/>
  <c r="S217" i="2"/>
  <c r="T217" i="2"/>
  <c r="R216" i="2"/>
  <c r="S216" i="2"/>
  <c r="T216" i="2"/>
  <c r="R215" i="2"/>
  <c r="S215" i="2"/>
  <c r="T215" i="2"/>
  <c r="R214" i="2"/>
  <c r="S214" i="2"/>
  <c r="T214" i="2"/>
  <c r="R213" i="2"/>
  <c r="S213" i="2"/>
  <c r="T213" i="2"/>
  <c r="R212" i="2"/>
  <c r="S212" i="2"/>
  <c r="T212" i="2"/>
  <c r="R211" i="2"/>
  <c r="S211" i="2"/>
  <c r="T211" i="2"/>
  <c r="R210" i="2"/>
  <c r="S210" i="2"/>
  <c r="T210" i="2"/>
  <c r="R209" i="2"/>
  <c r="S209" i="2"/>
  <c r="T209" i="2"/>
  <c r="R208" i="2"/>
  <c r="S208" i="2"/>
  <c r="T208" i="2"/>
  <c r="R207" i="2"/>
  <c r="S207" i="2"/>
  <c r="T207" i="2"/>
  <c r="R206" i="2"/>
  <c r="S206" i="2"/>
  <c r="T206" i="2"/>
  <c r="R205" i="2"/>
  <c r="S205" i="2"/>
  <c r="T205" i="2"/>
  <c r="R204" i="2"/>
  <c r="S204" i="2"/>
  <c r="T204" i="2"/>
  <c r="R203" i="2"/>
  <c r="S203" i="2"/>
  <c r="T203" i="2"/>
  <c r="R202" i="2"/>
  <c r="S202" i="2"/>
  <c r="T202" i="2"/>
  <c r="R201" i="2"/>
  <c r="S201" i="2"/>
  <c r="T201" i="2"/>
  <c r="R200" i="2"/>
  <c r="S200" i="2"/>
  <c r="T200" i="2"/>
  <c r="R199" i="2"/>
  <c r="S199" i="2"/>
  <c r="T199" i="2"/>
  <c r="R198" i="2"/>
  <c r="S198" i="2"/>
  <c r="T198" i="2"/>
  <c r="R197" i="2"/>
  <c r="S197" i="2"/>
  <c r="T197" i="2"/>
  <c r="R196" i="2"/>
  <c r="S196" i="2"/>
  <c r="T196" i="2"/>
  <c r="R195" i="2"/>
  <c r="S195" i="2"/>
  <c r="T195" i="2"/>
  <c r="R194" i="2"/>
  <c r="S194" i="2"/>
  <c r="T194" i="2"/>
  <c r="R193" i="2"/>
  <c r="S193" i="2"/>
  <c r="T193" i="2"/>
  <c r="R192" i="2"/>
  <c r="S192" i="2"/>
  <c r="T192" i="2"/>
  <c r="R191" i="2"/>
  <c r="S191" i="2"/>
  <c r="T191" i="2"/>
  <c r="R190" i="2"/>
  <c r="S190" i="2"/>
  <c r="T190" i="2"/>
  <c r="R189" i="2"/>
  <c r="S189" i="2"/>
  <c r="T189" i="2"/>
  <c r="R188" i="2"/>
  <c r="S188" i="2"/>
  <c r="T188" i="2"/>
  <c r="R187" i="2"/>
  <c r="S187" i="2"/>
  <c r="T187" i="2"/>
  <c r="R186" i="2"/>
  <c r="S186" i="2"/>
  <c r="T186" i="2"/>
  <c r="R185" i="2"/>
  <c r="S185" i="2"/>
  <c r="T185" i="2"/>
  <c r="R184" i="2"/>
  <c r="S184" i="2"/>
  <c r="T184" i="2"/>
  <c r="R183" i="2"/>
  <c r="S183" i="2"/>
  <c r="T183" i="2"/>
  <c r="R182" i="2"/>
  <c r="S182" i="2"/>
  <c r="T182" i="2"/>
  <c r="R181" i="2"/>
  <c r="S181" i="2"/>
  <c r="T181" i="2"/>
  <c r="R180" i="2"/>
  <c r="S180" i="2"/>
  <c r="T180" i="2"/>
  <c r="R179" i="2"/>
  <c r="S179" i="2"/>
  <c r="T179" i="2"/>
  <c r="R178" i="2"/>
  <c r="S178" i="2"/>
  <c r="T178" i="2"/>
  <c r="R177" i="2"/>
  <c r="S177" i="2"/>
  <c r="T177" i="2"/>
  <c r="R176" i="2"/>
  <c r="S176" i="2"/>
  <c r="T176" i="2"/>
  <c r="R175" i="2"/>
  <c r="S175" i="2"/>
  <c r="T175" i="2"/>
  <c r="R174" i="2"/>
  <c r="S174" i="2"/>
  <c r="T174" i="2"/>
  <c r="R173" i="2"/>
  <c r="S173" i="2"/>
  <c r="T173" i="2"/>
  <c r="R172" i="2"/>
  <c r="S172" i="2"/>
  <c r="T172" i="2"/>
  <c r="R171" i="2"/>
  <c r="S171" i="2"/>
  <c r="T171" i="2"/>
  <c r="R170" i="2"/>
  <c r="S170" i="2"/>
  <c r="T170" i="2"/>
  <c r="R169" i="2"/>
  <c r="S169" i="2"/>
  <c r="T169" i="2"/>
  <c r="R168" i="2"/>
  <c r="S168" i="2"/>
  <c r="T168" i="2"/>
  <c r="R167" i="2"/>
  <c r="S167" i="2"/>
  <c r="T167" i="2"/>
  <c r="R166" i="2"/>
  <c r="S166" i="2"/>
  <c r="T166" i="2"/>
  <c r="R165" i="2"/>
  <c r="S165" i="2"/>
  <c r="T165" i="2"/>
  <c r="R164" i="2"/>
  <c r="S164" i="2"/>
  <c r="T164" i="2"/>
  <c r="R163" i="2"/>
  <c r="S163" i="2"/>
  <c r="T163" i="2"/>
  <c r="R162" i="2"/>
  <c r="S162" i="2"/>
  <c r="T162" i="2"/>
  <c r="R161" i="2"/>
  <c r="S161" i="2"/>
  <c r="T161" i="2"/>
  <c r="R160" i="2"/>
  <c r="S160" i="2"/>
  <c r="T160" i="2"/>
  <c r="R159" i="2"/>
  <c r="S159" i="2"/>
  <c r="T159" i="2"/>
  <c r="R158" i="2"/>
  <c r="S158" i="2"/>
  <c r="T158" i="2"/>
  <c r="R157" i="2"/>
  <c r="S157" i="2"/>
  <c r="T157" i="2"/>
  <c r="R156" i="2"/>
  <c r="S156" i="2"/>
  <c r="T156" i="2"/>
  <c r="R155" i="2"/>
  <c r="S155" i="2"/>
  <c r="T155" i="2"/>
  <c r="R154" i="2"/>
  <c r="S154" i="2"/>
  <c r="T154" i="2"/>
  <c r="R153" i="2"/>
  <c r="S153" i="2"/>
  <c r="T153" i="2"/>
  <c r="R152" i="2"/>
  <c r="S152" i="2"/>
  <c r="T152" i="2"/>
  <c r="R151" i="2"/>
  <c r="S151" i="2"/>
  <c r="T151" i="2"/>
  <c r="R150" i="2"/>
  <c r="S150" i="2"/>
  <c r="T150" i="2"/>
  <c r="R149" i="2"/>
  <c r="S149" i="2"/>
  <c r="T149" i="2"/>
  <c r="R148" i="2"/>
  <c r="S148" i="2"/>
  <c r="T148" i="2"/>
  <c r="R147" i="2"/>
  <c r="S147" i="2"/>
  <c r="T147" i="2"/>
  <c r="R146" i="2"/>
  <c r="S146" i="2"/>
  <c r="T146" i="2"/>
  <c r="R145" i="2"/>
  <c r="S145" i="2"/>
  <c r="T145" i="2"/>
  <c r="R144" i="2"/>
  <c r="S144" i="2"/>
  <c r="T144" i="2"/>
  <c r="R143" i="2"/>
  <c r="S143" i="2"/>
  <c r="T143" i="2"/>
  <c r="R142" i="2"/>
  <c r="S142" i="2"/>
  <c r="T142" i="2"/>
  <c r="R141" i="2"/>
  <c r="S141" i="2"/>
  <c r="T141" i="2"/>
  <c r="R140" i="2"/>
  <c r="S140" i="2"/>
  <c r="T140" i="2"/>
  <c r="R139" i="2"/>
  <c r="S139" i="2"/>
  <c r="T139" i="2"/>
  <c r="R138" i="2"/>
  <c r="S138" i="2"/>
  <c r="T138" i="2"/>
  <c r="R137" i="2"/>
  <c r="S137" i="2"/>
  <c r="T137" i="2"/>
  <c r="R136" i="2"/>
  <c r="S136" i="2"/>
  <c r="T136" i="2"/>
  <c r="R135" i="2"/>
  <c r="S135" i="2"/>
  <c r="T135" i="2"/>
  <c r="R134" i="2"/>
  <c r="S134" i="2"/>
  <c r="T134" i="2"/>
  <c r="R133" i="2"/>
  <c r="S133" i="2"/>
  <c r="T133" i="2"/>
  <c r="R132" i="2"/>
  <c r="S132" i="2"/>
  <c r="T132" i="2"/>
  <c r="R131" i="2"/>
  <c r="S131" i="2"/>
  <c r="T131" i="2"/>
  <c r="R130" i="2"/>
  <c r="S130" i="2"/>
  <c r="T130" i="2"/>
  <c r="R129" i="2"/>
  <c r="S129" i="2"/>
  <c r="T129" i="2"/>
  <c r="R128" i="2"/>
  <c r="S128" i="2"/>
  <c r="T128" i="2"/>
  <c r="R127" i="2"/>
  <c r="S127" i="2"/>
  <c r="T127" i="2"/>
  <c r="R126" i="2"/>
  <c r="S126" i="2"/>
  <c r="T126" i="2"/>
  <c r="R125" i="2"/>
  <c r="S125" i="2"/>
  <c r="T125" i="2"/>
  <c r="R124" i="2"/>
  <c r="S124" i="2"/>
  <c r="T124" i="2"/>
  <c r="R123" i="2"/>
  <c r="S123" i="2"/>
  <c r="T123" i="2"/>
  <c r="R122" i="2"/>
  <c r="S122" i="2"/>
  <c r="T122" i="2"/>
  <c r="R121" i="2"/>
  <c r="S121" i="2"/>
  <c r="T121" i="2"/>
  <c r="R120" i="2"/>
  <c r="S120" i="2"/>
  <c r="T120" i="2"/>
  <c r="R119" i="2"/>
  <c r="S119" i="2"/>
  <c r="T119" i="2"/>
  <c r="R118" i="2"/>
  <c r="S118" i="2"/>
  <c r="T118" i="2"/>
  <c r="R117" i="2"/>
  <c r="S117" i="2"/>
  <c r="T117" i="2"/>
  <c r="R116" i="2"/>
  <c r="S116" i="2"/>
  <c r="T116" i="2"/>
  <c r="R115" i="2"/>
  <c r="S115" i="2"/>
  <c r="T115" i="2"/>
  <c r="R114" i="2"/>
  <c r="S114" i="2"/>
  <c r="T114" i="2"/>
  <c r="R113" i="2"/>
  <c r="S113" i="2"/>
  <c r="T113" i="2"/>
  <c r="R112" i="2"/>
  <c r="S112" i="2"/>
  <c r="T112" i="2"/>
  <c r="R111" i="2"/>
  <c r="S111" i="2"/>
  <c r="T111" i="2"/>
  <c r="R110" i="2"/>
  <c r="S110" i="2"/>
  <c r="T110" i="2"/>
  <c r="R109" i="2"/>
  <c r="S109" i="2"/>
  <c r="T109" i="2"/>
  <c r="R108" i="2"/>
  <c r="S108" i="2"/>
  <c r="T108" i="2"/>
  <c r="R107" i="2"/>
  <c r="S107" i="2"/>
  <c r="T107" i="2"/>
  <c r="R106" i="2"/>
  <c r="S106" i="2"/>
  <c r="T106" i="2"/>
  <c r="R105" i="2"/>
  <c r="S105" i="2"/>
  <c r="T105" i="2"/>
  <c r="R104" i="2"/>
  <c r="S104" i="2"/>
  <c r="T104" i="2"/>
  <c r="R103" i="2"/>
  <c r="S103" i="2"/>
  <c r="T103" i="2"/>
  <c r="R102" i="2"/>
  <c r="S102" i="2"/>
  <c r="T102" i="2"/>
  <c r="R101" i="2"/>
  <c r="S101" i="2"/>
  <c r="T101" i="2"/>
  <c r="R100" i="2"/>
  <c r="S100" i="2"/>
  <c r="T100" i="2"/>
  <c r="R99" i="2"/>
  <c r="S99" i="2"/>
  <c r="T99" i="2"/>
  <c r="R98" i="2"/>
  <c r="S98" i="2"/>
  <c r="T98" i="2"/>
  <c r="R97" i="2"/>
  <c r="S97" i="2"/>
  <c r="T97" i="2"/>
  <c r="R96" i="2"/>
  <c r="S96" i="2"/>
  <c r="T96" i="2"/>
  <c r="R95" i="2"/>
  <c r="S95" i="2"/>
  <c r="T95" i="2"/>
  <c r="R94" i="2"/>
  <c r="S94" i="2"/>
  <c r="T94" i="2"/>
  <c r="R93" i="2"/>
  <c r="S93" i="2"/>
  <c r="T93" i="2"/>
  <c r="R92" i="2"/>
  <c r="S92" i="2"/>
  <c r="T92" i="2"/>
  <c r="R91" i="2"/>
  <c r="S91" i="2"/>
  <c r="T91" i="2"/>
  <c r="R90" i="2"/>
  <c r="S90" i="2"/>
  <c r="T90" i="2"/>
  <c r="R89" i="2"/>
  <c r="S89" i="2"/>
  <c r="T89" i="2"/>
  <c r="R88" i="2"/>
  <c r="S88" i="2"/>
  <c r="T88" i="2"/>
  <c r="R87" i="2"/>
  <c r="S87" i="2"/>
  <c r="T87" i="2"/>
  <c r="R86" i="2"/>
  <c r="S86" i="2"/>
  <c r="T86" i="2"/>
  <c r="R85" i="2"/>
  <c r="S85" i="2"/>
  <c r="T85" i="2"/>
  <c r="R84" i="2"/>
  <c r="S84" i="2"/>
  <c r="T84" i="2"/>
  <c r="R83" i="2"/>
  <c r="S83" i="2"/>
  <c r="T83" i="2"/>
  <c r="R82" i="2"/>
  <c r="S82" i="2"/>
  <c r="T82" i="2"/>
  <c r="R81" i="2"/>
  <c r="S81" i="2"/>
  <c r="T81" i="2"/>
  <c r="R80" i="2"/>
  <c r="S80" i="2"/>
  <c r="T80" i="2"/>
  <c r="R79" i="2"/>
  <c r="S79" i="2"/>
  <c r="T79" i="2"/>
  <c r="R78" i="2"/>
  <c r="S78" i="2"/>
  <c r="T78" i="2"/>
  <c r="R77" i="2"/>
  <c r="S77" i="2"/>
  <c r="T77" i="2"/>
  <c r="R76" i="2"/>
  <c r="S76" i="2"/>
  <c r="T76" i="2"/>
  <c r="R75" i="2"/>
  <c r="S75" i="2"/>
  <c r="T75" i="2"/>
  <c r="R74" i="2"/>
  <c r="S74" i="2"/>
  <c r="T74" i="2"/>
  <c r="R73" i="2"/>
  <c r="S73" i="2"/>
  <c r="T73" i="2"/>
  <c r="R72" i="2"/>
  <c r="S72" i="2"/>
  <c r="T72" i="2"/>
  <c r="R71" i="2"/>
  <c r="S71" i="2"/>
  <c r="T71" i="2"/>
  <c r="R70" i="2"/>
  <c r="S70" i="2"/>
  <c r="T70" i="2"/>
  <c r="R69" i="2"/>
  <c r="S69" i="2"/>
  <c r="T69" i="2"/>
  <c r="R68" i="2"/>
  <c r="S68" i="2"/>
  <c r="T68" i="2"/>
  <c r="R67" i="2"/>
  <c r="S67" i="2"/>
  <c r="T67" i="2"/>
  <c r="R66" i="2"/>
  <c r="S66" i="2"/>
  <c r="T66" i="2"/>
  <c r="R65" i="2"/>
  <c r="S65" i="2"/>
  <c r="T65" i="2"/>
  <c r="R64" i="2"/>
  <c r="S64" i="2"/>
  <c r="T64" i="2"/>
  <c r="R63" i="2"/>
  <c r="S63" i="2"/>
  <c r="T63" i="2"/>
  <c r="R62" i="2"/>
  <c r="S62" i="2"/>
  <c r="T62" i="2"/>
  <c r="R61" i="2"/>
  <c r="S61" i="2"/>
  <c r="T61" i="2"/>
  <c r="R60" i="2"/>
  <c r="S60" i="2"/>
  <c r="T60" i="2"/>
  <c r="R59" i="2"/>
  <c r="S59" i="2"/>
  <c r="T59" i="2"/>
  <c r="R58" i="2"/>
  <c r="S58" i="2"/>
  <c r="T58" i="2"/>
  <c r="R57" i="2"/>
  <c r="S57" i="2"/>
  <c r="T57" i="2"/>
  <c r="R56" i="2"/>
  <c r="S56" i="2"/>
  <c r="T56" i="2"/>
  <c r="R55" i="2"/>
  <c r="S55" i="2"/>
  <c r="T55" i="2"/>
  <c r="R54" i="2"/>
  <c r="S54" i="2"/>
  <c r="T54" i="2"/>
  <c r="R53" i="2"/>
  <c r="S53" i="2"/>
  <c r="T53" i="2"/>
  <c r="R52" i="2"/>
  <c r="S52" i="2"/>
  <c r="T52" i="2"/>
  <c r="R51" i="2"/>
  <c r="S51" i="2"/>
  <c r="T51" i="2"/>
  <c r="R50" i="2"/>
  <c r="S50" i="2"/>
  <c r="T50" i="2"/>
  <c r="R49" i="2"/>
  <c r="S49" i="2"/>
  <c r="T49" i="2"/>
  <c r="R48" i="2"/>
  <c r="S48" i="2"/>
  <c r="T48" i="2"/>
  <c r="R47" i="2"/>
  <c r="S47" i="2"/>
  <c r="T47" i="2"/>
  <c r="R46" i="2"/>
  <c r="S46" i="2"/>
  <c r="T46" i="2"/>
  <c r="R45" i="2"/>
  <c r="S45" i="2"/>
  <c r="T45" i="2"/>
  <c r="R44" i="2"/>
  <c r="S44" i="2"/>
  <c r="T44" i="2"/>
  <c r="R43" i="2"/>
  <c r="S43" i="2"/>
  <c r="T43" i="2"/>
  <c r="R42" i="2"/>
  <c r="S42" i="2"/>
  <c r="T42" i="2"/>
  <c r="R41" i="2"/>
  <c r="S41" i="2"/>
  <c r="T41" i="2"/>
  <c r="R40" i="2"/>
  <c r="S40" i="2"/>
  <c r="T40" i="2"/>
  <c r="R39" i="2"/>
  <c r="S39" i="2"/>
  <c r="T39" i="2"/>
  <c r="R38" i="2"/>
  <c r="S38" i="2"/>
  <c r="T38" i="2"/>
  <c r="R37" i="2"/>
  <c r="S37" i="2"/>
  <c r="T37" i="2"/>
  <c r="R36" i="2"/>
  <c r="S36" i="2"/>
  <c r="T36" i="2"/>
  <c r="R35" i="2"/>
  <c r="S35" i="2"/>
  <c r="T35" i="2"/>
  <c r="R34" i="2"/>
  <c r="S34" i="2"/>
  <c r="T34" i="2"/>
  <c r="R33" i="2"/>
  <c r="S33" i="2"/>
  <c r="T33" i="2"/>
  <c r="R32" i="2"/>
  <c r="S32" i="2"/>
  <c r="T32" i="2"/>
  <c r="R31" i="2"/>
  <c r="S31" i="2"/>
  <c r="T31" i="2"/>
  <c r="R30" i="2"/>
  <c r="S30" i="2"/>
  <c r="T30" i="2"/>
  <c r="R29" i="2"/>
  <c r="S29" i="2"/>
  <c r="T29" i="2"/>
  <c r="R28" i="2"/>
  <c r="S28" i="2"/>
  <c r="T28" i="2"/>
  <c r="R27" i="2"/>
  <c r="S27" i="2"/>
  <c r="T27" i="2"/>
  <c r="R26" i="2"/>
  <c r="S26" i="2"/>
  <c r="T26" i="2"/>
  <c r="R25" i="2"/>
  <c r="S25" i="2"/>
  <c r="T25" i="2"/>
  <c r="R24" i="2"/>
  <c r="S24" i="2"/>
  <c r="T24" i="2"/>
  <c r="R23" i="2"/>
  <c r="S23" i="2"/>
  <c r="T23" i="2"/>
  <c r="R22" i="2"/>
  <c r="S22" i="2"/>
  <c r="T22" i="2"/>
  <c r="R21" i="2"/>
  <c r="S21" i="2"/>
  <c r="T21" i="2"/>
  <c r="R20" i="2"/>
  <c r="S20" i="2"/>
  <c r="T20" i="2"/>
  <c r="R19" i="2"/>
  <c r="S19" i="2"/>
  <c r="T19" i="2"/>
  <c r="R18" i="2"/>
  <c r="S18" i="2"/>
  <c r="T18" i="2"/>
  <c r="R17" i="2"/>
  <c r="S17" i="2"/>
  <c r="T17" i="2"/>
  <c r="R16" i="2"/>
  <c r="S16" i="2"/>
  <c r="T16" i="2"/>
  <c r="R15" i="2"/>
  <c r="S15" i="2"/>
  <c r="T15" i="2"/>
  <c r="R14" i="2"/>
  <c r="S14" i="2"/>
  <c r="T14" i="2"/>
  <c r="R13" i="2"/>
  <c r="S13" i="2"/>
  <c r="T13" i="2"/>
  <c r="R12" i="2"/>
  <c r="S12" i="2"/>
  <c r="T12" i="2"/>
  <c r="R11" i="2"/>
  <c r="S11" i="2"/>
  <c r="T11" i="2"/>
  <c r="R10" i="2"/>
  <c r="S10" i="2"/>
  <c r="T10" i="2"/>
  <c r="R9" i="2"/>
  <c r="S9" i="2"/>
  <c r="T9" i="2"/>
  <c r="R8" i="2"/>
  <c r="S8" i="2"/>
  <c r="T8" i="2"/>
  <c r="R7" i="2"/>
  <c r="S7" i="2"/>
  <c r="T7" i="2"/>
  <c r="R6" i="2"/>
  <c r="S6" i="2"/>
  <c r="T6" i="2"/>
  <c r="R5" i="2"/>
  <c r="S5" i="2"/>
  <c r="T5" i="2"/>
  <c r="R4" i="2"/>
  <c r="S4" i="2"/>
  <c r="T4" i="2"/>
  <c r="AC1" i="2"/>
  <c r="R2" i="9"/>
  <c r="Q2" i="9"/>
  <c r="Q2" i="10"/>
  <c r="R2" i="10"/>
  <c r="R247" i="10"/>
  <c r="S247" i="10"/>
  <c r="T247" i="10"/>
  <c r="R246" i="10"/>
  <c r="S246" i="10"/>
  <c r="T246" i="10"/>
  <c r="R245" i="10"/>
  <c r="S245" i="10"/>
  <c r="T245" i="10"/>
  <c r="R244" i="10"/>
  <c r="S244" i="10"/>
  <c r="T244" i="10"/>
  <c r="R243" i="10"/>
  <c r="S243" i="10"/>
  <c r="T243" i="10"/>
  <c r="R242" i="10"/>
  <c r="S242" i="10"/>
  <c r="T242" i="10"/>
  <c r="R241" i="10"/>
  <c r="S241" i="10"/>
  <c r="T241" i="10"/>
  <c r="R240" i="10"/>
  <c r="S240" i="10"/>
  <c r="T240" i="10"/>
  <c r="R239" i="10"/>
  <c r="S239" i="10"/>
  <c r="T239" i="10"/>
  <c r="R238" i="10"/>
  <c r="S238" i="10"/>
  <c r="T238" i="10"/>
  <c r="R237" i="10"/>
  <c r="S237" i="10"/>
  <c r="T237" i="10"/>
  <c r="R236" i="10"/>
  <c r="S236" i="10"/>
  <c r="T236" i="10"/>
  <c r="R235" i="10"/>
  <c r="S235" i="10"/>
  <c r="T235" i="10"/>
  <c r="R234" i="10"/>
  <c r="S234" i="10"/>
  <c r="T234" i="10"/>
  <c r="R233" i="10"/>
  <c r="S233" i="10"/>
  <c r="T233" i="10"/>
  <c r="R232" i="10"/>
  <c r="S232" i="10"/>
  <c r="T232" i="10"/>
  <c r="R231" i="10"/>
  <c r="S231" i="10"/>
  <c r="T231" i="10"/>
  <c r="R230" i="10"/>
  <c r="S230" i="10"/>
  <c r="T230" i="10"/>
  <c r="R229" i="10"/>
  <c r="S229" i="10"/>
  <c r="T229" i="10"/>
  <c r="R228" i="10"/>
  <c r="S228" i="10"/>
  <c r="T228" i="10"/>
  <c r="R227" i="10"/>
  <c r="S227" i="10"/>
  <c r="T227" i="10"/>
  <c r="R226" i="10"/>
  <c r="S226" i="10"/>
  <c r="T226" i="10"/>
  <c r="R225" i="10"/>
  <c r="S225" i="10"/>
  <c r="T225" i="10"/>
  <c r="R224" i="10"/>
  <c r="S224" i="10"/>
  <c r="T224" i="10"/>
  <c r="R223" i="10"/>
  <c r="S223" i="10"/>
  <c r="T223" i="10"/>
  <c r="R222" i="10"/>
  <c r="S222" i="10"/>
  <c r="T222" i="10"/>
  <c r="R221" i="10"/>
  <c r="S221" i="10"/>
  <c r="T221" i="10"/>
  <c r="R220" i="10"/>
  <c r="S220" i="10"/>
  <c r="T220" i="10"/>
  <c r="R219" i="10"/>
  <c r="S219" i="10"/>
  <c r="T219" i="10"/>
  <c r="R218" i="10"/>
  <c r="S218" i="10"/>
  <c r="T218" i="10"/>
  <c r="R217" i="10"/>
  <c r="S217" i="10"/>
  <c r="T217" i="10"/>
  <c r="R216" i="10"/>
  <c r="S216" i="10"/>
  <c r="T216" i="10"/>
  <c r="R215" i="10"/>
  <c r="S215" i="10"/>
  <c r="T215" i="10"/>
  <c r="R214" i="10"/>
  <c r="S214" i="10"/>
  <c r="T214" i="10"/>
  <c r="R213" i="10"/>
  <c r="S213" i="10"/>
  <c r="T213" i="10"/>
  <c r="R212" i="10"/>
  <c r="S212" i="10"/>
  <c r="T212" i="10"/>
  <c r="R211" i="10"/>
  <c r="S211" i="10"/>
  <c r="T211" i="10"/>
  <c r="R210" i="10"/>
  <c r="S210" i="10"/>
  <c r="T210" i="10"/>
  <c r="R209" i="10"/>
  <c r="S209" i="10"/>
  <c r="T209" i="10"/>
  <c r="R208" i="10"/>
  <c r="S208" i="10"/>
  <c r="T208" i="10"/>
  <c r="R207" i="10"/>
  <c r="S207" i="10"/>
  <c r="T207" i="10"/>
  <c r="R206" i="10"/>
  <c r="S206" i="10"/>
  <c r="T206" i="10"/>
  <c r="R205" i="10"/>
  <c r="S205" i="10"/>
  <c r="T205" i="10"/>
  <c r="R204" i="10"/>
  <c r="S204" i="10"/>
  <c r="T204" i="10"/>
  <c r="R203" i="10"/>
  <c r="S203" i="10"/>
  <c r="T203" i="10"/>
  <c r="R202" i="10"/>
  <c r="S202" i="10"/>
  <c r="T202" i="10"/>
  <c r="R201" i="10"/>
  <c r="S201" i="10"/>
  <c r="T201" i="10"/>
  <c r="R200" i="10"/>
  <c r="S200" i="10"/>
  <c r="T200" i="10"/>
  <c r="R199" i="10"/>
  <c r="S199" i="10"/>
  <c r="T199" i="10"/>
  <c r="R198" i="10"/>
  <c r="S198" i="10"/>
  <c r="T198" i="10"/>
  <c r="R197" i="10"/>
  <c r="S197" i="10"/>
  <c r="T197" i="10"/>
  <c r="R196" i="10"/>
  <c r="S196" i="10"/>
  <c r="T196" i="10"/>
  <c r="R195" i="10"/>
  <c r="S195" i="10"/>
  <c r="T195" i="10"/>
  <c r="R194" i="10"/>
  <c r="S194" i="10"/>
  <c r="T194" i="10"/>
  <c r="R193" i="10"/>
  <c r="S193" i="10"/>
  <c r="T193" i="10"/>
  <c r="R192" i="10"/>
  <c r="S192" i="10"/>
  <c r="T192" i="10"/>
  <c r="R191" i="10"/>
  <c r="S191" i="10"/>
  <c r="T191" i="10"/>
  <c r="R190" i="10"/>
  <c r="S190" i="10"/>
  <c r="T190" i="10"/>
  <c r="R189" i="10"/>
  <c r="S189" i="10"/>
  <c r="T189" i="10"/>
  <c r="R188" i="10"/>
  <c r="S188" i="10"/>
  <c r="T188" i="10"/>
  <c r="R187" i="10"/>
  <c r="S187" i="10"/>
  <c r="T187" i="10"/>
  <c r="R186" i="10"/>
  <c r="S186" i="10"/>
  <c r="T186" i="10"/>
  <c r="R185" i="10"/>
  <c r="S185" i="10"/>
  <c r="T185" i="10"/>
  <c r="R184" i="10"/>
  <c r="S184" i="10"/>
  <c r="T184" i="10"/>
  <c r="R183" i="10"/>
  <c r="S183" i="10"/>
  <c r="T183" i="10"/>
  <c r="R182" i="10"/>
  <c r="S182" i="10"/>
  <c r="T182" i="10"/>
  <c r="R181" i="10"/>
  <c r="S181" i="10"/>
  <c r="T181" i="10"/>
  <c r="R180" i="10"/>
  <c r="S180" i="10"/>
  <c r="T180" i="10"/>
  <c r="R179" i="10"/>
  <c r="S179" i="10"/>
  <c r="T179" i="10"/>
  <c r="R178" i="10"/>
  <c r="S178" i="10"/>
  <c r="T178" i="10"/>
  <c r="R177" i="10"/>
  <c r="S177" i="10"/>
  <c r="T177" i="10"/>
  <c r="R176" i="10"/>
  <c r="S176" i="10"/>
  <c r="T176" i="10"/>
  <c r="R175" i="10"/>
  <c r="S175" i="10"/>
  <c r="T175" i="10"/>
  <c r="R174" i="10"/>
  <c r="S174" i="10"/>
  <c r="T174" i="10"/>
  <c r="R173" i="10"/>
  <c r="S173" i="10"/>
  <c r="T173" i="10"/>
  <c r="R172" i="10"/>
  <c r="S172" i="10"/>
  <c r="T172" i="10"/>
  <c r="R171" i="10"/>
  <c r="S171" i="10"/>
  <c r="T171" i="10"/>
  <c r="R170" i="10"/>
  <c r="S170" i="10"/>
  <c r="T170" i="10"/>
  <c r="R169" i="10"/>
  <c r="S169" i="10"/>
  <c r="T169" i="10"/>
  <c r="R168" i="10"/>
  <c r="S168" i="10"/>
  <c r="T168" i="10"/>
  <c r="R167" i="10"/>
  <c r="S167" i="10"/>
  <c r="T167" i="10"/>
  <c r="R166" i="10"/>
  <c r="S166" i="10"/>
  <c r="T166" i="10"/>
  <c r="R165" i="10"/>
  <c r="S165" i="10"/>
  <c r="T165" i="10"/>
  <c r="R164" i="10"/>
  <c r="S164" i="10"/>
  <c r="T164" i="10"/>
  <c r="R163" i="10"/>
  <c r="S163" i="10"/>
  <c r="T163" i="10"/>
  <c r="R162" i="10"/>
  <c r="S162" i="10"/>
  <c r="T162" i="10"/>
  <c r="R161" i="10"/>
  <c r="S161" i="10"/>
  <c r="T161" i="10"/>
  <c r="R160" i="10"/>
  <c r="S160" i="10"/>
  <c r="T160" i="10"/>
  <c r="R159" i="10"/>
  <c r="S159" i="10"/>
  <c r="T159" i="10"/>
  <c r="R158" i="10"/>
  <c r="S158" i="10"/>
  <c r="T158" i="10"/>
  <c r="R157" i="10"/>
  <c r="S157" i="10"/>
  <c r="T157" i="10"/>
  <c r="R156" i="10"/>
  <c r="S156" i="10"/>
  <c r="T156" i="10"/>
  <c r="R155" i="10"/>
  <c r="S155" i="10"/>
  <c r="T155" i="10"/>
  <c r="R154" i="10"/>
  <c r="S154" i="10"/>
  <c r="T154" i="10"/>
  <c r="R153" i="10"/>
  <c r="S153" i="10"/>
  <c r="T153" i="10"/>
  <c r="R152" i="10"/>
  <c r="S152" i="10"/>
  <c r="T152" i="10"/>
  <c r="R151" i="10"/>
  <c r="S151" i="10"/>
  <c r="T151" i="10"/>
  <c r="R150" i="10"/>
  <c r="S150" i="10"/>
  <c r="T150" i="10"/>
  <c r="R149" i="10"/>
  <c r="S149" i="10"/>
  <c r="T149" i="10"/>
  <c r="R148" i="10"/>
  <c r="S148" i="10"/>
  <c r="T148" i="10"/>
  <c r="R147" i="10"/>
  <c r="S147" i="10"/>
  <c r="T147" i="10"/>
  <c r="R146" i="10"/>
  <c r="S146" i="10"/>
  <c r="T146" i="10"/>
  <c r="R145" i="10"/>
  <c r="S145" i="10"/>
  <c r="T145" i="10"/>
  <c r="R144" i="10"/>
  <c r="S144" i="10"/>
  <c r="T144" i="10"/>
  <c r="R143" i="10"/>
  <c r="S143" i="10"/>
  <c r="T143" i="10"/>
  <c r="R142" i="10"/>
  <c r="S142" i="10"/>
  <c r="T142" i="10"/>
  <c r="R141" i="10"/>
  <c r="S141" i="10"/>
  <c r="T141" i="10"/>
  <c r="R140" i="10"/>
  <c r="S140" i="10"/>
  <c r="T140" i="10"/>
  <c r="R139" i="10"/>
  <c r="S139" i="10"/>
  <c r="T139" i="10"/>
  <c r="R138" i="10"/>
  <c r="S138" i="10"/>
  <c r="T138" i="10"/>
  <c r="R137" i="10"/>
  <c r="S137" i="10"/>
  <c r="T137" i="10"/>
  <c r="R136" i="10"/>
  <c r="S136" i="10"/>
  <c r="T136" i="10"/>
  <c r="R135" i="10"/>
  <c r="S135" i="10"/>
  <c r="T135" i="10"/>
  <c r="R134" i="10"/>
  <c r="S134" i="10"/>
  <c r="T134" i="10"/>
  <c r="R133" i="10"/>
  <c r="S133" i="10"/>
  <c r="T133" i="10"/>
  <c r="R132" i="10"/>
  <c r="S132" i="10"/>
  <c r="T132" i="10"/>
  <c r="R131" i="10"/>
  <c r="S131" i="10"/>
  <c r="T131" i="10"/>
  <c r="R130" i="10"/>
  <c r="S130" i="10"/>
  <c r="T130" i="10"/>
  <c r="R129" i="10"/>
  <c r="S129" i="10"/>
  <c r="T129" i="10"/>
  <c r="R128" i="10"/>
  <c r="S128" i="10"/>
  <c r="T128" i="10"/>
  <c r="R127" i="10"/>
  <c r="S127" i="10"/>
  <c r="T127" i="10"/>
  <c r="R126" i="10"/>
  <c r="S126" i="10"/>
  <c r="T126" i="10"/>
  <c r="R125" i="10"/>
  <c r="S125" i="10"/>
  <c r="T125" i="10"/>
  <c r="R124" i="10"/>
  <c r="S124" i="10"/>
  <c r="T124" i="10"/>
  <c r="R123" i="10"/>
  <c r="S123" i="10"/>
  <c r="T123" i="10"/>
  <c r="R122" i="10"/>
  <c r="S122" i="10"/>
  <c r="T122" i="10"/>
  <c r="R121" i="10"/>
  <c r="S121" i="10"/>
  <c r="T121" i="10"/>
  <c r="R120" i="10"/>
  <c r="S120" i="10"/>
  <c r="T120" i="10"/>
  <c r="R119" i="10"/>
  <c r="S119" i="10"/>
  <c r="T119" i="10"/>
  <c r="R118" i="10"/>
  <c r="S118" i="10"/>
  <c r="T118" i="10"/>
  <c r="R117" i="10"/>
  <c r="S117" i="10"/>
  <c r="T117" i="10"/>
  <c r="R116" i="10"/>
  <c r="S116" i="10"/>
  <c r="T116" i="10"/>
  <c r="R115" i="10"/>
  <c r="S115" i="10"/>
  <c r="T115" i="10"/>
  <c r="R114" i="10"/>
  <c r="S114" i="10"/>
  <c r="T114" i="10"/>
  <c r="R113" i="10"/>
  <c r="S113" i="10"/>
  <c r="T113" i="10"/>
  <c r="R112" i="10"/>
  <c r="S112" i="10"/>
  <c r="T112" i="10"/>
  <c r="R111" i="10"/>
  <c r="S111" i="10"/>
  <c r="T111" i="10"/>
  <c r="R110" i="10"/>
  <c r="S110" i="10"/>
  <c r="T110" i="10"/>
  <c r="R109" i="10"/>
  <c r="S109" i="10"/>
  <c r="T109" i="10"/>
  <c r="R108" i="10"/>
  <c r="S108" i="10"/>
  <c r="T108" i="10"/>
  <c r="R107" i="10"/>
  <c r="S107" i="10"/>
  <c r="T107" i="10"/>
  <c r="R106" i="10"/>
  <c r="S106" i="10"/>
  <c r="T106" i="10"/>
  <c r="R105" i="10"/>
  <c r="S105" i="10"/>
  <c r="T105" i="10"/>
  <c r="R104" i="10"/>
  <c r="S104" i="10"/>
  <c r="T104" i="10"/>
  <c r="R103" i="10"/>
  <c r="S103" i="10"/>
  <c r="T103" i="10"/>
  <c r="R102" i="10"/>
  <c r="S102" i="10"/>
  <c r="T102" i="10"/>
  <c r="R101" i="10"/>
  <c r="S101" i="10"/>
  <c r="T101" i="10"/>
  <c r="R100" i="10"/>
  <c r="S100" i="10"/>
  <c r="T100" i="10"/>
  <c r="R99" i="10"/>
  <c r="S99" i="10"/>
  <c r="T99" i="10"/>
  <c r="R98" i="10"/>
  <c r="S98" i="10"/>
  <c r="T98" i="10"/>
  <c r="R97" i="10"/>
  <c r="S97" i="10"/>
  <c r="T97" i="10"/>
  <c r="R96" i="10"/>
  <c r="S96" i="10"/>
  <c r="T96" i="10"/>
  <c r="R95" i="10"/>
  <c r="S95" i="10"/>
  <c r="T95" i="10"/>
  <c r="R94" i="10"/>
  <c r="S94" i="10"/>
  <c r="T94" i="10"/>
  <c r="R93" i="10"/>
  <c r="S93" i="10"/>
  <c r="T93" i="10"/>
  <c r="R92" i="10"/>
  <c r="S92" i="10"/>
  <c r="T92" i="10"/>
  <c r="R91" i="10"/>
  <c r="S91" i="10"/>
  <c r="T91" i="10"/>
  <c r="R90" i="10"/>
  <c r="S90" i="10"/>
  <c r="T90" i="10"/>
  <c r="R89" i="10"/>
  <c r="S89" i="10"/>
  <c r="T89" i="10"/>
  <c r="R88" i="10"/>
  <c r="S88" i="10"/>
  <c r="T88" i="10"/>
  <c r="R87" i="10"/>
  <c r="S87" i="10"/>
  <c r="T87" i="10"/>
  <c r="R86" i="10"/>
  <c r="S86" i="10"/>
  <c r="T86" i="10"/>
  <c r="R85" i="10"/>
  <c r="S85" i="10"/>
  <c r="T85" i="10"/>
  <c r="R84" i="10"/>
  <c r="S84" i="10"/>
  <c r="T84" i="10"/>
  <c r="R83" i="10"/>
  <c r="S83" i="10"/>
  <c r="T83" i="10"/>
  <c r="R82" i="10"/>
  <c r="S82" i="10"/>
  <c r="T82" i="10"/>
  <c r="R81" i="10"/>
  <c r="S81" i="10"/>
  <c r="T81" i="10"/>
  <c r="R80" i="10"/>
  <c r="S80" i="10"/>
  <c r="T80" i="10"/>
  <c r="R79" i="10"/>
  <c r="S79" i="10"/>
  <c r="T79" i="10"/>
  <c r="R78" i="10"/>
  <c r="S78" i="10"/>
  <c r="T78" i="10"/>
  <c r="R77" i="10"/>
  <c r="S77" i="10"/>
  <c r="T77" i="10"/>
  <c r="R76" i="10"/>
  <c r="S76" i="10"/>
  <c r="T76" i="10"/>
  <c r="R75" i="10"/>
  <c r="S75" i="10"/>
  <c r="T75" i="10"/>
  <c r="R74" i="10"/>
  <c r="S74" i="10"/>
  <c r="T74" i="10"/>
  <c r="R73" i="10"/>
  <c r="S73" i="10"/>
  <c r="T73" i="10"/>
  <c r="R72" i="10"/>
  <c r="S72" i="10"/>
  <c r="T72" i="10"/>
  <c r="R71" i="10"/>
  <c r="S71" i="10"/>
  <c r="T71" i="10"/>
  <c r="R70" i="10"/>
  <c r="S70" i="10"/>
  <c r="T70" i="10"/>
  <c r="R69" i="10"/>
  <c r="S69" i="10"/>
  <c r="T69" i="10"/>
  <c r="R68" i="10"/>
  <c r="S68" i="10"/>
  <c r="T68" i="10"/>
  <c r="R67" i="10"/>
  <c r="S67" i="10"/>
  <c r="T67" i="10"/>
  <c r="R66" i="10"/>
  <c r="S66" i="10"/>
  <c r="T66" i="10"/>
  <c r="R65" i="10"/>
  <c r="S65" i="10"/>
  <c r="T65" i="10"/>
  <c r="R64" i="10"/>
  <c r="S64" i="10"/>
  <c r="T64" i="10"/>
  <c r="R63" i="10"/>
  <c r="S63" i="10"/>
  <c r="T63" i="10"/>
  <c r="R62" i="10"/>
  <c r="S62" i="10"/>
  <c r="T62" i="10"/>
  <c r="R61" i="10"/>
  <c r="S61" i="10"/>
  <c r="T61" i="10"/>
  <c r="R60" i="10"/>
  <c r="S60" i="10"/>
  <c r="T60" i="10"/>
  <c r="R59" i="10"/>
  <c r="S59" i="10"/>
  <c r="T59" i="10"/>
  <c r="R58" i="10"/>
  <c r="S58" i="10"/>
  <c r="T58" i="10"/>
  <c r="R57" i="10"/>
  <c r="S57" i="10"/>
  <c r="T57" i="10"/>
  <c r="R56" i="10"/>
  <c r="S56" i="10"/>
  <c r="T56" i="10"/>
  <c r="R55" i="10"/>
  <c r="S55" i="10"/>
  <c r="T55" i="10"/>
  <c r="R54" i="10"/>
  <c r="S54" i="10"/>
  <c r="T54" i="10"/>
  <c r="R53" i="10"/>
  <c r="S53" i="10"/>
  <c r="T53" i="10"/>
  <c r="R52" i="10"/>
  <c r="S52" i="10"/>
  <c r="T52" i="10"/>
  <c r="R51" i="10"/>
  <c r="S51" i="10"/>
  <c r="T51" i="10"/>
  <c r="R50" i="10"/>
  <c r="S50" i="10"/>
  <c r="T50" i="10"/>
  <c r="R49" i="10"/>
  <c r="S49" i="10"/>
  <c r="T49" i="10"/>
  <c r="R48" i="10"/>
  <c r="S48" i="10"/>
  <c r="T48" i="10"/>
  <c r="R47" i="10"/>
  <c r="S47" i="10"/>
  <c r="T47" i="10"/>
  <c r="R46" i="10"/>
  <c r="S46" i="10"/>
  <c r="T46" i="10"/>
  <c r="R45" i="10"/>
  <c r="S45" i="10"/>
  <c r="T45" i="10"/>
  <c r="R44" i="10"/>
  <c r="S44" i="10"/>
  <c r="T44" i="10"/>
  <c r="R43" i="10"/>
  <c r="S43" i="10"/>
  <c r="T43" i="10"/>
  <c r="R42" i="10"/>
  <c r="S42" i="10"/>
  <c r="T42" i="10"/>
  <c r="R41" i="10"/>
  <c r="S41" i="10"/>
  <c r="T41" i="10"/>
  <c r="R40" i="10"/>
  <c r="S40" i="10"/>
  <c r="T40" i="10"/>
  <c r="R39" i="10"/>
  <c r="S39" i="10"/>
  <c r="T39" i="10"/>
  <c r="R38" i="10"/>
  <c r="S38" i="10"/>
  <c r="T38" i="10"/>
  <c r="R37" i="10"/>
  <c r="S37" i="10"/>
  <c r="T37" i="10"/>
  <c r="R36" i="10"/>
  <c r="S36" i="10"/>
  <c r="T36" i="10"/>
  <c r="R35" i="10"/>
  <c r="S35" i="10"/>
  <c r="T35" i="10"/>
  <c r="R34" i="10"/>
  <c r="S34" i="10"/>
  <c r="T34" i="10"/>
  <c r="R33" i="10"/>
  <c r="S33" i="10"/>
  <c r="T33" i="10"/>
  <c r="R32" i="10"/>
  <c r="S32" i="10"/>
  <c r="T32" i="10"/>
  <c r="R31" i="10"/>
  <c r="S31" i="10"/>
  <c r="T31" i="10"/>
  <c r="R30" i="10"/>
  <c r="S30" i="10"/>
  <c r="T30" i="10"/>
  <c r="R29" i="10"/>
  <c r="S29" i="10"/>
  <c r="T29" i="10"/>
  <c r="R28" i="10"/>
  <c r="S28" i="10"/>
  <c r="T28" i="10"/>
  <c r="R27" i="10"/>
  <c r="S27" i="10"/>
  <c r="T27" i="10"/>
  <c r="R26" i="10"/>
  <c r="S26" i="10"/>
  <c r="T26" i="10"/>
  <c r="R25" i="10"/>
  <c r="S25" i="10"/>
  <c r="T25" i="10"/>
  <c r="R24" i="10"/>
  <c r="S24" i="10"/>
  <c r="T24" i="10"/>
  <c r="R23" i="10"/>
  <c r="S23" i="10"/>
  <c r="T23" i="10"/>
  <c r="R22" i="10"/>
  <c r="S22" i="10"/>
  <c r="T22" i="10"/>
  <c r="R21" i="10"/>
  <c r="S21" i="10"/>
  <c r="T21" i="10"/>
  <c r="R20" i="10"/>
  <c r="S20" i="10"/>
  <c r="T20" i="10"/>
  <c r="R19" i="10"/>
  <c r="S19" i="10"/>
  <c r="T19" i="10"/>
  <c r="R18" i="10"/>
  <c r="S18" i="10"/>
  <c r="T18" i="10"/>
  <c r="R17" i="10"/>
  <c r="S17" i="10"/>
  <c r="T17" i="10"/>
  <c r="R16" i="10"/>
  <c r="S16" i="10"/>
  <c r="T16" i="10"/>
  <c r="R15" i="10"/>
  <c r="S15" i="10"/>
  <c r="T15" i="10"/>
  <c r="R14" i="10"/>
  <c r="S14" i="10"/>
  <c r="T14" i="10"/>
  <c r="R13" i="10"/>
  <c r="S13" i="10"/>
  <c r="T13" i="10"/>
  <c r="R12" i="10"/>
  <c r="S12" i="10"/>
  <c r="T12" i="10"/>
  <c r="R11" i="10"/>
  <c r="S11" i="10"/>
  <c r="T11" i="10"/>
  <c r="R10" i="10"/>
  <c r="S10" i="10"/>
  <c r="T10" i="10"/>
  <c r="R9" i="10"/>
  <c r="S9" i="10"/>
  <c r="T9" i="10"/>
  <c r="R8" i="10"/>
  <c r="S8" i="10"/>
  <c r="T8" i="10"/>
  <c r="R7" i="10"/>
  <c r="S7" i="10"/>
  <c r="T7" i="10"/>
  <c r="R6" i="10"/>
  <c r="S6" i="10"/>
  <c r="T6" i="10"/>
  <c r="R5" i="10"/>
  <c r="S5" i="10"/>
  <c r="T5" i="10"/>
  <c r="R4" i="10"/>
  <c r="S4" i="10"/>
  <c r="T4" i="10"/>
  <c r="AC4" i="2"/>
  <c r="AD4" i="2"/>
  <c r="C4" i="13"/>
  <c r="AF4" i="2"/>
  <c r="AP4" i="2"/>
  <c r="D4" i="13"/>
  <c r="AM4" i="2"/>
  <c r="G4" i="13"/>
  <c r="AN4" i="2"/>
  <c r="H4" i="13"/>
  <c r="AO4" i="2"/>
  <c r="I4" i="13"/>
  <c r="J4" i="13"/>
  <c r="AC5" i="2"/>
  <c r="AD5" i="2"/>
  <c r="AF5" i="2"/>
  <c r="AP5" i="2"/>
  <c r="AC6" i="2"/>
  <c r="AD6" i="2"/>
  <c r="AF6" i="2"/>
  <c r="AP6" i="2"/>
  <c r="AC7" i="2"/>
  <c r="AD7" i="2"/>
  <c r="AF7" i="2"/>
  <c r="AP7" i="2"/>
  <c r="AC8" i="2"/>
  <c r="AD8" i="2"/>
  <c r="AF8" i="2"/>
  <c r="AP8" i="2"/>
  <c r="AC9" i="2"/>
  <c r="AD9" i="2"/>
  <c r="AF9" i="2"/>
  <c r="AP9" i="2"/>
  <c r="AC10" i="2"/>
  <c r="AD10" i="2"/>
  <c r="AF10" i="2"/>
  <c r="AP10" i="2"/>
  <c r="AC11" i="2"/>
  <c r="AD11" i="2"/>
  <c r="AF11" i="2"/>
  <c r="AP11" i="2"/>
  <c r="AC12" i="2"/>
  <c r="AD12" i="2"/>
  <c r="AF12" i="2"/>
  <c r="AP12" i="2"/>
  <c r="AC13" i="2"/>
  <c r="AD13" i="2"/>
  <c r="AF13" i="2"/>
  <c r="AP13" i="2"/>
  <c r="AC14" i="2"/>
  <c r="AD14" i="2"/>
  <c r="AF14" i="2"/>
  <c r="AP14" i="2"/>
  <c r="AC15" i="2"/>
  <c r="AD15" i="2"/>
  <c r="AF15" i="2"/>
  <c r="AP15" i="2"/>
  <c r="AC16" i="2"/>
  <c r="AD16" i="2"/>
  <c r="AF16" i="2"/>
  <c r="AP16" i="2"/>
  <c r="AC17" i="2"/>
  <c r="AD17" i="2"/>
  <c r="AF17" i="2"/>
  <c r="AP17" i="2"/>
  <c r="AC18" i="2"/>
  <c r="AD18" i="2"/>
  <c r="AF18" i="2"/>
  <c r="AP18" i="2"/>
  <c r="AC19" i="2"/>
  <c r="AD19" i="2"/>
  <c r="AF19" i="2"/>
  <c r="AP19" i="2"/>
  <c r="AC20" i="2"/>
  <c r="AD20" i="2"/>
  <c r="AF20" i="2"/>
  <c r="AP20" i="2"/>
  <c r="AC21" i="2"/>
  <c r="AD21" i="2"/>
  <c r="AF21" i="2"/>
  <c r="AP21" i="2"/>
  <c r="AC22" i="2"/>
  <c r="AD22" i="2"/>
  <c r="AF22" i="2"/>
  <c r="AP22" i="2"/>
  <c r="AC23" i="2"/>
  <c r="AD23" i="2"/>
  <c r="AF23" i="2"/>
  <c r="AP23" i="2"/>
  <c r="AC24" i="2"/>
  <c r="AD24" i="2"/>
  <c r="AF24" i="2"/>
  <c r="AP24" i="2"/>
  <c r="AC25" i="2"/>
  <c r="AD25" i="2"/>
  <c r="AF25" i="2"/>
  <c r="AP25" i="2"/>
  <c r="AC26" i="2"/>
  <c r="AD26" i="2"/>
  <c r="AF26" i="2"/>
  <c r="AP26" i="2"/>
  <c r="AC27" i="2"/>
  <c r="AD27" i="2"/>
  <c r="AF27" i="2"/>
  <c r="AP27" i="2"/>
  <c r="AC28" i="2"/>
  <c r="AD28" i="2"/>
  <c r="AF28" i="2"/>
  <c r="AP28" i="2"/>
  <c r="AC29" i="2"/>
  <c r="AD29" i="2"/>
  <c r="AF29" i="2"/>
  <c r="AP29" i="2"/>
  <c r="AC30" i="2"/>
  <c r="AD30" i="2"/>
  <c r="AF30" i="2"/>
  <c r="AP30" i="2"/>
  <c r="AC31" i="2"/>
  <c r="AD31" i="2"/>
  <c r="AF31" i="2"/>
  <c r="AP31" i="2"/>
  <c r="AC32" i="2"/>
  <c r="AD32" i="2"/>
  <c r="AF32" i="2"/>
  <c r="AP32" i="2"/>
  <c r="AC33" i="2"/>
  <c r="AD33" i="2"/>
  <c r="AF33" i="2"/>
  <c r="AP33" i="2"/>
  <c r="AC34" i="2"/>
  <c r="AD34" i="2"/>
  <c r="AF34" i="2"/>
  <c r="AP34" i="2"/>
  <c r="AC35" i="2"/>
  <c r="AD35" i="2"/>
  <c r="AF35" i="2"/>
  <c r="AP35" i="2"/>
  <c r="AC36" i="2"/>
  <c r="AD36" i="2"/>
  <c r="AF36" i="2"/>
  <c r="AP36" i="2"/>
  <c r="AC37" i="2"/>
  <c r="AD37" i="2"/>
  <c r="AF37" i="2"/>
  <c r="AP37" i="2"/>
  <c r="AC38" i="2"/>
  <c r="AD38" i="2"/>
  <c r="AF38" i="2"/>
  <c r="AP38" i="2"/>
  <c r="AC39" i="2"/>
  <c r="AD39" i="2"/>
  <c r="AF39" i="2"/>
  <c r="AP39" i="2"/>
  <c r="AC40" i="2"/>
  <c r="AD40" i="2"/>
  <c r="AF40" i="2"/>
  <c r="AP40" i="2"/>
  <c r="AC41" i="2"/>
  <c r="AD41" i="2"/>
  <c r="AF41" i="2"/>
  <c r="AP41" i="2"/>
  <c r="AC42" i="2"/>
  <c r="AD42" i="2"/>
  <c r="AF42" i="2"/>
  <c r="AP42" i="2"/>
  <c r="AC43" i="2"/>
  <c r="AD43" i="2"/>
  <c r="AF43" i="2"/>
  <c r="AP43" i="2"/>
  <c r="AC44" i="2"/>
  <c r="AD44" i="2"/>
  <c r="AF44" i="2"/>
  <c r="AP44" i="2"/>
  <c r="AC45" i="2"/>
  <c r="AD45" i="2"/>
  <c r="AF45" i="2"/>
  <c r="AP45" i="2"/>
  <c r="AC46" i="2"/>
  <c r="AD46" i="2"/>
  <c r="AF46" i="2"/>
  <c r="AP46" i="2"/>
  <c r="AC47" i="2"/>
  <c r="AD47" i="2"/>
  <c r="AF47" i="2"/>
  <c r="AP47" i="2"/>
  <c r="AC48" i="2"/>
  <c r="AD48" i="2"/>
  <c r="AF48" i="2"/>
  <c r="AP48" i="2"/>
  <c r="AC49" i="2"/>
  <c r="AD49" i="2"/>
  <c r="AF49" i="2"/>
  <c r="AP49" i="2"/>
  <c r="AC50" i="2"/>
  <c r="AD50" i="2"/>
  <c r="AF50" i="2"/>
  <c r="AP50" i="2"/>
  <c r="AC51" i="2"/>
  <c r="AD51" i="2"/>
  <c r="AF51" i="2"/>
  <c r="AP51" i="2"/>
  <c r="AC52" i="2"/>
  <c r="AD52" i="2"/>
  <c r="AF52" i="2"/>
  <c r="AP52" i="2"/>
  <c r="AC53" i="2"/>
  <c r="AD53" i="2"/>
  <c r="AF53" i="2"/>
  <c r="AP53" i="2"/>
  <c r="AC54" i="2"/>
  <c r="AD54" i="2"/>
  <c r="AF54" i="2"/>
  <c r="AP54" i="2"/>
  <c r="AC55" i="2"/>
  <c r="AD55" i="2"/>
  <c r="AF55" i="2"/>
  <c r="AP55" i="2"/>
  <c r="AC56" i="2"/>
  <c r="AD56" i="2"/>
  <c r="AF56" i="2"/>
  <c r="AP56" i="2"/>
  <c r="AC57" i="2"/>
  <c r="AD57" i="2"/>
  <c r="AF57" i="2"/>
  <c r="AP57" i="2"/>
  <c r="AC58" i="2"/>
  <c r="AD58" i="2"/>
  <c r="AF58" i="2"/>
  <c r="AP58" i="2"/>
  <c r="AC59" i="2"/>
  <c r="AD59" i="2"/>
  <c r="AF59" i="2"/>
  <c r="AP59" i="2"/>
  <c r="AC60" i="2"/>
  <c r="AD60" i="2"/>
  <c r="AF60" i="2"/>
  <c r="AP60" i="2"/>
  <c r="AC61" i="2"/>
  <c r="AD61" i="2"/>
  <c r="AF61" i="2"/>
  <c r="AP61" i="2"/>
  <c r="AC62" i="2"/>
  <c r="AD62" i="2"/>
  <c r="AF62" i="2"/>
  <c r="AP62" i="2"/>
  <c r="AC63" i="2"/>
  <c r="AD63" i="2"/>
  <c r="AF63" i="2"/>
  <c r="AP63" i="2"/>
  <c r="AC64" i="2"/>
  <c r="AD64" i="2"/>
  <c r="AF64" i="2"/>
  <c r="AP64" i="2"/>
  <c r="AC65" i="2"/>
  <c r="AD65" i="2"/>
  <c r="AF65" i="2"/>
  <c r="AP65" i="2"/>
  <c r="AC66" i="2"/>
  <c r="AD66" i="2"/>
  <c r="AF66" i="2"/>
  <c r="AP66" i="2"/>
  <c r="AC67" i="2"/>
  <c r="AD67" i="2"/>
  <c r="AF67" i="2"/>
  <c r="AP67" i="2"/>
  <c r="AC68" i="2"/>
  <c r="AD68" i="2"/>
  <c r="AF68" i="2"/>
  <c r="AP68" i="2"/>
  <c r="AC69" i="2"/>
  <c r="AD69" i="2"/>
  <c r="AF69" i="2"/>
  <c r="AP69" i="2"/>
  <c r="AC70" i="2"/>
  <c r="AD70" i="2"/>
  <c r="AF70" i="2"/>
  <c r="AP70" i="2"/>
  <c r="AC71" i="2"/>
  <c r="AD71" i="2"/>
  <c r="AF71" i="2"/>
  <c r="AP71" i="2"/>
  <c r="AC72" i="2"/>
  <c r="AD72" i="2"/>
  <c r="AF72" i="2"/>
  <c r="AP72" i="2"/>
  <c r="AC73" i="2"/>
  <c r="AD73" i="2"/>
  <c r="AF73" i="2"/>
  <c r="AP73" i="2"/>
  <c r="AC74" i="2"/>
  <c r="AD74" i="2"/>
  <c r="AF74" i="2"/>
  <c r="AP74" i="2"/>
  <c r="AC75" i="2"/>
  <c r="AD75" i="2"/>
  <c r="AF75" i="2"/>
  <c r="AP75" i="2"/>
  <c r="AC76" i="2"/>
  <c r="AD76" i="2"/>
  <c r="AF76" i="2"/>
  <c r="AP76" i="2"/>
  <c r="AC77" i="2"/>
  <c r="AD77" i="2"/>
  <c r="AF77" i="2"/>
  <c r="AP77" i="2"/>
  <c r="AC78" i="2"/>
  <c r="AD78" i="2"/>
  <c r="AF78" i="2"/>
  <c r="AP78" i="2"/>
  <c r="AC79" i="2"/>
  <c r="AD79" i="2"/>
  <c r="AF79" i="2"/>
  <c r="AP79" i="2"/>
  <c r="AC80" i="2"/>
  <c r="AD80" i="2"/>
  <c r="AF80" i="2"/>
  <c r="AP80" i="2"/>
  <c r="AC81" i="2"/>
  <c r="AD81" i="2"/>
  <c r="AF81" i="2"/>
  <c r="AP81" i="2"/>
  <c r="AC82" i="2"/>
  <c r="AD82" i="2"/>
  <c r="AF82" i="2"/>
  <c r="AP82" i="2"/>
  <c r="AC83" i="2"/>
  <c r="AD83" i="2"/>
  <c r="AF83" i="2"/>
  <c r="AP83" i="2"/>
  <c r="AC84" i="2"/>
  <c r="AD84" i="2"/>
  <c r="AF84" i="2"/>
  <c r="AP84" i="2"/>
  <c r="AC85" i="2"/>
  <c r="AD85" i="2"/>
  <c r="AF85" i="2"/>
  <c r="AP85" i="2"/>
  <c r="AC86" i="2"/>
  <c r="AD86" i="2"/>
  <c r="AF86" i="2"/>
  <c r="AP86" i="2"/>
  <c r="AC87" i="2"/>
  <c r="AD87" i="2"/>
  <c r="AF87" i="2"/>
  <c r="AP87" i="2"/>
  <c r="AC88" i="2"/>
  <c r="AD88" i="2"/>
  <c r="AF88" i="2"/>
  <c r="AP88" i="2"/>
  <c r="AC89" i="2"/>
  <c r="AD89" i="2"/>
  <c r="AF89" i="2"/>
  <c r="AP89" i="2"/>
  <c r="AC90" i="2"/>
  <c r="AD90" i="2"/>
  <c r="AF90" i="2"/>
  <c r="AP90" i="2"/>
  <c r="AC91" i="2"/>
  <c r="AD91" i="2"/>
  <c r="AF91" i="2"/>
  <c r="AP91" i="2"/>
  <c r="AC92" i="2"/>
  <c r="AD92" i="2"/>
  <c r="AF92" i="2"/>
  <c r="AP92" i="2"/>
  <c r="AC93" i="2"/>
  <c r="AD93" i="2"/>
  <c r="AF93" i="2"/>
  <c r="AP93" i="2"/>
  <c r="AC94" i="2"/>
  <c r="AD94" i="2"/>
  <c r="AF94" i="2"/>
  <c r="AP94" i="2"/>
  <c r="AC95" i="2"/>
  <c r="AD95" i="2"/>
  <c r="AF95" i="2"/>
  <c r="AP95" i="2"/>
  <c r="AC96" i="2"/>
  <c r="AD96" i="2"/>
  <c r="AF96" i="2"/>
  <c r="AP96" i="2"/>
  <c r="AC97" i="2"/>
  <c r="AD97" i="2"/>
  <c r="AF97" i="2"/>
  <c r="AP97" i="2"/>
  <c r="AC98" i="2"/>
  <c r="AD98" i="2"/>
  <c r="AF98" i="2"/>
  <c r="AP98" i="2"/>
  <c r="AC99" i="2"/>
  <c r="AD99" i="2"/>
  <c r="AF99" i="2"/>
  <c r="AP99" i="2"/>
  <c r="AC100" i="2"/>
  <c r="AD100" i="2"/>
  <c r="AF100" i="2"/>
  <c r="AP100" i="2"/>
  <c r="AC101" i="2"/>
  <c r="AD101" i="2"/>
  <c r="AF101" i="2"/>
  <c r="AP101" i="2"/>
  <c r="AC102" i="2"/>
  <c r="AD102" i="2"/>
  <c r="AF102" i="2"/>
  <c r="AP102" i="2"/>
  <c r="AC103" i="2"/>
  <c r="AD103" i="2"/>
  <c r="AF103" i="2"/>
  <c r="AP103" i="2"/>
  <c r="AC104" i="2"/>
  <c r="AD104" i="2"/>
  <c r="AF104" i="2"/>
  <c r="AP104" i="2"/>
  <c r="AC105" i="2"/>
  <c r="AD105" i="2"/>
  <c r="AF105" i="2"/>
  <c r="AP105" i="2"/>
  <c r="AC106" i="2"/>
  <c r="AD106" i="2"/>
  <c r="AF106" i="2"/>
  <c r="AP106" i="2"/>
  <c r="AC107" i="2"/>
  <c r="AD107" i="2"/>
  <c r="AF107" i="2"/>
  <c r="AP107" i="2"/>
  <c r="AC108" i="2"/>
  <c r="AD108" i="2"/>
  <c r="AF108" i="2"/>
  <c r="AP108" i="2"/>
  <c r="AC109" i="2"/>
  <c r="AD109" i="2"/>
  <c r="AF109" i="2"/>
  <c r="AP109" i="2"/>
  <c r="AC110" i="2"/>
  <c r="AD110" i="2"/>
  <c r="AF110" i="2"/>
  <c r="AP110" i="2"/>
  <c r="AC111" i="2"/>
  <c r="AD111" i="2"/>
  <c r="AF111" i="2"/>
  <c r="AP111" i="2"/>
  <c r="AC112" i="2"/>
  <c r="AD112" i="2"/>
  <c r="AF112" i="2"/>
  <c r="AP112" i="2"/>
  <c r="AC113" i="2"/>
  <c r="AD113" i="2"/>
  <c r="AF113" i="2"/>
  <c r="AP113" i="2"/>
  <c r="AC114" i="2"/>
  <c r="AD114" i="2"/>
  <c r="AF114" i="2"/>
  <c r="AP114" i="2"/>
  <c r="AC115" i="2"/>
  <c r="AD115" i="2"/>
  <c r="AF115" i="2"/>
  <c r="AP115" i="2"/>
  <c r="AC116" i="2"/>
  <c r="AD116" i="2"/>
  <c r="AF116" i="2"/>
  <c r="AP116" i="2"/>
  <c r="AC117" i="2"/>
  <c r="AD117" i="2"/>
  <c r="AF117" i="2"/>
  <c r="AP117" i="2"/>
  <c r="AC118" i="2"/>
  <c r="AD118" i="2"/>
  <c r="AF118" i="2"/>
  <c r="AP118" i="2"/>
  <c r="AC119" i="2"/>
  <c r="AD119" i="2"/>
  <c r="AF119" i="2"/>
  <c r="AP119" i="2"/>
  <c r="AC120" i="2"/>
  <c r="AD120" i="2"/>
  <c r="AF120" i="2"/>
  <c r="AP120" i="2"/>
  <c r="AC121" i="2"/>
  <c r="AD121" i="2"/>
  <c r="AF121" i="2"/>
  <c r="AP121" i="2"/>
  <c r="AC122" i="2"/>
  <c r="AD122" i="2"/>
  <c r="AF122" i="2"/>
  <c r="AP122" i="2"/>
  <c r="AC123" i="2"/>
  <c r="AD123" i="2"/>
  <c r="AF123" i="2"/>
  <c r="AP123" i="2"/>
  <c r="AC124" i="2"/>
  <c r="AD124" i="2"/>
  <c r="AF124" i="2"/>
  <c r="AP124" i="2"/>
  <c r="AC125" i="2"/>
  <c r="AD125" i="2"/>
  <c r="AF125" i="2"/>
  <c r="AP125" i="2"/>
  <c r="AC126" i="2"/>
  <c r="AD126" i="2"/>
  <c r="AF126" i="2"/>
  <c r="AP126" i="2"/>
  <c r="AC127" i="2"/>
  <c r="AD127" i="2"/>
  <c r="AF127" i="2"/>
  <c r="AP127" i="2"/>
  <c r="AC128" i="2"/>
  <c r="AD128" i="2"/>
  <c r="AF128" i="2"/>
  <c r="AP128" i="2"/>
  <c r="AC129" i="2"/>
  <c r="AD129" i="2"/>
  <c r="AF129" i="2"/>
  <c r="AP129" i="2"/>
  <c r="AC130" i="2"/>
  <c r="AD130" i="2"/>
  <c r="AF130" i="2"/>
  <c r="AP130" i="2"/>
  <c r="AC131" i="2"/>
  <c r="AD131" i="2"/>
  <c r="AF131" i="2"/>
  <c r="AP131" i="2"/>
  <c r="AC132" i="2"/>
  <c r="AD132" i="2"/>
  <c r="AF132" i="2"/>
  <c r="AP132" i="2"/>
  <c r="AC133" i="2"/>
  <c r="AD133" i="2"/>
  <c r="AF133" i="2"/>
  <c r="AP133" i="2"/>
  <c r="AC134" i="2"/>
  <c r="AD134" i="2"/>
  <c r="AF134" i="2"/>
  <c r="AP134" i="2"/>
  <c r="AC135" i="2"/>
  <c r="AD135" i="2"/>
  <c r="AF135" i="2"/>
  <c r="AP135" i="2"/>
  <c r="AC136" i="2"/>
  <c r="AD136" i="2"/>
  <c r="AF136" i="2"/>
  <c r="AP136" i="2"/>
  <c r="AC137" i="2"/>
  <c r="AD137" i="2"/>
  <c r="AF137" i="2"/>
  <c r="AP137" i="2"/>
  <c r="AC138" i="2"/>
  <c r="AD138" i="2"/>
  <c r="AF138" i="2"/>
  <c r="AP138" i="2"/>
  <c r="AC139" i="2"/>
  <c r="AD139" i="2"/>
  <c r="AF139" i="2"/>
  <c r="AP139" i="2"/>
  <c r="AC140" i="2"/>
  <c r="AD140" i="2"/>
  <c r="AF140" i="2"/>
  <c r="AP140" i="2"/>
  <c r="AC141" i="2"/>
  <c r="AD141" i="2"/>
  <c r="AF141" i="2"/>
  <c r="AP141" i="2"/>
  <c r="AC142" i="2"/>
  <c r="AD142" i="2"/>
  <c r="AF142" i="2"/>
  <c r="AP142" i="2"/>
  <c r="AC143" i="2"/>
  <c r="AD143" i="2"/>
  <c r="AF143" i="2"/>
  <c r="AP143" i="2"/>
  <c r="AC144" i="2"/>
  <c r="AD144" i="2"/>
  <c r="AF144" i="2"/>
  <c r="AP144" i="2"/>
  <c r="AC145" i="2"/>
  <c r="AD145" i="2"/>
  <c r="AF145" i="2"/>
  <c r="AP145" i="2"/>
  <c r="AC146" i="2"/>
  <c r="AD146" i="2"/>
  <c r="AF146" i="2"/>
  <c r="AP146" i="2"/>
  <c r="AC147" i="2"/>
  <c r="AD147" i="2"/>
  <c r="AF147" i="2"/>
  <c r="AP147" i="2"/>
  <c r="AC148" i="2"/>
  <c r="AD148" i="2"/>
  <c r="AF148" i="2"/>
  <c r="AP148" i="2"/>
  <c r="AC149" i="2"/>
  <c r="AD149" i="2"/>
  <c r="AF149" i="2"/>
  <c r="AP149" i="2"/>
  <c r="AC150" i="2"/>
  <c r="AD150" i="2"/>
  <c r="AF150" i="2"/>
  <c r="AP150" i="2"/>
  <c r="AC151" i="2"/>
  <c r="AD151" i="2"/>
  <c r="AF151" i="2"/>
  <c r="AP151" i="2"/>
  <c r="AC152" i="2"/>
  <c r="AD152" i="2"/>
  <c r="AF152" i="2"/>
  <c r="AP152" i="2"/>
  <c r="AC153" i="2"/>
  <c r="AD153" i="2"/>
  <c r="AF153" i="2"/>
  <c r="AP153" i="2"/>
  <c r="AC154" i="2"/>
  <c r="AD154" i="2"/>
  <c r="AF154" i="2"/>
  <c r="AP154" i="2"/>
  <c r="AC155" i="2"/>
  <c r="AD155" i="2"/>
  <c r="AF155" i="2"/>
  <c r="AP155" i="2"/>
  <c r="AC156" i="2"/>
  <c r="AD156" i="2"/>
  <c r="AF156" i="2"/>
  <c r="AP156" i="2"/>
  <c r="AC157" i="2"/>
  <c r="AD157" i="2"/>
  <c r="AF157" i="2"/>
  <c r="AP157" i="2"/>
  <c r="AC158" i="2"/>
  <c r="AD158" i="2"/>
  <c r="AF158" i="2"/>
  <c r="AP158" i="2"/>
  <c r="AC159" i="2"/>
  <c r="AD159" i="2"/>
  <c r="AF159" i="2"/>
  <c r="AP159" i="2"/>
  <c r="AC160" i="2"/>
  <c r="AD160" i="2"/>
  <c r="AF160" i="2"/>
  <c r="AP160" i="2"/>
  <c r="AC161" i="2"/>
  <c r="AD161" i="2"/>
  <c r="AF161" i="2"/>
  <c r="AP161" i="2"/>
  <c r="AC162" i="2"/>
  <c r="AD162" i="2"/>
  <c r="AF162" i="2"/>
  <c r="AP162" i="2"/>
  <c r="AC163" i="2"/>
  <c r="AD163" i="2"/>
  <c r="AF163" i="2"/>
  <c r="AP163" i="2"/>
  <c r="AC164" i="2"/>
  <c r="AD164" i="2"/>
  <c r="AF164" i="2"/>
  <c r="AP164" i="2"/>
  <c r="AC165" i="2"/>
  <c r="AD165" i="2"/>
  <c r="AF165" i="2"/>
  <c r="AP165" i="2"/>
  <c r="AC166" i="2"/>
  <c r="AD166" i="2"/>
  <c r="AF166" i="2"/>
  <c r="AP166" i="2"/>
  <c r="AC167" i="2"/>
  <c r="AD167" i="2"/>
  <c r="AF167" i="2"/>
  <c r="AP167" i="2"/>
  <c r="AC168" i="2"/>
  <c r="AD168" i="2"/>
  <c r="AF168" i="2"/>
  <c r="AP168" i="2"/>
  <c r="AC169" i="2"/>
  <c r="AD169" i="2"/>
  <c r="AF169" i="2"/>
  <c r="AP169" i="2"/>
  <c r="AC170" i="2"/>
  <c r="AD170" i="2"/>
  <c r="AF170" i="2"/>
  <c r="AP170" i="2"/>
  <c r="AC171" i="2"/>
  <c r="AD171" i="2"/>
  <c r="AF171" i="2"/>
  <c r="AP171" i="2"/>
  <c r="AC172" i="2"/>
  <c r="AD172" i="2"/>
  <c r="AF172" i="2"/>
  <c r="AP172" i="2"/>
  <c r="AC173" i="2"/>
  <c r="AD173" i="2"/>
  <c r="AF173" i="2"/>
  <c r="AP173" i="2"/>
  <c r="AC174" i="2"/>
  <c r="AD174" i="2"/>
  <c r="AF174" i="2"/>
  <c r="AP174" i="2"/>
  <c r="AC175" i="2"/>
  <c r="AD175" i="2"/>
  <c r="AF175" i="2"/>
  <c r="AP175" i="2"/>
  <c r="AC176" i="2"/>
  <c r="AD176" i="2"/>
  <c r="AF176" i="2"/>
  <c r="AP176" i="2"/>
  <c r="AC177" i="2"/>
  <c r="AD177" i="2"/>
  <c r="AF177" i="2"/>
  <c r="AP177" i="2"/>
  <c r="AC178" i="2"/>
  <c r="AD178" i="2"/>
  <c r="AF178" i="2"/>
  <c r="AP178" i="2"/>
  <c r="AC179" i="2"/>
  <c r="AD179" i="2"/>
  <c r="AF179" i="2"/>
  <c r="AP179" i="2"/>
  <c r="AC180" i="2"/>
  <c r="AD180" i="2"/>
  <c r="AF180" i="2"/>
  <c r="AP180" i="2"/>
  <c r="AC181" i="2"/>
  <c r="AD181" i="2"/>
  <c r="AF181" i="2"/>
  <c r="AP181" i="2"/>
  <c r="AC182" i="2"/>
  <c r="AD182" i="2"/>
  <c r="AF182" i="2"/>
  <c r="AP182" i="2"/>
  <c r="AC183" i="2"/>
  <c r="AD183" i="2"/>
  <c r="AF183" i="2"/>
  <c r="AP183" i="2"/>
  <c r="AC184" i="2"/>
  <c r="AD184" i="2"/>
  <c r="AF184" i="2"/>
  <c r="AP184" i="2"/>
  <c r="AC185" i="2"/>
  <c r="AD185" i="2"/>
  <c r="AF185" i="2"/>
  <c r="AP185" i="2"/>
  <c r="AC186" i="2"/>
  <c r="AD186" i="2"/>
  <c r="AF186" i="2"/>
  <c r="AP186" i="2"/>
  <c r="AC187" i="2"/>
  <c r="AD187" i="2"/>
  <c r="AF187" i="2"/>
  <c r="AP187" i="2"/>
  <c r="AC188" i="2"/>
  <c r="AD188" i="2"/>
  <c r="AF188" i="2"/>
  <c r="AP188" i="2"/>
  <c r="AC189" i="2"/>
  <c r="AD189" i="2"/>
  <c r="AF189" i="2"/>
  <c r="AP189" i="2"/>
  <c r="AC190" i="2"/>
  <c r="AD190" i="2"/>
  <c r="AF190" i="2"/>
  <c r="AP190" i="2"/>
  <c r="AC191" i="2"/>
  <c r="AD191" i="2"/>
  <c r="AF191" i="2"/>
  <c r="AP191" i="2"/>
  <c r="AC192" i="2"/>
  <c r="AD192" i="2"/>
  <c r="AF192" i="2"/>
  <c r="AP192" i="2"/>
  <c r="AC193" i="2"/>
  <c r="AD193" i="2"/>
  <c r="AF193" i="2"/>
  <c r="AP193" i="2"/>
  <c r="AC194" i="2"/>
  <c r="AD194" i="2"/>
  <c r="AF194" i="2"/>
  <c r="AP194" i="2"/>
  <c r="AC195" i="2"/>
  <c r="AD195" i="2"/>
  <c r="AF195" i="2"/>
  <c r="AP195" i="2"/>
  <c r="AC196" i="2"/>
  <c r="AD196" i="2"/>
  <c r="AF196" i="2"/>
  <c r="AP196" i="2"/>
  <c r="AC197" i="2"/>
  <c r="AD197" i="2"/>
  <c r="AF197" i="2"/>
  <c r="AP197" i="2"/>
  <c r="AC198" i="2"/>
  <c r="AD198" i="2"/>
  <c r="AF198" i="2"/>
  <c r="AP198" i="2"/>
  <c r="AC199" i="2"/>
  <c r="AD199" i="2"/>
  <c r="AF199" i="2"/>
  <c r="AP199" i="2"/>
  <c r="AC200" i="2"/>
  <c r="AD200" i="2"/>
  <c r="AF200" i="2"/>
  <c r="AP200" i="2"/>
  <c r="AC201" i="2"/>
  <c r="AD201" i="2"/>
  <c r="AF201" i="2"/>
  <c r="AP201" i="2"/>
  <c r="AC202" i="2"/>
  <c r="AD202" i="2"/>
  <c r="AF202" i="2"/>
  <c r="AP202" i="2"/>
  <c r="AC203" i="2"/>
  <c r="AD203" i="2"/>
  <c r="AF203" i="2"/>
  <c r="AP203" i="2"/>
  <c r="AC204" i="2"/>
  <c r="AD204" i="2"/>
  <c r="AF204" i="2"/>
  <c r="AP204" i="2"/>
  <c r="AC205" i="2"/>
  <c r="AD205" i="2"/>
  <c r="AF205" i="2"/>
  <c r="AP205" i="2"/>
  <c r="AC206" i="2"/>
  <c r="AD206" i="2"/>
  <c r="AF206" i="2"/>
  <c r="AP206" i="2"/>
  <c r="AC207" i="2"/>
  <c r="AD207" i="2"/>
  <c r="AF207" i="2"/>
  <c r="AP207" i="2"/>
  <c r="AC208" i="2"/>
  <c r="AD208" i="2"/>
  <c r="AF208" i="2"/>
  <c r="AP208" i="2"/>
  <c r="AC209" i="2"/>
  <c r="AD209" i="2"/>
  <c r="AF209" i="2"/>
  <c r="AP209" i="2"/>
  <c r="AC210" i="2"/>
  <c r="AD210" i="2"/>
  <c r="AF210" i="2"/>
  <c r="AP210" i="2"/>
  <c r="AC211" i="2"/>
  <c r="AD211" i="2"/>
  <c r="AF211" i="2"/>
  <c r="AP211" i="2"/>
  <c r="AC212" i="2"/>
  <c r="AD212" i="2"/>
  <c r="AF212" i="2"/>
  <c r="AP212" i="2"/>
  <c r="AC213" i="2"/>
  <c r="AD213" i="2"/>
  <c r="AF213" i="2"/>
  <c r="AP213" i="2"/>
  <c r="AC214" i="2"/>
  <c r="AD214" i="2"/>
  <c r="AF214" i="2"/>
  <c r="AP214" i="2"/>
  <c r="AC215" i="2"/>
  <c r="AD215" i="2"/>
  <c r="AF215" i="2"/>
  <c r="AP215" i="2"/>
  <c r="AC216" i="2"/>
  <c r="AD216" i="2"/>
  <c r="AF216" i="2"/>
  <c r="AP216" i="2"/>
  <c r="AC217" i="2"/>
  <c r="AD217" i="2"/>
  <c r="AF217" i="2"/>
  <c r="AP217" i="2"/>
  <c r="AC218" i="2"/>
  <c r="AD218" i="2"/>
  <c r="AF218" i="2"/>
  <c r="AP218" i="2"/>
  <c r="AC219" i="2"/>
  <c r="AD219" i="2"/>
  <c r="AF219" i="2"/>
  <c r="AP219" i="2"/>
  <c r="AC220" i="2"/>
  <c r="AD220" i="2"/>
  <c r="AF220" i="2"/>
  <c r="AP220" i="2"/>
  <c r="AC221" i="2"/>
  <c r="AD221" i="2"/>
  <c r="AF221" i="2"/>
  <c r="AP221" i="2"/>
  <c r="AC222" i="2"/>
  <c r="AD222" i="2"/>
  <c r="AF222" i="2"/>
  <c r="AP222" i="2"/>
  <c r="AC223" i="2"/>
  <c r="AD223" i="2"/>
  <c r="AF223" i="2"/>
  <c r="AP223" i="2"/>
  <c r="AC224" i="2"/>
  <c r="AD224" i="2"/>
  <c r="AF224" i="2"/>
  <c r="AP224" i="2"/>
  <c r="AC225" i="2"/>
  <c r="AD225" i="2"/>
  <c r="AF225" i="2"/>
  <c r="AP225" i="2"/>
  <c r="AC226" i="2"/>
  <c r="AD226" i="2"/>
  <c r="AF226" i="2"/>
  <c r="AP226" i="2"/>
  <c r="AC227" i="2"/>
  <c r="AD227" i="2"/>
  <c r="AF227" i="2"/>
  <c r="AP227" i="2"/>
  <c r="AC228" i="2"/>
  <c r="AD228" i="2"/>
  <c r="AF228" i="2"/>
  <c r="AP228" i="2"/>
  <c r="AC229" i="2"/>
  <c r="AD229" i="2"/>
  <c r="AF229" i="2"/>
  <c r="AP229" i="2"/>
  <c r="AC230" i="2"/>
  <c r="AD230" i="2"/>
  <c r="AF230" i="2"/>
  <c r="AP230" i="2"/>
  <c r="AC231" i="2"/>
  <c r="AD231" i="2"/>
  <c r="AF231" i="2"/>
  <c r="AP231" i="2"/>
  <c r="AC232" i="2"/>
  <c r="AD232" i="2"/>
  <c r="AF232" i="2"/>
  <c r="AP232" i="2"/>
  <c r="AC233" i="2"/>
  <c r="AD233" i="2"/>
  <c r="AF233" i="2"/>
  <c r="AP233" i="2"/>
  <c r="AC234" i="2"/>
  <c r="AD234" i="2"/>
  <c r="AF234" i="2"/>
  <c r="AP234" i="2"/>
  <c r="AC235" i="2"/>
  <c r="AD235" i="2"/>
  <c r="AF235" i="2"/>
  <c r="AP235" i="2"/>
  <c r="AC236" i="2"/>
  <c r="AD236" i="2"/>
  <c r="AF236" i="2"/>
  <c r="AP236" i="2"/>
  <c r="AC237" i="2"/>
  <c r="AD237" i="2"/>
  <c r="AF237" i="2"/>
  <c r="AP237" i="2"/>
  <c r="AC238" i="2"/>
  <c r="AD238" i="2"/>
  <c r="AF238" i="2"/>
  <c r="AP238" i="2"/>
  <c r="AC239" i="2"/>
  <c r="AD239" i="2"/>
  <c r="AF239" i="2"/>
  <c r="AP239" i="2"/>
  <c r="AC240" i="2"/>
  <c r="AD240" i="2"/>
  <c r="AF240" i="2"/>
  <c r="AP240" i="2"/>
  <c r="AC241" i="2"/>
  <c r="AD241" i="2"/>
  <c r="AF241" i="2"/>
  <c r="AP241" i="2"/>
  <c r="AC242" i="2"/>
  <c r="AD242" i="2"/>
  <c r="AF242" i="2"/>
  <c r="AP242" i="2"/>
  <c r="AC243" i="2"/>
  <c r="AD243" i="2"/>
  <c r="AF243" i="2"/>
  <c r="AP243" i="2"/>
  <c r="AC244" i="2"/>
  <c r="AD244" i="2"/>
  <c r="AF244" i="2"/>
  <c r="AP244" i="2"/>
  <c r="AC245" i="2"/>
  <c r="AD245" i="2"/>
  <c r="AF245" i="2"/>
  <c r="AP245" i="2"/>
  <c r="AC246" i="2"/>
  <c r="AD246" i="2"/>
  <c r="AF246" i="2"/>
  <c r="AP246" i="2"/>
  <c r="AC247" i="2"/>
  <c r="AD247" i="2"/>
  <c r="AF247" i="2"/>
  <c r="AP247" i="2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A212" i="13"/>
  <c r="A213" i="13"/>
  <c r="A214" i="13"/>
  <c r="A215" i="13"/>
  <c r="A216" i="13"/>
  <c r="A217" i="13"/>
  <c r="A218" i="13"/>
  <c r="A219" i="13"/>
  <c r="A220" i="13"/>
  <c r="A221" i="13"/>
  <c r="A222" i="13"/>
  <c r="A223" i="13"/>
  <c r="A224" i="13"/>
  <c r="A225" i="13"/>
  <c r="A226" i="13"/>
  <c r="A227" i="13"/>
  <c r="A228" i="13"/>
  <c r="A229" i="13"/>
  <c r="A230" i="13"/>
  <c r="A231" i="13"/>
  <c r="A232" i="13"/>
  <c r="A233" i="13"/>
  <c r="A234" i="13"/>
  <c r="A235" i="13"/>
  <c r="A236" i="13"/>
  <c r="A237" i="13"/>
  <c r="A238" i="13"/>
  <c r="A239" i="13"/>
  <c r="A240" i="13"/>
  <c r="A241" i="13"/>
  <c r="A242" i="13"/>
  <c r="A243" i="13"/>
  <c r="A244" i="13"/>
  <c r="A245" i="13"/>
  <c r="A246" i="13"/>
  <c r="A247" i="13"/>
  <c r="P4" i="13"/>
  <c r="Q4" i="13"/>
  <c r="R4" i="13"/>
  <c r="D67" i="13"/>
  <c r="U4" i="13"/>
  <c r="V4" i="13"/>
  <c r="W4" i="13"/>
  <c r="C67" i="13"/>
  <c r="T4" i="13"/>
  <c r="X4" i="13"/>
  <c r="AM67" i="2"/>
  <c r="G67" i="13"/>
  <c r="Y4" i="13"/>
  <c r="AN67" i="2"/>
  <c r="H67" i="13"/>
  <c r="Z4" i="13"/>
  <c r="AO67" i="2"/>
  <c r="I67" i="13"/>
  <c r="AA4" i="13"/>
  <c r="J67" i="13"/>
  <c r="AB4" i="13"/>
  <c r="C5" i="13"/>
  <c r="D5" i="13"/>
  <c r="AM5" i="2"/>
  <c r="G5" i="13"/>
  <c r="AN5" i="2"/>
  <c r="H5" i="13"/>
  <c r="AO5" i="2"/>
  <c r="I5" i="13"/>
  <c r="J5" i="13"/>
  <c r="P5" i="13"/>
  <c r="Q5" i="13"/>
  <c r="R5" i="13"/>
  <c r="D66" i="13"/>
  <c r="U5" i="13"/>
  <c r="V5" i="13"/>
  <c r="W5" i="13"/>
  <c r="C66" i="13"/>
  <c r="T5" i="13"/>
  <c r="X5" i="13"/>
  <c r="AM66" i="2"/>
  <c r="G66" i="13"/>
  <c r="Y5" i="13"/>
  <c r="AN66" i="2"/>
  <c r="H66" i="13"/>
  <c r="Z5" i="13"/>
  <c r="AO66" i="2"/>
  <c r="I66" i="13"/>
  <c r="AA5" i="13"/>
  <c r="J66" i="13"/>
  <c r="AB5" i="13"/>
  <c r="C6" i="13"/>
  <c r="D6" i="13"/>
  <c r="AM6" i="2"/>
  <c r="G6" i="13"/>
  <c r="AN6" i="2"/>
  <c r="H6" i="13"/>
  <c r="AO6" i="2"/>
  <c r="I6" i="13"/>
  <c r="J6" i="13"/>
  <c r="P6" i="13"/>
  <c r="Q6" i="13"/>
  <c r="R6" i="13"/>
  <c r="D76" i="13"/>
  <c r="U6" i="13"/>
  <c r="V6" i="13"/>
  <c r="W6" i="13"/>
  <c r="C76" i="13"/>
  <c r="T6" i="13"/>
  <c r="X6" i="13"/>
  <c r="AM76" i="2"/>
  <c r="G76" i="13"/>
  <c r="Y6" i="13"/>
  <c r="AN76" i="2"/>
  <c r="H76" i="13"/>
  <c r="Z6" i="13"/>
  <c r="AO76" i="2"/>
  <c r="I76" i="13"/>
  <c r="AA6" i="13"/>
  <c r="J76" i="13"/>
  <c r="AB6" i="13"/>
  <c r="C7" i="13"/>
  <c r="D7" i="13"/>
  <c r="AM7" i="2"/>
  <c r="G7" i="13"/>
  <c r="AN7" i="2"/>
  <c r="H7" i="13"/>
  <c r="AO7" i="2"/>
  <c r="I7" i="13"/>
  <c r="J7" i="13"/>
  <c r="P7" i="13"/>
  <c r="Q7" i="13"/>
  <c r="R7" i="13"/>
  <c r="D75" i="13"/>
  <c r="U7" i="13"/>
  <c r="V7" i="13"/>
  <c r="W7" i="13"/>
  <c r="C75" i="13"/>
  <c r="T7" i="13"/>
  <c r="X7" i="13"/>
  <c r="AM75" i="2"/>
  <c r="G75" i="13"/>
  <c r="Y7" i="13"/>
  <c r="AN75" i="2"/>
  <c r="H75" i="13"/>
  <c r="Z7" i="13"/>
  <c r="AO75" i="2"/>
  <c r="I75" i="13"/>
  <c r="AA7" i="13"/>
  <c r="J75" i="13"/>
  <c r="AB7" i="13"/>
  <c r="C8" i="13"/>
  <c r="D8" i="13"/>
  <c r="AM8" i="2"/>
  <c r="G8" i="13"/>
  <c r="AN8" i="2"/>
  <c r="H8" i="13"/>
  <c r="AO8" i="2"/>
  <c r="I8" i="13"/>
  <c r="J8" i="13"/>
  <c r="P8" i="13"/>
  <c r="Q8" i="13"/>
  <c r="R8" i="13"/>
  <c r="D13" i="13"/>
  <c r="U8" i="13"/>
  <c r="V8" i="13"/>
  <c r="W8" i="13"/>
  <c r="C13" i="13"/>
  <c r="T8" i="13"/>
  <c r="X8" i="13"/>
  <c r="AM13" i="2"/>
  <c r="G13" i="13"/>
  <c r="Y8" i="13"/>
  <c r="AN13" i="2"/>
  <c r="H13" i="13"/>
  <c r="Z8" i="13"/>
  <c r="AO13" i="2"/>
  <c r="I13" i="13"/>
  <c r="AA8" i="13"/>
  <c r="J13" i="13"/>
  <c r="AB8" i="13"/>
  <c r="C9" i="13"/>
  <c r="D9" i="13"/>
  <c r="AM9" i="2"/>
  <c r="G9" i="13"/>
  <c r="AN9" i="2"/>
  <c r="H9" i="13"/>
  <c r="AO9" i="2"/>
  <c r="I9" i="13"/>
  <c r="J9" i="13"/>
  <c r="M9" i="13"/>
  <c r="P9" i="13"/>
  <c r="Q9" i="13"/>
  <c r="R9" i="13"/>
  <c r="D28" i="13"/>
  <c r="U9" i="13"/>
  <c r="V9" i="13"/>
  <c r="W9" i="13"/>
  <c r="C28" i="13"/>
  <c r="T9" i="13"/>
  <c r="X9" i="13"/>
  <c r="AM28" i="2"/>
  <c r="G28" i="13"/>
  <c r="Y9" i="13"/>
  <c r="AN28" i="2"/>
  <c r="H28" i="13"/>
  <c r="Z9" i="13"/>
  <c r="AO28" i="2"/>
  <c r="I28" i="13"/>
  <c r="AA9" i="13"/>
  <c r="J28" i="13"/>
  <c r="AB9" i="13"/>
  <c r="C10" i="13"/>
  <c r="D10" i="13"/>
  <c r="AM10" i="2"/>
  <c r="G10" i="13"/>
  <c r="AN10" i="2"/>
  <c r="H10" i="13"/>
  <c r="AO10" i="2"/>
  <c r="I10" i="13"/>
  <c r="J10" i="13"/>
  <c r="P10" i="13"/>
  <c r="Q10" i="13"/>
  <c r="R10" i="13"/>
  <c r="D14" i="13"/>
  <c r="U10" i="13"/>
  <c r="V10" i="13"/>
  <c r="W10" i="13"/>
  <c r="C14" i="13"/>
  <c r="T10" i="13"/>
  <c r="X10" i="13"/>
  <c r="AM14" i="2"/>
  <c r="G14" i="13"/>
  <c r="Y10" i="13"/>
  <c r="AN14" i="2"/>
  <c r="H14" i="13"/>
  <c r="Z10" i="13"/>
  <c r="AO14" i="2"/>
  <c r="I14" i="13"/>
  <c r="AA10" i="13"/>
  <c r="J14" i="13"/>
  <c r="AB10" i="13"/>
  <c r="C11" i="13"/>
  <c r="D11" i="13"/>
  <c r="AM11" i="2"/>
  <c r="G11" i="13"/>
  <c r="AN11" i="2"/>
  <c r="H11" i="13"/>
  <c r="AO11" i="2"/>
  <c r="I11" i="13"/>
  <c r="J11" i="13"/>
  <c r="P11" i="13"/>
  <c r="Q11" i="13"/>
  <c r="R11" i="13"/>
  <c r="D212" i="13"/>
  <c r="U11" i="13"/>
  <c r="V11" i="13"/>
  <c r="W11" i="13"/>
  <c r="C212" i="13"/>
  <c r="T11" i="13"/>
  <c r="X11" i="13"/>
  <c r="AM212" i="2"/>
  <c r="G212" i="13"/>
  <c r="Y11" i="13"/>
  <c r="AN212" i="2"/>
  <c r="H212" i="13"/>
  <c r="Z11" i="13"/>
  <c r="AO212" i="2"/>
  <c r="I212" i="13"/>
  <c r="AA11" i="13"/>
  <c r="J212" i="13"/>
  <c r="AB11" i="13"/>
  <c r="C12" i="13"/>
  <c r="D12" i="13"/>
  <c r="AM12" i="2"/>
  <c r="G12" i="13"/>
  <c r="AN12" i="2"/>
  <c r="H12" i="13"/>
  <c r="AO12" i="2"/>
  <c r="I12" i="13"/>
  <c r="J12" i="13"/>
  <c r="P12" i="13"/>
  <c r="Q12" i="13"/>
  <c r="R12" i="13"/>
  <c r="D105" i="13"/>
  <c r="U12" i="13"/>
  <c r="V12" i="13"/>
  <c r="W12" i="13"/>
  <c r="C105" i="13"/>
  <c r="T12" i="13"/>
  <c r="X12" i="13"/>
  <c r="AM105" i="2"/>
  <c r="G105" i="13"/>
  <c r="Y12" i="13"/>
  <c r="AN105" i="2"/>
  <c r="H105" i="13"/>
  <c r="Z12" i="13"/>
  <c r="AO105" i="2"/>
  <c r="I105" i="13"/>
  <c r="AA12" i="13"/>
  <c r="J105" i="13"/>
  <c r="AB12" i="13"/>
  <c r="P13" i="13"/>
  <c r="Q13" i="13"/>
  <c r="R13" i="13"/>
  <c r="D63" i="13"/>
  <c r="U13" i="13"/>
  <c r="V13" i="13"/>
  <c r="W13" i="13"/>
  <c r="C63" i="13"/>
  <c r="T13" i="13"/>
  <c r="X13" i="13"/>
  <c r="AM63" i="2"/>
  <c r="G63" i="13"/>
  <c r="Y13" i="13"/>
  <c r="AN63" i="2"/>
  <c r="H63" i="13"/>
  <c r="Z13" i="13"/>
  <c r="AO63" i="2"/>
  <c r="I63" i="13"/>
  <c r="AA13" i="13"/>
  <c r="J63" i="13"/>
  <c r="AB13" i="13"/>
  <c r="P14" i="13"/>
  <c r="Q14" i="13"/>
  <c r="R14" i="13"/>
  <c r="D211" i="13"/>
  <c r="U14" i="13"/>
  <c r="V14" i="13"/>
  <c r="W14" i="13"/>
  <c r="C211" i="13"/>
  <c r="T14" i="13"/>
  <c r="X14" i="13"/>
  <c r="AM211" i="2"/>
  <c r="G211" i="13"/>
  <c r="Y14" i="13"/>
  <c r="AN211" i="2"/>
  <c r="H211" i="13"/>
  <c r="Z14" i="13"/>
  <c r="AO211" i="2"/>
  <c r="I211" i="13"/>
  <c r="AA14" i="13"/>
  <c r="J211" i="13"/>
  <c r="AB14" i="13"/>
  <c r="C15" i="13"/>
  <c r="D15" i="13"/>
  <c r="AM15" i="2"/>
  <c r="G15" i="13"/>
  <c r="AN15" i="2"/>
  <c r="H15" i="13"/>
  <c r="AO15" i="2"/>
  <c r="I15" i="13"/>
  <c r="J15" i="13"/>
  <c r="P15" i="13"/>
  <c r="Q15" i="13"/>
  <c r="R15" i="13"/>
  <c r="D17" i="13"/>
  <c r="U15" i="13"/>
  <c r="V15" i="13"/>
  <c r="W15" i="13"/>
  <c r="C17" i="13"/>
  <c r="T15" i="13"/>
  <c r="X15" i="13"/>
  <c r="AM17" i="2"/>
  <c r="G17" i="13"/>
  <c r="Y15" i="13"/>
  <c r="AN17" i="2"/>
  <c r="H17" i="13"/>
  <c r="Z15" i="13"/>
  <c r="AO17" i="2"/>
  <c r="I17" i="13"/>
  <c r="AA15" i="13"/>
  <c r="J17" i="13"/>
  <c r="AB15" i="13"/>
  <c r="C16" i="13"/>
  <c r="D16" i="13"/>
  <c r="AM16" i="2"/>
  <c r="G16" i="13"/>
  <c r="AN16" i="2"/>
  <c r="H16" i="13"/>
  <c r="AO16" i="2"/>
  <c r="I16" i="13"/>
  <c r="J16" i="13"/>
  <c r="P16" i="13"/>
  <c r="Q16" i="13"/>
  <c r="R16" i="13"/>
  <c r="D72" i="13"/>
  <c r="U16" i="13"/>
  <c r="V16" i="13"/>
  <c r="W16" i="13"/>
  <c r="C72" i="13"/>
  <c r="T16" i="13"/>
  <c r="X16" i="13"/>
  <c r="AM72" i="2"/>
  <c r="G72" i="13"/>
  <c r="Y16" i="13"/>
  <c r="AN72" i="2"/>
  <c r="H72" i="13"/>
  <c r="Z16" i="13"/>
  <c r="AO72" i="2"/>
  <c r="I72" i="13"/>
  <c r="AA16" i="13"/>
  <c r="J72" i="13"/>
  <c r="AB16" i="13"/>
  <c r="P17" i="13"/>
  <c r="Q17" i="13"/>
  <c r="R17" i="13"/>
  <c r="D189" i="13"/>
  <c r="U17" i="13"/>
  <c r="V17" i="13"/>
  <c r="W17" i="13"/>
  <c r="C189" i="13"/>
  <c r="T17" i="13"/>
  <c r="X17" i="13"/>
  <c r="AM189" i="2"/>
  <c r="G189" i="13"/>
  <c r="Y17" i="13"/>
  <c r="AN189" i="2"/>
  <c r="H189" i="13"/>
  <c r="Z17" i="13"/>
  <c r="AO189" i="2"/>
  <c r="I189" i="13"/>
  <c r="AA17" i="13"/>
  <c r="J189" i="13"/>
  <c r="AB17" i="13"/>
  <c r="C18" i="13"/>
  <c r="D18" i="13"/>
  <c r="AM18" i="2"/>
  <c r="G18" i="13"/>
  <c r="AN18" i="2"/>
  <c r="H18" i="13"/>
  <c r="AO18" i="2"/>
  <c r="I18" i="13"/>
  <c r="J18" i="13"/>
  <c r="P18" i="13"/>
  <c r="Q18" i="13"/>
  <c r="R18" i="13"/>
  <c r="D107" i="13"/>
  <c r="U18" i="13"/>
  <c r="V18" i="13"/>
  <c r="W18" i="13"/>
  <c r="C107" i="13"/>
  <c r="T18" i="13"/>
  <c r="X18" i="13"/>
  <c r="AM107" i="2"/>
  <c r="G107" i="13"/>
  <c r="Y18" i="13"/>
  <c r="AN107" i="2"/>
  <c r="H107" i="13"/>
  <c r="Z18" i="13"/>
  <c r="AO107" i="2"/>
  <c r="I107" i="13"/>
  <c r="AA18" i="13"/>
  <c r="J107" i="13"/>
  <c r="AB18" i="13"/>
  <c r="C19" i="13"/>
  <c r="D19" i="13"/>
  <c r="AM19" i="2"/>
  <c r="G19" i="13"/>
  <c r="AN19" i="2"/>
  <c r="H19" i="13"/>
  <c r="AO19" i="2"/>
  <c r="I19" i="13"/>
  <c r="J19" i="13"/>
  <c r="P19" i="13"/>
  <c r="Q19" i="13"/>
  <c r="R19" i="13"/>
  <c r="D21" i="13"/>
  <c r="U19" i="13"/>
  <c r="V19" i="13"/>
  <c r="W19" i="13"/>
  <c r="C21" i="13"/>
  <c r="T19" i="13"/>
  <c r="X19" i="13"/>
  <c r="AM21" i="2"/>
  <c r="G21" i="13"/>
  <c r="Y19" i="13"/>
  <c r="AN21" i="2"/>
  <c r="H21" i="13"/>
  <c r="Z19" i="13"/>
  <c r="AO21" i="2"/>
  <c r="I21" i="13"/>
  <c r="AA19" i="13"/>
  <c r="J21" i="13"/>
  <c r="AB19" i="13"/>
  <c r="C20" i="13"/>
  <c r="D20" i="13"/>
  <c r="AM20" i="2"/>
  <c r="G20" i="13"/>
  <c r="AN20" i="2"/>
  <c r="H20" i="13"/>
  <c r="AO20" i="2"/>
  <c r="I20" i="13"/>
  <c r="J20" i="13"/>
  <c r="P20" i="13"/>
  <c r="Q20" i="13"/>
  <c r="R20" i="13"/>
  <c r="U20" i="13"/>
  <c r="W20" i="13"/>
  <c r="T20" i="13"/>
  <c r="X20" i="13"/>
  <c r="Y20" i="13"/>
  <c r="Z20" i="13"/>
  <c r="AA20" i="13"/>
  <c r="AB20" i="13"/>
  <c r="P21" i="13"/>
  <c r="Q21" i="13"/>
  <c r="R21" i="13"/>
  <c r="D26" i="13"/>
  <c r="U21" i="13"/>
  <c r="W21" i="13"/>
  <c r="C26" i="13"/>
  <c r="T21" i="13"/>
  <c r="X21" i="13"/>
  <c r="AM26" i="2"/>
  <c r="G26" i="13"/>
  <c r="Y21" i="13"/>
  <c r="AN26" i="2"/>
  <c r="H26" i="13"/>
  <c r="Z21" i="13"/>
  <c r="AO26" i="2"/>
  <c r="I26" i="13"/>
  <c r="AA21" i="13"/>
  <c r="J26" i="13"/>
  <c r="AB21" i="13"/>
  <c r="C22" i="13"/>
  <c r="D22" i="13"/>
  <c r="AM22" i="2"/>
  <c r="G22" i="13"/>
  <c r="AN22" i="2"/>
  <c r="H22" i="13"/>
  <c r="AO22" i="2"/>
  <c r="I22" i="13"/>
  <c r="J22" i="13"/>
  <c r="P22" i="13"/>
  <c r="Q22" i="13"/>
  <c r="R22" i="13"/>
  <c r="U22" i="13"/>
  <c r="W22" i="13"/>
  <c r="T22" i="13"/>
  <c r="X22" i="13"/>
  <c r="Y22" i="13"/>
  <c r="Z22" i="13"/>
  <c r="AA22" i="13"/>
  <c r="AB22" i="13"/>
  <c r="C23" i="13"/>
  <c r="D23" i="13"/>
  <c r="AM23" i="2"/>
  <c r="G23" i="13"/>
  <c r="AN23" i="2"/>
  <c r="H23" i="13"/>
  <c r="AO23" i="2"/>
  <c r="I23" i="13"/>
  <c r="J23" i="13"/>
  <c r="P23" i="13"/>
  <c r="Q23" i="13"/>
  <c r="R23" i="13"/>
  <c r="D102" i="13"/>
  <c r="U23" i="13"/>
  <c r="W23" i="13"/>
  <c r="C102" i="13"/>
  <c r="T23" i="13"/>
  <c r="X23" i="13"/>
  <c r="AM102" i="2"/>
  <c r="G102" i="13"/>
  <c r="Y23" i="13"/>
  <c r="AN102" i="2"/>
  <c r="H102" i="13"/>
  <c r="Z23" i="13"/>
  <c r="AO102" i="2"/>
  <c r="I102" i="13"/>
  <c r="AA23" i="13"/>
  <c r="J102" i="13"/>
  <c r="AB23" i="13"/>
  <c r="C24" i="13"/>
  <c r="D24" i="13"/>
  <c r="AM24" i="2"/>
  <c r="G24" i="13"/>
  <c r="AN24" i="2"/>
  <c r="H24" i="13"/>
  <c r="AO24" i="2"/>
  <c r="I24" i="13"/>
  <c r="J24" i="13"/>
  <c r="P24" i="13"/>
  <c r="Q24" i="13"/>
  <c r="R24" i="13"/>
  <c r="D54" i="13"/>
  <c r="U24" i="13"/>
  <c r="W24" i="13"/>
  <c r="C54" i="13"/>
  <c r="T24" i="13"/>
  <c r="X24" i="13"/>
  <c r="AM54" i="2"/>
  <c r="G54" i="13"/>
  <c r="Y24" i="13"/>
  <c r="AN54" i="2"/>
  <c r="H54" i="13"/>
  <c r="Z24" i="13"/>
  <c r="AO54" i="2"/>
  <c r="I54" i="13"/>
  <c r="AA24" i="13"/>
  <c r="J54" i="13"/>
  <c r="AB24" i="13"/>
  <c r="C25" i="13"/>
  <c r="D25" i="13"/>
  <c r="AM25" i="2"/>
  <c r="G25" i="13"/>
  <c r="AN25" i="2"/>
  <c r="H25" i="13"/>
  <c r="AO25" i="2"/>
  <c r="I25" i="13"/>
  <c r="J25" i="13"/>
  <c r="P25" i="13"/>
  <c r="Q25" i="13"/>
  <c r="R25" i="13"/>
  <c r="U25" i="13"/>
  <c r="W25" i="13"/>
  <c r="T25" i="13"/>
  <c r="X25" i="13"/>
  <c r="Y25" i="13"/>
  <c r="Z25" i="13"/>
  <c r="AA25" i="13"/>
  <c r="AB25" i="13"/>
  <c r="P26" i="13"/>
  <c r="Q26" i="13"/>
  <c r="R26" i="13"/>
  <c r="D68" i="13"/>
  <c r="U26" i="13"/>
  <c r="W26" i="13"/>
  <c r="C68" i="13"/>
  <c r="T26" i="13"/>
  <c r="X26" i="13"/>
  <c r="AM68" i="2"/>
  <c r="G68" i="13"/>
  <c r="Y26" i="13"/>
  <c r="AN68" i="2"/>
  <c r="H68" i="13"/>
  <c r="Z26" i="13"/>
  <c r="AO68" i="2"/>
  <c r="I68" i="13"/>
  <c r="AA26" i="13"/>
  <c r="J68" i="13"/>
  <c r="AB26" i="13"/>
  <c r="C27" i="13"/>
  <c r="D27" i="13"/>
  <c r="AM27" i="2"/>
  <c r="G27" i="13"/>
  <c r="AN27" i="2"/>
  <c r="H27" i="13"/>
  <c r="AO27" i="2"/>
  <c r="I27" i="13"/>
  <c r="J27" i="13"/>
  <c r="P27" i="13"/>
  <c r="Q27" i="13"/>
  <c r="R27" i="13"/>
  <c r="U27" i="13"/>
  <c r="W27" i="13"/>
  <c r="T27" i="13"/>
  <c r="X27" i="13"/>
  <c r="Y27" i="13"/>
  <c r="Z27" i="13"/>
  <c r="AA27" i="13"/>
  <c r="AB27" i="13"/>
  <c r="P28" i="13"/>
  <c r="Q28" i="13"/>
  <c r="R28" i="13"/>
  <c r="D113" i="13"/>
  <c r="U28" i="13"/>
  <c r="W28" i="13"/>
  <c r="C113" i="13"/>
  <c r="T28" i="13"/>
  <c r="X28" i="13"/>
  <c r="AM113" i="2"/>
  <c r="G113" i="13"/>
  <c r="Y28" i="13"/>
  <c r="AN113" i="2"/>
  <c r="H113" i="13"/>
  <c r="Z28" i="13"/>
  <c r="AO113" i="2"/>
  <c r="I113" i="13"/>
  <c r="AA28" i="13"/>
  <c r="J113" i="13"/>
  <c r="AB28" i="13"/>
  <c r="C29" i="13"/>
  <c r="D29" i="13"/>
  <c r="AM29" i="2"/>
  <c r="G29" i="13"/>
  <c r="AN29" i="2"/>
  <c r="H29" i="13"/>
  <c r="AO29" i="2"/>
  <c r="I29" i="13"/>
  <c r="J29" i="13"/>
  <c r="P29" i="13"/>
  <c r="Q29" i="13"/>
  <c r="R29" i="13"/>
  <c r="D70" i="13"/>
  <c r="U29" i="13"/>
  <c r="W29" i="13"/>
  <c r="C70" i="13"/>
  <c r="T29" i="13"/>
  <c r="X29" i="13"/>
  <c r="AM70" i="2"/>
  <c r="G70" i="13"/>
  <c r="Y29" i="13"/>
  <c r="AN70" i="2"/>
  <c r="H70" i="13"/>
  <c r="Z29" i="13"/>
  <c r="AO70" i="2"/>
  <c r="I70" i="13"/>
  <c r="AA29" i="13"/>
  <c r="J70" i="13"/>
  <c r="AB29" i="13"/>
  <c r="C30" i="13"/>
  <c r="D30" i="13"/>
  <c r="AM30" i="2"/>
  <c r="G30" i="13"/>
  <c r="AN30" i="2"/>
  <c r="H30" i="13"/>
  <c r="AO30" i="2"/>
  <c r="I30" i="13"/>
  <c r="J30" i="13"/>
  <c r="P30" i="13"/>
  <c r="Q30" i="13"/>
  <c r="R30" i="13"/>
  <c r="D190" i="13"/>
  <c r="U30" i="13"/>
  <c r="W30" i="13"/>
  <c r="C190" i="13"/>
  <c r="T30" i="13"/>
  <c r="X30" i="13"/>
  <c r="AM190" i="2"/>
  <c r="G190" i="13"/>
  <c r="Y30" i="13"/>
  <c r="AN190" i="2"/>
  <c r="H190" i="13"/>
  <c r="Z30" i="13"/>
  <c r="AO190" i="2"/>
  <c r="I190" i="13"/>
  <c r="AA30" i="13"/>
  <c r="J190" i="13"/>
  <c r="AB30" i="13"/>
  <c r="C31" i="13"/>
  <c r="D31" i="13"/>
  <c r="AM31" i="2"/>
  <c r="G31" i="13"/>
  <c r="AN31" i="2"/>
  <c r="H31" i="13"/>
  <c r="AO31" i="2"/>
  <c r="I31" i="13"/>
  <c r="J31" i="13"/>
  <c r="P31" i="13"/>
  <c r="Q31" i="13"/>
  <c r="R31" i="13"/>
  <c r="U31" i="13"/>
  <c r="W31" i="13"/>
  <c r="T31" i="13"/>
  <c r="X31" i="13"/>
  <c r="Y31" i="13"/>
  <c r="Z31" i="13"/>
  <c r="AA31" i="13"/>
  <c r="AB31" i="13"/>
  <c r="C32" i="13"/>
  <c r="D32" i="13"/>
  <c r="AM32" i="2"/>
  <c r="G32" i="13"/>
  <c r="AN32" i="2"/>
  <c r="H32" i="13"/>
  <c r="AO32" i="2"/>
  <c r="I32" i="13"/>
  <c r="J32" i="13"/>
  <c r="P32" i="13"/>
  <c r="Q32" i="13"/>
  <c r="R32" i="13"/>
  <c r="D114" i="13"/>
  <c r="U32" i="13"/>
  <c r="W32" i="13"/>
  <c r="C114" i="13"/>
  <c r="T32" i="13"/>
  <c r="X32" i="13"/>
  <c r="AM114" i="2"/>
  <c r="G114" i="13"/>
  <c r="Y32" i="13"/>
  <c r="AN114" i="2"/>
  <c r="H114" i="13"/>
  <c r="Z32" i="13"/>
  <c r="AO114" i="2"/>
  <c r="I114" i="13"/>
  <c r="AA32" i="13"/>
  <c r="J114" i="13"/>
  <c r="AB32" i="13"/>
  <c r="C33" i="13"/>
  <c r="D33" i="13"/>
  <c r="AM33" i="2"/>
  <c r="G33" i="13"/>
  <c r="AN33" i="2"/>
  <c r="H33" i="13"/>
  <c r="AO33" i="2"/>
  <c r="I33" i="13"/>
  <c r="J33" i="13"/>
  <c r="P33" i="13"/>
  <c r="Q33" i="13"/>
  <c r="R33" i="13"/>
  <c r="D194" i="13"/>
  <c r="U33" i="13"/>
  <c r="W33" i="13"/>
  <c r="C194" i="13"/>
  <c r="T33" i="13"/>
  <c r="X33" i="13"/>
  <c r="AM194" i="2"/>
  <c r="G194" i="13"/>
  <c r="Y33" i="13"/>
  <c r="AN194" i="2"/>
  <c r="H194" i="13"/>
  <c r="Z33" i="13"/>
  <c r="AO194" i="2"/>
  <c r="I194" i="13"/>
  <c r="AA33" i="13"/>
  <c r="J194" i="13"/>
  <c r="AB33" i="13"/>
  <c r="C34" i="13"/>
  <c r="D34" i="13"/>
  <c r="AM34" i="2"/>
  <c r="G34" i="13"/>
  <c r="AN34" i="2"/>
  <c r="H34" i="13"/>
  <c r="AO34" i="2"/>
  <c r="I34" i="13"/>
  <c r="J34" i="13"/>
  <c r="P34" i="13"/>
  <c r="Q34" i="13"/>
  <c r="R34" i="13"/>
  <c r="D53" i="13"/>
  <c r="U34" i="13"/>
  <c r="W34" i="13"/>
  <c r="C53" i="13"/>
  <c r="T34" i="13"/>
  <c r="X34" i="13"/>
  <c r="AM53" i="2"/>
  <c r="G53" i="13"/>
  <c r="Y34" i="13"/>
  <c r="AN53" i="2"/>
  <c r="H53" i="13"/>
  <c r="Z34" i="13"/>
  <c r="AO53" i="2"/>
  <c r="I53" i="13"/>
  <c r="AA34" i="13"/>
  <c r="J53" i="13"/>
  <c r="AB34" i="13"/>
  <c r="C35" i="13"/>
  <c r="D35" i="13"/>
  <c r="AM35" i="2"/>
  <c r="G35" i="13"/>
  <c r="AN35" i="2"/>
  <c r="H35" i="13"/>
  <c r="AO35" i="2"/>
  <c r="I35" i="13"/>
  <c r="J35" i="13"/>
  <c r="P35" i="13"/>
  <c r="Q35" i="13"/>
  <c r="R35" i="13"/>
  <c r="D111" i="13"/>
  <c r="U35" i="13"/>
  <c r="W35" i="13"/>
  <c r="C111" i="13"/>
  <c r="T35" i="13"/>
  <c r="X35" i="13"/>
  <c r="AM111" i="2"/>
  <c r="G111" i="13"/>
  <c r="Y35" i="13"/>
  <c r="AN111" i="2"/>
  <c r="H111" i="13"/>
  <c r="Z35" i="13"/>
  <c r="AO111" i="2"/>
  <c r="I111" i="13"/>
  <c r="AA35" i="13"/>
  <c r="J111" i="13"/>
  <c r="AB35" i="13"/>
  <c r="C36" i="13"/>
  <c r="D36" i="13"/>
  <c r="AM36" i="2"/>
  <c r="G36" i="13"/>
  <c r="AN36" i="2"/>
  <c r="H36" i="13"/>
  <c r="AO36" i="2"/>
  <c r="I36" i="13"/>
  <c r="J36" i="13"/>
  <c r="P36" i="13"/>
  <c r="Q36" i="13"/>
  <c r="R36" i="13"/>
  <c r="U36" i="13"/>
  <c r="W36" i="13"/>
  <c r="T36" i="13"/>
  <c r="X36" i="13"/>
  <c r="Y36" i="13"/>
  <c r="Z36" i="13"/>
  <c r="AA36" i="13"/>
  <c r="AB36" i="13"/>
  <c r="C37" i="13"/>
  <c r="D37" i="13"/>
  <c r="AM37" i="2"/>
  <c r="G37" i="13"/>
  <c r="AN37" i="2"/>
  <c r="H37" i="13"/>
  <c r="AO37" i="2"/>
  <c r="I37" i="13"/>
  <c r="J37" i="13"/>
  <c r="P37" i="13"/>
  <c r="Q37" i="13"/>
  <c r="R37" i="13"/>
  <c r="U37" i="13"/>
  <c r="W37" i="13"/>
  <c r="T37" i="13"/>
  <c r="X37" i="13"/>
  <c r="Y37" i="13"/>
  <c r="Z37" i="13"/>
  <c r="AA37" i="13"/>
  <c r="AB37" i="13"/>
  <c r="C38" i="13"/>
  <c r="D38" i="13"/>
  <c r="AM38" i="2"/>
  <c r="G38" i="13"/>
  <c r="AN38" i="2"/>
  <c r="H38" i="13"/>
  <c r="AO38" i="2"/>
  <c r="I38" i="13"/>
  <c r="J38" i="13"/>
  <c r="P38" i="13"/>
  <c r="Q38" i="13"/>
  <c r="R38" i="13"/>
  <c r="D169" i="13"/>
  <c r="U38" i="13"/>
  <c r="W38" i="13"/>
  <c r="C169" i="13"/>
  <c r="T38" i="13"/>
  <c r="X38" i="13"/>
  <c r="AM169" i="2"/>
  <c r="G169" i="13"/>
  <c r="Y38" i="13"/>
  <c r="AN169" i="2"/>
  <c r="H169" i="13"/>
  <c r="Z38" i="13"/>
  <c r="AO169" i="2"/>
  <c r="I169" i="13"/>
  <c r="AA38" i="13"/>
  <c r="J169" i="13"/>
  <c r="AB38" i="13"/>
  <c r="C39" i="13"/>
  <c r="D39" i="13"/>
  <c r="AM39" i="2"/>
  <c r="G39" i="13"/>
  <c r="AN39" i="2"/>
  <c r="H39" i="13"/>
  <c r="AO39" i="2"/>
  <c r="I39" i="13"/>
  <c r="J39" i="13"/>
  <c r="P39" i="13"/>
  <c r="Q39" i="13"/>
  <c r="R39" i="13"/>
  <c r="D92" i="13"/>
  <c r="U39" i="13"/>
  <c r="W39" i="13"/>
  <c r="C92" i="13"/>
  <c r="T39" i="13"/>
  <c r="X39" i="13"/>
  <c r="AM92" i="2"/>
  <c r="G92" i="13"/>
  <c r="Y39" i="13"/>
  <c r="AN92" i="2"/>
  <c r="H92" i="13"/>
  <c r="Z39" i="13"/>
  <c r="AO92" i="2"/>
  <c r="I92" i="13"/>
  <c r="AA39" i="13"/>
  <c r="J92" i="13"/>
  <c r="AB39" i="13"/>
  <c r="C40" i="13"/>
  <c r="D40" i="13"/>
  <c r="AM40" i="2"/>
  <c r="G40" i="13"/>
  <c r="AN40" i="2"/>
  <c r="H40" i="13"/>
  <c r="AO40" i="2"/>
  <c r="I40" i="13"/>
  <c r="J40" i="13"/>
  <c r="P40" i="13"/>
  <c r="Q40" i="13"/>
  <c r="R40" i="13"/>
  <c r="D80" i="13"/>
  <c r="U40" i="13"/>
  <c r="W40" i="13"/>
  <c r="C80" i="13"/>
  <c r="T40" i="13"/>
  <c r="X40" i="13"/>
  <c r="AM80" i="2"/>
  <c r="G80" i="13"/>
  <c r="Y40" i="13"/>
  <c r="AN80" i="2"/>
  <c r="H80" i="13"/>
  <c r="Z40" i="13"/>
  <c r="AO80" i="2"/>
  <c r="I80" i="13"/>
  <c r="AA40" i="13"/>
  <c r="J80" i="13"/>
  <c r="AB40" i="13"/>
  <c r="C41" i="13"/>
  <c r="D41" i="13"/>
  <c r="AM41" i="2"/>
  <c r="G41" i="13"/>
  <c r="AN41" i="2"/>
  <c r="H41" i="13"/>
  <c r="AO41" i="2"/>
  <c r="I41" i="13"/>
  <c r="J41" i="13"/>
  <c r="P41" i="13"/>
  <c r="Q41" i="13"/>
  <c r="R41" i="13"/>
  <c r="D109" i="13"/>
  <c r="U41" i="13"/>
  <c r="W41" i="13"/>
  <c r="C109" i="13"/>
  <c r="T41" i="13"/>
  <c r="X41" i="13"/>
  <c r="AM109" i="2"/>
  <c r="G109" i="13"/>
  <c r="Y41" i="13"/>
  <c r="AN109" i="2"/>
  <c r="H109" i="13"/>
  <c r="Z41" i="13"/>
  <c r="AO109" i="2"/>
  <c r="I109" i="13"/>
  <c r="AA41" i="13"/>
  <c r="J109" i="13"/>
  <c r="AB41" i="13"/>
  <c r="C42" i="13"/>
  <c r="D42" i="13"/>
  <c r="AM42" i="2"/>
  <c r="G42" i="13"/>
  <c r="AN42" i="2"/>
  <c r="H42" i="13"/>
  <c r="AO42" i="2"/>
  <c r="I42" i="13"/>
  <c r="J42" i="13"/>
  <c r="P42" i="13"/>
  <c r="Q42" i="13"/>
  <c r="R42" i="13"/>
  <c r="D198" i="13"/>
  <c r="U42" i="13"/>
  <c r="W42" i="13"/>
  <c r="C198" i="13"/>
  <c r="T42" i="13"/>
  <c r="X42" i="13"/>
  <c r="AM198" i="2"/>
  <c r="G198" i="13"/>
  <c r="Y42" i="13"/>
  <c r="AN198" i="2"/>
  <c r="H198" i="13"/>
  <c r="Z42" i="13"/>
  <c r="AO198" i="2"/>
  <c r="I198" i="13"/>
  <c r="AA42" i="13"/>
  <c r="J198" i="13"/>
  <c r="AB42" i="13"/>
  <c r="C43" i="13"/>
  <c r="D43" i="13"/>
  <c r="AM43" i="2"/>
  <c r="G43" i="13"/>
  <c r="AN43" i="2"/>
  <c r="H43" i="13"/>
  <c r="AO43" i="2"/>
  <c r="I43" i="13"/>
  <c r="J43" i="13"/>
  <c r="P43" i="13"/>
  <c r="Q43" i="13"/>
  <c r="R43" i="13"/>
  <c r="U43" i="13"/>
  <c r="W43" i="13"/>
  <c r="T43" i="13"/>
  <c r="X43" i="13"/>
  <c r="Y43" i="13"/>
  <c r="Z43" i="13"/>
  <c r="AA43" i="13"/>
  <c r="AB43" i="13"/>
  <c r="C44" i="13"/>
  <c r="D44" i="13"/>
  <c r="AM44" i="2"/>
  <c r="G44" i="13"/>
  <c r="AN44" i="2"/>
  <c r="H44" i="13"/>
  <c r="AO44" i="2"/>
  <c r="I44" i="13"/>
  <c r="J44" i="13"/>
  <c r="P44" i="13"/>
  <c r="Q44" i="13"/>
  <c r="R44" i="13"/>
  <c r="U44" i="13"/>
  <c r="W44" i="13"/>
  <c r="T44" i="13"/>
  <c r="X44" i="13"/>
  <c r="Y44" i="13"/>
  <c r="Z44" i="13"/>
  <c r="AA44" i="13"/>
  <c r="AB44" i="13"/>
  <c r="C45" i="13"/>
  <c r="D45" i="13"/>
  <c r="AM45" i="2"/>
  <c r="G45" i="13"/>
  <c r="AN45" i="2"/>
  <c r="H45" i="13"/>
  <c r="AO45" i="2"/>
  <c r="I45" i="13"/>
  <c r="J45" i="13"/>
  <c r="P45" i="13"/>
  <c r="Q45" i="13"/>
  <c r="R45" i="13"/>
  <c r="D101" i="13"/>
  <c r="U45" i="13"/>
  <c r="W45" i="13"/>
  <c r="C101" i="13"/>
  <c r="T45" i="13"/>
  <c r="X45" i="13"/>
  <c r="AM101" i="2"/>
  <c r="G101" i="13"/>
  <c r="Y45" i="13"/>
  <c r="AN101" i="2"/>
  <c r="H101" i="13"/>
  <c r="Z45" i="13"/>
  <c r="AO101" i="2"/>
  <c r="I101" i="13"/>
  <c r="AA45" i="13"/>
  <c r="J101" i="13"/>
  <c r="AB45" i="13"/>
  <c r="C46" i="13"/>
  <c r="D46" i="13"/>
  <c r="AM46" i="2"/>
  <c r="G46" i="13"/>
  <c r="AN46" i="2"/>
  <c r="H46" i="13"/>
  <c r="AO46" i="2"/>
  <c r="I46" i="13"/>
  <c r="J46" i="13"/>
  <c r="P46" i="13"/>
  <c r="Q46" i="13"/>
  <c r="R46" i="13"/>
  <c r="D88" i="13"/>
  <c r="U46" i="13"/>
  <c r="W46" i="13"/>
  <c r="C88" i="13"/>
  <c r="T46" i="13"/>
  <c r="X46" i="13"/>
  <c r="AM88" i="2"/>
  <c r="G88" i="13"/>
  <c r="Y46" i="13"/>
  <c r="AN88" i="2"/>
  <c r="H88" i="13"/>
  <c r="Z46" i="13"/>
  <c r="AO88" i="2"/>
  <c r="I88" i="13"/>
  <c r="AA46" i="13"/>
  <c r="J88" i="13"/>
  <c r="AB46" i="13"/>
  <c r="C47" i="13"/>
  <c r="D47" i="13"/>
  <c r="AM47" i="2"/>
  <c r="G47" i="13"/>
  <c r="AN47" i="2"/>
  <c r="H47" i="13"/>
  <c r="AO47" i="2"/>
  <c r="I47" i="13"/>
  <c r="J47" i="13"/>
  <c r="P47" i="13"/>
  <c r="Q47" i="13"/>
  <c r="R47" i="13"/>
  <c r="D94" i="13"/>
  <c r="U47" i="13"/>
  <c r="W47" i="13"/>
  <c r="C94" i="13"/>
  <c r="T47" i="13"/>
  <c r="X47" i="13"/>
  <c r="AM94" i="2"/>
  <c r="G94" i="13"/>
  <c r="Y47" i="13"/>
  <c r="AN94" i="2"/>
  <c r="H94" i="13"/>
  <c r="Z47" i="13"/>
  <c r="AO94" i="2"/>
  <c r="I94" i="13"/>
  <c r="AA47" i="13"/>
  <c r="J94" i="13"/>
  <c r="AB47" i="13"/>
  <c r="C48" i="13"/>
  <c r="D48" i="13"/>
  <c r="AM48" i="2"/>
  <c r="G48" i="13"/>
  <c r="AN48" i="2"/>
  <c r="H48" i="13"/>
  <c r="AO48" i="2"/>
  <c r="I48" i="13"/>
  <c r="J48" i="13"/>
  <c r="P48" i="13"/>
  <c r="Q48" i="13"/>
  <c r="R48" i="13"/>
  <c r="D228" i="13"/>
  <c r="U48" i="13"/>
  <c r="W48" i="13"/>
  <c r="C228" i="13"/>
  <c r="T48" i="13"/>
  <c r="X48" i="13"/>
  <c r="AM228" i="2"/>
  <c r="G228" i="13"/>
  <c r="Y48" i="13"/>
  <c r="AN228" i="2"/>
  <c r="H228" i="13"/>
  <c r="Z48" i="13"/>
  <c r="AO228" i="2"/>
  <c r="I228" i="13"/>
  <c r="AA48" i="13"/>
  <c r="J228" i="13"/>
  <c r="AB48" i="13"/>
  <c r="C49" i="13"/>
  <c r="D49" i="13"/>
  <c r="AM49" i="2"/>
  <c r="G49" i="13"/>
  <c r="AN49" i="2"/>
  <c r="H49" i="13"/>
  <c r="AO49" i="2"/>
  <c r="I49" i="13"/>
  <c r="J49" i="13"/>
  <c r="P49" i="13"/>
  <c r="Q49" i="13"/>
  <c r="R49" i="13"/>
  <c r="D104" i="13"/>
  <c r="U49" i="13"/>
  <c r="W49" i="13"/>
  <c r="C104" i="13"/>
  <c r="T49" i="13"/>
  <c r="X49" i="13"/>
  <c r="AM104" i="2"/>
  <c r="G104" i="13"/>
  <c r="Y49" i="13"/>
  <c r="AN104" i="2"/>
  <c r="H104" i="13"/>
  <c r="Z49" i="13"/>
  <c r="AO104" i="2"/>
  <c r="I104" i="13"/>
  <c r="AA49" i="13"/>
  <c r="J104" i="13"/>
  <c r="AB49" i="13"/>
  <c r="C50" i="13"/>
  <c r="D50" i="13"/>
  <c r="AM50" i="2"/>
  <c r="G50" i="13"/>
  <c r="AN50" i="2"/>
  <c r="H50" i="13"/>
  <c r="AO50" i="2"/>
  <c r="I50" i="13"/>
  <c r="J50" i="13"/>
  <c r="P50" i="13"/>
  <c r="Q50" i="13"/>
  <c r="R50" i="13"/>
  <c r="U50" i="13"/>
  <c r="W50" i="13"/>
  <c r="T50" i="13"/>
  <c r="X50" i="13"/>
  <c r="Y50" i="13"/>
  <c r="Z50" i="13"/>
  <c r="AA50" i="13"/>
  <c r="AB50" i="13"/>
  <c r="C51" i="13"/>
  <c r="D51" i="13"/>
  <c r="AM51" i="2"/>
  <c r="G51" i="13"/>
  <c r="AN51" i="2"/>
  <c r="H51" i="13"/>
  <c r="AO51" i="2"/>
  <c r="I51" i="13"/>
  <c r="J51" i="13"/>
  <c r="P51" i="13"/>
  <c r="Q51" i="13"/>
  <c r="R51" i="13"/>
  <c r="D90" i="13"/>
  <c r="U51" i="13"/>
  <c r="W51" i="13"/>
  <c r="C90" i="13"/>
  <c r="T51" i="13"/>
  <c r="X51" i="13"/>
  <c r="AM90" i="2"/>
  <c r="G90" i="13"/>
  <c r="Y51" i="13"/>
  <c r="AN90" i="2"/>
  <c r="H90" i="13"/>
  <c r="Z51" i="13"/>
  <c r="AO90" i="2"/>
  <c r="I90" i="13"/>
  <c r="AA51" i="13"/>
  <c r="J90" i="13"/>
  <c r="AB51" i="13"/>
  <c r="C52" i="13"/>
  <c r="D52" i="13"/>
  <c r="AM52" i="2"/>
  <c r="G52" i="13"/>
  <c r="AN52" i="2"/>
  <c r="H52" i="13"/>
  <c r="AO52" i="2"/>
  <c r="I52" i="13"/>
  <c r="J52" i="13"/>
  <c r="P52" i="13"/>
  <c r="Q52" i="13"/>
  <c r="R52" i="13"/>
  <c r="D173" i="13"/>
  <c r="U52" i="13"/>
  <c r="W52" i="13"/>
  <c r="C173" i="13"/>
  <c r="T52" i="13"/>
  <c r="X52" i="13"/>
  <c r="AM173" i="2"/>
  <c r="G173" i="13"/>
  <c r="Y52" i="13"/>
  <c r="AN173" i="2"/>
  <c r="H173" i="13"/>
  <c r="Z52" i="13"/>
  <c r="AO173" i="2"/>
  <c r="I173" i="13"/>
  <c r="AA52" i="13"/>
  <c r="J173" i="13"/>
  <c r="AB52" i="13"/>
  <c r="P53" i="13"/>
  <c r="Q53" i="13"/>
  <c r="R53" i="13"/>
  <c r="D103" i="13"/>
  <c r="U53" i="13"/>
  <c r="W53" i="13"/>
  <c r="C103" i="13"/>
  <c r="T53" i="13"/>
  <c r="X53" i="13"/>
  <c r="AM103" i="2"/>
  <c r="G103" i="13"/>
  <c r="Y53" i="13"/>
  <c r="AN103" i="2"/>
  <c r="H103" i="13"/>
  <c r="Z53" i="13"/>
  <c r="AO103" i="2"/>
  <c r="I103" i="13"/>
  <c r="AA53" i="13"/>
  <c r="J103" i="13"/>
  <c r="AB53" i="13"/>
  <c r="P54" i="13"/>
  <c r="Q54" i="13"/>
  <c r="R54" i="13"/>
  <c r="D110" i="13"/>
  <c r="U54" i="13"/>
  <c r="W54" i="13"/>
  <c r="C110" i="13"/>
  <c r="T54" i="13"/>
  <c r="X54" i="13"/>
  <c r="AM110" i="2"/>
  <c r="G110" i="13"/>
  <c r="Y54" i="13"/>
  <c r="AN110" i="2"/>
  <c r="H110" i="13"/>
  <c r="Z54" i="13"/>
  <c r="AO110" i="2"/>
  <c r="I110" i="13"/>
  <c r="AA54" i="13"/>
  <c r="J110" i="13"/>
  <c r="AB54" i="13"/>
  <c r="C55" i="13"/>
  <c r="D55" i="13"/>
  <c r="AM55" i="2"/>
  <c r="G55" i="13"/>
  <c r="AN55" i="2"/>
  <c r="H55" i="13"/>
  <c r="AO55" i="2"/>
  <c r="I55" i="13"/>
  <c r="J55" i="13"/>
  <c r="P55" i="13"/>
  <c r="Q55" i="13"/>
  <c r="R55" i="13"/>
  <c r="U55" i="13"/>
  <c r="W55" i="13"/>
  <c r="T55" i="13"/>
  <c r="X55" i="13"/>
  <c r="Y55" i="13"/>
  <c r="Z55" i="13"/>
  <c r="AA55" i="13"/>
  <c r="AB55" i="13"/>
  <c r="C56" i="13"/>
  <c r="D56" i="13"/>
  <c r="AM56" i="2"/>
  <c r="G56" i="13"/>
  <c r="AN56" i="2"/>
  <c r="H56" i="13"/>
  <c r="AO56" i="2"/>
  <c r="I56" i="13"/>
  <c r="J56" i="13"/>
  <c r="P56" i="13"/>
  <c r="Q56" i="13"/>
  <c r="R56" i="13"/>
  <c r="U56" i="13"/>
  <c r="W56" i="13"/>
  <c r="T56" i="13"/>
  <c r="X56" i="13"/>
  <c r="Y56" i="13"/>
  <c r="Z56" i="13"/>
  <c r="AA56" i="13"/>
  <c r="AB56" i="13"/>
  <c r="C57" i="13"/>
  <c r="D57" i="13"/>
  <c r="AM57" i="2"/>
  <c r="G57" i="13"/>
  <c r="AN57" i="2"/>
  <c r="H57" i="13"/>
  <c r="AO57" i="2"/>
  <c r="I57" i="13"/>
  <c r="J57" i="13"/>
  <c r="P57" i="13"/>
  <c r="Q57" i="13"/>
  <c r="R57" i="13"/>
  <c r="D177" i="13"/>
  <c r="U57" i="13"/>
  <c r="W57" i="13"/>
  <c r="C177" i="13"/>
  <c r="T57" i="13"/>
  <c r="X57" i="13"/>
  <c r="AM177" i="2"/>
  <c r="G177" i="13"/>
  <c r="Y57" i="13"/>
  <c r="AN177" i="2"/>
  <c r="H177" i="13"/>
  <c r="Z57" i="13"/>
  <c r="AO177" i="2"/>
  <c r="I177" i="13"/>
  <c r="AA57" i="13"/>
  <c r="J177" i="13"/>
  <c r="AB57" i="13"/>
  <c r="C58" i="13"/>
  <c r="D58" i="13"/>
  <c r="AM58" i="2"/>
  <c r="G58" i="13"/>
  <c r="AN58" i="2"/>
  <c r="H58" i="13"/>
  <c r="AO58" i="2"/>
  <c r="I58" i="13"/>
  <c r="J58" i="13"/>
  <c r="P58" i="13"/>
  <c r="Q58" i="13"/>
  <c r="R58" i="13"/>
  <c r="D96" i="13"/>
  <c r="U58" i="13"/>
  <c r="W58" i="13"/>
  <c r="C96" i="13"/>
  <c r="T58" i="13"/>
  <c r="X58" i="13"/>
  <c r="AM96" i="2"/>
  <c r="G96" i="13"/>
  <c r="Y58" i="13"/>
  <c r="AN96" i="2"/>
  <c r="H96" i="13"/>
  <c r="Z58" i="13"/>
  <c r="AO96" i="2"/>
  <c r="I96" i="13"/>
  <c r="AA58" i="13"/>
  <c r="J96" i="13"/>
  <c r="AB58" i="13"/>
  <c r="C59" i="13"/>
  <c r="D59" i="13"/>
  <c r="AM59" i="2"/>
  <c r="G59" i="13"/>
  <c r="AN59" i="2"/>
  <c r="H59" i="13"/>
  <c r="AO59" i="2"/>
  <c r="I59" i="13"/>
  <c r="J59" i="13"/>
  <c r="P59" i="13"/>
  <c r="Q59" i="13"/>
  <c r="R59" i="13"/>
  <c r="D168" i="13"/>
  <c r="U59" i="13"/>
  <c r="W59" i="13"/>
  <c r="C168" i="13"/>
  <c r="T59" i="13"/>
  <c r="X59" i="13"/>
  <c r="AM168" i="2"/>
  <c r="G168" i="13"/>
  <c r="Y59" i="13"/>
  <c r="AN168" i="2"/>
  <c r="H168" i="13"/>
  <c r="Z59" i="13"/>
  <c r="AO168" i="2"/>
  <c r="I168" i="13"/>
  <c r="AA59" i="13"/>
  <c r="J168" i="13"/>
  <c r="AB59" i="13"/>
  <c r="C60" i="13"/>
  <c r="D60" i="13"/>
  <c r="AM60" i="2"/>
  <c r="G60" i="13"/>
  <c r="AN60" i="2"/>
  <c r="H60" i="13"/>
  <c r="AO60" i="2"/>
  <c r="I60" i="13"/>
  <c r="J60" i="13"/>
  <c r="P60" i="13"/>
  <c r="Q60" i="13"/>
  <c r="R60" i="13"/>
  <c r="U60" i="13"/>
  <c r="W60" i="13"/>
  <c r="T60" i="13"/>
  <c r="X60" i="13"/>
  <c r="Y60" i="13"/>
  <c r="Z60" i="13"/>
  <c r="AA60" i="13"/>
  <c r="AB60" i="13"/>
  <c r="C61" i="13"/>
  <c r="D61" i="13"/>
  <c r="AM61" i="2"/>
  <c r="G61" i="13"/>
  <c r="AN61" i="2"/>
  <c r="H61" i="13"/>
  <c r="AO61" i="2"/>
  <c r="I61" i="13"/>
  <c r="J61" i="13"/>
  <c r="P61" i="13"/>
  <c r="Q61" i="13"/>
  <c r="R61" i="13"/>
  <c r="D79" i="13"/>
  <c r="U61" i="13"/>
  <c r="W61" i="13"/>
  <c r="C79" i="13"/>
  <c r="T61" i="13"/>
  <c r="X61" i="13"/>
  <c r="AM79" i="2"/>
  <c r="G79" i="13"/>
  <c r="Y61" i="13"/>
  <c r="AN79" i="2"/>
  <c r="H79" i="13"/>
  <c r="Z61" i="13"/>
  <c r="AO79" i="2"/>
  <c r="I79" i="13"/>
  <c r="AA61" i="13"/>
  <c r="J79" i="13"/>
  <c r="AB61" i="13"/>
  <c r="C62" i="13"/>
  <c r="D62" i="13"/>
  <c r="AM62" i="2"/>
  <c r="G62" i="13"/>
  <c r="AN62" i="2"/>
  <c r="H62" i="13"/>
  <c r="AO62" i="2"/>
  <c r="I62" i="13"/>
  <c r="J62" i="13"/>
  <c r="P62" i="13"/>
  <c r="Q62" i="13"/>
  <c r="R62" i="13"/>
  <c r="D100" i="13"/>
  <c r="U62" i="13"/>
  <c r="W62" i="13"/>
  <c r="C100" i="13"/>
  <c r="T62" i="13"/>
  <c r="X62" i="13"/>
  <c r="AM100" i="2"/>
  <c r="G100" i="13"/>
  <c r="Y62" i="13"/>
  <c r="AN100" i="2"/>
  <c r="H100" i="13"/>
  <c r="Z62" i="13"/>
  <c r="AO100" i="2"/>
  <c r="I100" i="13"/>
  <c r="AA62" i="13"/>
  <c r="J100" i="13"/>
  <c r="AB62" i="13"/>
  <c r="P63" i="13"/>
  <c r="Q63" i="13"/>
  <c r="R63" i="13"/>
  <c r="D89" i="13"/>
  <c r="U63" i="13"/>
  <c r="W63" i="13"/>
  <c r="C89" i="13"/>
  <c r="T63" i="13"/>
  <c r="X63" i="13"/>
  <c r="AM89" i="2"/>
  <c r="G89" i="13"/>
  <c r="Y63" i="13"/>
  <c r="AN89" i="2"/>
  <c r="H89" i="13"/>
  <c r="Z63" i="13"/>
  <c r="AO89" i="2"/>
  <c r="I89" i="13"/>
  <c r="AA63" i="13"/>
  <c r="J89" i="13"/>
  <c r="AB63" i="13"/>
  <c r="C64" i="13"/>
  <c r="D64" i="13"/>
  <c r="AM64" i="2"/>
  <c r="G64" i="13"/>
  <c r="AN64" i="2"/>
  <c r="H64" i="13"/>
  <c r="AO64" i="2"/>
  <c r="I64" i="13"/>
  <c r="J64" i="13"/>
  <c r="P64" i="13"/>
  <c r="Q64" i="13"/>
  <c r="R64" i="13"/>
  <c r="D218" i="13"/>
  <c r="U64" i="13"/>
  <c r="W64" i="13"/>
  <c r="C218" i="13"/>
  <c r="T64" i="13"/>
  <c r="X64" i="13"/>
  <c r="AM218" i="2"/>
  <c r="G218" i="13"/>
  <c r="Y64" i="13"/>
  <c r="AN218" i="2"/>
  <c r="H218" i="13"/>
  <c r="Z64" i="13"/>
  <c r="AO218" i="2"/>
  <c r="I218" i="13"/>
  <c r="AA64" i="13"/>
  <c r="J218" i="13"/>
  <c r="AB64" i="13"/>
  <c r="C65" i="13"/>
  <c r="D65" i="13"/>
  <c r="AM65" i="2"/>
  <c r="G65" i="13"/>
  <c r="AN65" i="2"/>
  <c r="H65" i="13"/>
  <c r="AO65" i="2"/>
  <c r="I65" i="13"/>
  <c r="J65" i="13"/>
  <c r="P65" i="13"/>
  <c r="Q65" i="13"/>
  <c r="R65" i="13"/>
  <c r="D119" i="13"/>
  <c r="U65" i="13"/>
  <c r="W65" i="13"/>
  <c r="C119" i="13"/>
  <c r="T65" i="13"/>
  <c r="X65" i="13"/>
  <c r="AM119" i="2"/>
  <c r="G119" i="13"/>
  <c r="Y65" i="13"/>
  <c r="AN119" i="2"/>
  <c r="H119" i="13"/>
  <c r="Z65" i="13"/>
  <c r="AO119" i="2"/>
  <c r="I119" i="13"/>
  <c r="AA65" i="13"/>
  <c r="J119" i="13"/>
  <c r="AB65" i="13"/>
  <c r="P66" i="13"/>
  <c r="Q66" i="13"/>
  <c r="R66" i="13"/>
  <c r="U66" i="13"/>
  <c r="W66" i="13"/>
  <c r="T66" i="13"/>
  <c r="X66" i="13"/>
  <c r="Y66" i="13"/>
  <c r="Z66" i="13"/>
  <c r="AA66" i="13"/>
  <c r="AB66" i="13"/>
  <c r="P67" i="13"/>
  <c r="Q67" i="13"/>
  <c r="R67" i="13"/>
  <c r="D98" i="13"/>
  <c r="U67" i="13"/>
  <c r="W67" i="13"/>
  <c r="C98" i="13"/>
  <c r="T67" i="13"/>
  <c r="X67" i="13"/>
  <c r="AM98" i="2"/>
  <c r="G98" i="13"/>
  <c r="Y67" i="13"/>
  <c r="AN98" i="2"/>
  <c r="H98" i="13"/>
  <c r="Z67" i="13"/>
  <c r="AO98" i="2"/>
  <c r="I98" i="13"/>
  <c r="AA67" i="13"/>
  <c r="J98" i="13"/>
  <c r="AB67" i="13"/>
  <c r="P68" i="13"/>
  <c r="Q68" i="13"/>
  <c r="R68" i="13"/>
  <c r="D149" i="13"/>
  <c r="U68" i="13"/>
  <c r="W68" i="13"/>
  <c r="C149" i="13"/>
  <c r="T68" i="13"/>
  <c r="X68" i="13"/>
  <c r="AM149" i="2"/>
  <c r="G149" i="13"/>
  <c r="Y68" i="13"/>
  <c r="AN149" i="2"/>
  <c r="H149" i="13"/>
  <c r="Z68" i="13"/>
  <c r="AO149" i="2"/>
  <c r="I149" i="13"/>
  <c r="AA68" i="13"/>
  <c r="J149" i="13"/>
  <c r="AB68" i="13"/>
  <c r="C69" i="13"/>
  <c r="D69" i="13"/>
  <c r="AM69" i="2"/>
  <c r="G69" i="13"/>
  <c r="AN69" i="2"/>
  <c r="H69" i="13"/>
  <c r="AO69" i="2"/>
  <c r="I69" i="13"/>
  <c r="J69" i="13"/>
  <c r="P69" i="13"/>
  <c r="Q69" i="13"/>
  <c r="R69" i="13"/>
  <c r="D97" i="13"/>
  <c r="U69" i="13"/>
  <c r="W69" i="13"/>
  <c r="C97" i="13"/>
  <c r="T69" i="13"/>
  <c r="X69" i="13"/>
  <c r="AM97" i="2"/>
  <c r="G97" i="13"/>
  <c r="Y69" i="13"/>
  <c r="AN97" i="2"/>
  <c r="H97" i="13"/>
  <c r="Z69" i="13"/>
  <c r="AO97" i="2"/>
  <c r="I97" i="13"/>
  <c r="AA69" i="13"/>
  <c r="J97" i="13"/>
  <c r="AB69" i="13"/>
  <c r="P70" i="13"/>
  <c r="Q70" i="13"/>
  <c r="R70" i="13"/>
  <c r="D176" i="13"/>
  <c r="U70" i="13"/>
  <c r="W70" i="13"/>
  <c r="C176" i="13"/>
  <c r="T70" i="13"/>
  <c r="X70" i="13"/>
  <c r="AM176" i="2"/>
  <c r="G176" i="13"/>
  <c r="Y70" i="13"/>
  <c r="AN176" i="2"/>
  <c r="H176" i="13"/>
  <c r="Z70" i="13"/>
  <c r="AO176" i="2"/>
  <c r="I176" i="13"/>
  <c r="AA70" i="13"/>
  <c r="J176" i="13"/>
  <c r="AB70" i="13"/>
  <c r="C71" i="13"/>
  <c r="D71" i="13"/>
  <c r="AM71" i="2"/>
  <c r="G71" i="13"/>
  <c r="AN71" i="2"/>
  <c r="H71" i="13"/>
  <c r="AO71" i="2"/>
  <c r="I71" i="13"/>
  <c r="J71" i="13"/>
  <c r="P71" i="13"/>
  <c r="Q71" i="13"/>
  <c r="R71" i="13"/>
  <c r="D91" i="13"/>
  <c r="U71" i="13"/>
  <c r="W71" i="13"/>
  <c r="C91" i="13"/>
  <c r="T71" i="13"/>
  <c r="X71" i="13"/>
  <c r="AM91" i="2"/>
  <c r="G91" i="13"/>
  <c r="Y71" i="13"/>
  <c r="AN91" i="2"/>
  <c r="H91" i="13"/>
  <c r="Z71" i="13"/>
  <c r="AO91" i="2"/>
  <c r="I91" i="13"/>
  <c r="AA71" i="13"/>
  <c r="J91" i="13"/>
  <c r="AB71" i="13"/>
  <c r="P72" i="13"/>
  <c r="Q72" i="13"/>
  <c r="R72" i="13"/>
  <c r="D84" i="13"/>
  <c r="U72" i="13"/>
  <c r="W72" i="13"/>
  <c r="C84" i="13"/>
  <c r="T72" i="13"/>
  <c r="X72" i="13"/>
  <c r="AM84" i="2"/>
  <c r="G84" i="13"/>
  <c r="Y72" i="13"/>
  <c r="AN84" i="2"/>
  <c r="H84" i="13"/>
  <c r="Z72" i="13"/>
  <c r="AO84" i="2"/>
  <c r="I84" i="13"/>
  <c r="AA72" i="13"/>
  <c r="J84" i="13"/>
  <c r="AB72" i="13"/>
  <c r="C73" i="13"/>
  <c r="D73" i="13"/>
  <c r="AM73" i="2"/>
  <c r="G73" i="13"/>
  <c r="AN73" i="2"/>
  <c r="H73" i="13"/>
  <c r="AO73" i="2"/>
  <c r="I73" i="13"/>
  <c r="J73" i="13"/>
  <c r="P73" i="13"/>
  <c r="Q73" i="13"/>
  <c r="R73" i="13"/>
  <c r="U73" i="13"/>
  <c r="W73" i="13"/>
  <c r="T73" i="13"/>
  <c r="X73" i="13"/>
  <c r="Y73" i="13"/>
  <c r="Z73" i="13"/>
  <c r="AA73" i="13"/>
  <c r="AB73" i="13"/>
  <c r="C74" i="13"/>
  <c r="D74" i="13"/>
  <c r="AM74" i="2"/>
  <c r="G74" i="13"/>
  <c r="AN74" i="2"/>
  <c r="H74" i="13"/>
  <c r="AO74" i="2"/>
  <c r="I74" i="13"/>
  <c r="J74" i="13"/>
  <c r="P74" i="13"/>
  <c r="Q74" i="13"/>
  <c r="R74" i="13"/>
  <c r="U74" i="13"/>
  <c r="W74" i="13"/>
  <c r="T74" i="13"/>
  <c r="X74" i="13"/>
  <c r="Y74" i="13"/>
  <c r="Z74" i="13"/>
  <c r="AA74" i="13"/>
  <c r="AB74" i="13"/>
  <c r="P75" i="13"/>
  <c r="Q75" i="13"/>
  <c r="R75" i="13"/>
  <c r="D164" i="13"/>
  <c r="U75" i="13"/>
  <c r="W75" i="13"/>
  <c r="C164" i="13"/>
  <c r="T75" i="13"/>
  <c r="X75" i="13"/>
  <c r="AM164" i="2"/>
  <c r="G164" i="13"/>
  <c r="Y75" i="13"/>
  <c r="AN164" i="2"/>
  <c r="H164" i="13"/>
  <c r="Z75" i="13"/>
  <c r="AO164" i="2"/>
  <c r="I164" i="13"/>
  <c r="AA75" i="13"/>
  <c r="J164" i="13"/>
  <c r="AB75" i="13"/>
  <c r="P76" i="13"/>
  <c r="Q76" i="13"/>
  <c r="R76" i="13"/>
  <c r="D139" i="13"/>
  <c r="U76" i="13"/>
  <c r="W76" i="13"/>
  <c r="C139" i="13"/>
  <c r="T76" i="13"/>
  <c r="X76" i="13"/>
  <c r="AM139" i="2"/>
  <c r="G139" i="13"/>
  <c r="Y76" i="13"/>
  <c r="AN139" i="2"/>
  <c r="H139" i="13"/>
  <c r="Z76" i="13"/>
  <c r="AO139" i="2"/>
  <c r="I139" i="13"/>
  <c r="AA76" i="13"/>
  <c r="J139" i="13"/>
  <c r="AB76" i="13"/>
  <c r="C77" i="13"/>
  <c r="D77" i="13"/>
  <c r="AM77" i="2"/>
  <c r="G77" i="13"/>
  <c r="AN77" i="2"/>
  <c r="H77" i="13"/>
  <c r="AO77" i="2"/>
  <c r="I77" i="13"/>
  <c r="J77" i="13"/>
  <c r="P77" i="13"/>
  <c r="Q77" i="13"/>
  <c r="R77" i="13"/>
  <c r="U77" i="13"/>
  <c r="W77" i="13"/>
  <c r="T77" i="13"/>
  <c r="X77" i="13"/>
  <c r="Y77" i="13"/>
  <c r="Z77" i="13"/>
  <c r="AA77" i="13"/>
  <c r="AB77" i="13"/>
  <c r="C78" i="13"/>
  <c r="D78" i="13"/>
  <c r="AM78" i="2"/>
  <c r="G78" i="13"/>
  <c r="AN78" i="2"/>
  <c r="H78" i="13"/>
  <c r="AO78" i="2"/>
  <c r="I78" i="13"/>
  <c r="J78" i="13"/>
  <c r="P78" i="13"/>
  <c r="Q78" i="13"/>
  <c r="R78" i="13"/>
  <c r="D106" i="13"/>
  <c r="U78" i="13"/>
  <c r="W78" i="13"/>
  <c r="C106" i="13"/>
  <c r="T78" i="13"/>
  <c r="X78" i="13"/>
  <c r="AM106" i="2"/>
  <c r="G106" i="13"/>
  <c r="Y78" i="13"/>
  <c r="AN106" i="2"/>
  <c r="H106" i="13"/>
  <c r="Z78" i="13"/>
  <c r="AO106" i="2"/>
  <c r="I106" i="13"/>
  <c r="AA78" i="13"/>
  <c r="J106" i="13"/>
  <c r="AB78" i="13"/>
  <c r="P79" i="13"/>
  <c r="Q79" i="13"/>
  <c r="R79" i="13"/>
  <c r="D137" i="13"/>
  <c r="U79" i="13"/>
  <c r="W79" i="13"/>
  <c r="C137" i="13"/>
  <c r="T79" i="13"/>
  <c r="X79" i="13"/>
  <c r="AM137" i="2"/>
  <c r="G137" i="13"/>
  <c r="Y79" i="13"/>
  <c r="AN137" i="2"/>
  <c r="H137" i="13"/>
  <c r="Z79" i="13"/>
  <c r="AO137" i="2"/>
  <c r="I137" i="13"/>
  <c r="AA79" i="13"/>
  <c r="J137" i="13"/>
  <c r="AB79" i="13"/>
  <c r="P80" i="13"/>
  <c r="Q80" i="13"/>
  <c r="R80" i="13"/>
  <c r="D243" i="13"/>
  <c r="U80" i="13"/>
  <c r="W80" i="13"/>
  <c r="C243" i="13"/>
  <c r="T80" i="13"/>
  <c r="X80" i="13"/>
  <c r="AM243" i="2"/>
  <c r="G243" i="13"/>
  <c r="Y80" i="13"/>
  <c r="AN243" i="2"/>
  <c r="H243" i="13"/>
  <c r="Z80" i="13"/>
  <c r="AO243" i="2"/>
  <c r="I243" i="13"/>
  <c r="AA80" i="13"/>
  <c r="J243" i="13"/>
  <c r="AB80" i="13"/>
  <c r="C81" i="13"/>
  <c r="D81" i="13"/>
  <c r="AM81" i="2"/>
  <c r="G81" i="13"/>
  <c r="AN81" i="2"/>
  <c r="H81" i="13"/>
  <c r="AO81" i="2"/>
  <c r="I81" i="13"/>
  <c r="J81" i="13"/>
  <c r="P81" i="13"/>
  <c r="Q81" i="13"/>
  <c r="R81" i="13"/>
  <c r="U81" i="13"/>
  <c r="W81" i="13"/>
  <c r="T81" i="13"/>
  <c r="X81" i="13"/>
  <c r="Y81" i="13"/>
  <c r="Z81" i="13"/>
  <c r="AA81" i="13"/>
  <c r="AB81" i="13"/>
  <c r="C82" i="13"/>
  <c r="D82" i="13"/>
  <c r="AM82" i="2"/>
  <c r="G82" i="13"/>
  <c r="AN82" i="2"/>
  <c r="H82" i="13"/>
  <c r="AO82" i="2"/>
  <c r="I82" i="13"/>
  <c r="J82" i="13"/>
  <c r="P82" i="13"/>
  <c r="Q82" i="13"/>
  <c r="R82" i="13"/>
  <c r="D117" i="13"/>
  <c r="U82" i="13"/>
  <c r="W82" i="13"/>
  <c r="C117" i="13"/>
  <c r="T82" i="13"/>
  <c r="X82" i="13"/>
  <c r="AM117" i="2"/>
  <c r="G117" i="13"/>
  <c r="Y82" i="13"/>
  <c r="AN117" i="2"/>
  <c r="H117" i="13"/>
  <c r="Z82" i="13"/>
  <c r="AO117" i="2"/>
  <c r="I117" i="13"/>
  <c r="AA82" i="13"/>
  <c r="J117" i="13"/>
  <c r="AB82" i="13"/>
  <c r="C83" i="13"/>
  <c r="D83" i="13"/>
  <c r="AM83" i="2"/>
  <c r="G83" i="13"/>
  <c r="AN83" i="2"/>
  <c r="H83" i="13"/>
  <c r="AO83" i="2"/>
  <c r="I83" i="13"/>
  <c r="J83" i="13"/>
  <c r="P83" i="13"/>
  <c r="Q83" i="13"/>
  <c r="R83" i="13"/>
  <c r="D154" i="13"/>
  <c r="U83" i="13"/>
  <c r="W83" i="13"/>
  <c r="C154" i="13"/>
  <c r="T83" i="13"/>
  <c r="X83" i="13"/>
  <c r="AM154" i="2"/>
  <c r="G154" i="13"/>
  <c r="Y83" i="13"/>
  <c r="AN154" i="2"/>
  <c r="H154" i="13"/>
  <c r="Z83" i="13"/>
  <c r="AO154" i="2"/>
  <c r="I154" i="13"/>
  <c r="AA83" i="13"/>
  <c r="J154" i="13"/>
  <c r="AB83" i="13"/>
  <c r="P84" i="13"/>
  <c r="Q84" i="13"/>
  <c r="R84" i="13"/>
  <c r="D217" i="13"/>
  <c r="U84" i="13"/>
  <c r="W84" i="13"/>
  <c r="C217" i="13"/>
  <c r="T84" i="13"/>
  <c r="X84" i="13"/>
  <c r="AM217" i="2"/>
  <c r="G217" i="13"/>
  <c r="Y84" i="13"/>
  <c r="AN217" i="2"/>
  <c r="H217" i="13"/>
  <c r="Z84" i="13"/>
  <c r="AO217" i="2"/>
  <c r="I217" i="13"/>
  <c r="AA84" i="13"/>
  <c r="J217" i="13"/>
  <c r="AB84" i="13"/>
  <c r="C85" i="13"/>
  <c r="D85" i="13"/>
  <c r="AM85" i="2"/>
  <c r="G85" i="13"/>
  <c r="AN85" i="2"/>
  <c r="H85" i="13"/>
  <c r="AO85" i="2"/>
  <c r="I85" i="13"/>
  <c r="J85" i="13"/>
  <c r="P85" i="13"/>
  <c r="Q85" i="13"/>
  <c r="R85" i="13"/>
  <c r="U85" i="13"/>
  <c r="W85" i="13"/>
  <c r="T85" i="13"/>
  <c r="X85" i="13"/>
  <c r="Y85" i="13"/>
  <c r="Z85" i="13"/>
  <c r="AA85" i="13"/>
  <c r="AB85" i="13"/>
  <c r="C86" i="13"/>
  <c r="D86" i="13"/>
  <c r="AM86" i="2"/>
  <c r="G86" i="13"/>
  <c r="AN86" i="2"/>
  <c r="H86" i="13"/>
  <c r="AO86" i="2"/>
  <c r="I86" i="13"/>
  <c r="J86" i="13"/>
  <c r="P86" i="13"/>
  <c r="Q86" i="13"/>
  <c r="R86" i="13"/>
  <c r="D202" i="13"/>
  <c r="U86" i="13"/>
  <c r="W86" i="13"/>
  <c r="C202" i="13"/>
  <c r="T86" i="13"/>
  <c r="X86" i="13"/>
  <c r="AM202" i="2"/>
  <c r="G202" i="13"/>
  <c r="Y86" i="13"/>
  <c r="AN202" i="2"/>
  <c r="H202" i="13"/>
  <c r="Z86" i="13"/>
  <c r="AO202" i="2"/>
  <c r="I202" i="13"/>
  <c r="AA86" i="13"/>
  <c r="J202" i="13"/>
  <c r="AB86" i="13"/>
  <c r="C87" i="13"/>
  <c r="D87" i="13"/>
  <c r="AM87" i="2"/>
  <c r="G87" i="13"/>
  <c r="AN87" i="2"/>
  <c r="H87" i="13"/>
  <c r="AO87" i="2"/>
  <c r="I87" i="13"/>
  <c r="J87" i="13"/>
  <c r="P87" i="13"/>
  <c r="Q87" i="13"/>
  <c r="R87" i="13"/>
  <c r="D199" i="13"/>
  <c r="U87" i="13"/>
  <c r="W87" i="13"/>
  <c r="C199" i="13"/>
  <c r="T87" i="13"/>
  <c r="X87" i="13"/>
  <c r="AM199" i="2"/>
  <c r="G199" i="13"/>
  <c r="Y87" i="13"/>
  <c r="AN199" i="2"/>
  <c r="H199" i="13"/>
  <c r="Z87" i="13"/>
  <c r="AO199" i="2"/>
  <c r="I199" i="13"/>
  <c r="AA87" i="13"/>
  <c r="J199" i="13"/>
  <c r="AB87" i="13"/>
  <c r="P88" i="13"/>
  <c r="Q88" i="13"/>
  <c r="R88" i="13"/>
  <c r="D185" i="13"/>
  <c r="U88" i="13"/>
  <c r="W88" i="13"/>
  <c r="C185" i="13"/>
  <c r="T88" i="13"/>
  <c r="X88" i="13"/>
  <c r="AM185" i="2"/>
  <c r="G185" i="13"/>
  <c r="Y88" i="13"/>
  <c r="AN185" i="2"/>
  <c r="H185" i="13"/>
  <c r="Z88" i="13"/>
  <c r="AO185" i="2"/>
  <c r="I185" i="13"/>
  <c r="AA88" i="13"/>
  <c r="J185" i="13"/>
  <c r="AB88" i="13"/>
  <c r="P89" i="13"/>
  <c r="Q89" i="13"/>
  <c r="R89" i="13"/>
  <c r="D118" i="13"/>
  <c r="U89" i="13"/>
  <c r="W89" i="13"/>
  <c r="C118" i="13"/>
  <c r="T89" i="13"/>
  <c r="X89" i="13"/>
  <c r="AM118" i="2"/>
  <c r="G118" i="13"/>
  <c r="Y89" i="13"/>
  <c r="AN118" i="2"/>
  <c r="H118" i="13"/>
  <c r="Z89" i="13"/>
  <c r="AO118" i="2"/>
  <c r="I118" i="13"/>
  <c r="AA89" i="13"/>
  <c r="J118" i="13"/>
  <c r="AB89" i="13"/>
  <c r="P90" i="13"/>
  <c r="Q90" i="13"/>
  <c r="R90" i="13"/>
  <c r="U90" i="13"/>
  <c r="W90" i="13"/>
  <c r="T90" i="13"/>
  <c r="X90" i="13"/>
  <c r="Y90" i="13"/>
  <c r="Z90" i="13"/>
  <c r="AA90" i="13"/>
  <c r="AB90" i="13"/>
  <c r="P91" i="13"/>
  <c r="Q91" i="13"/>
  <c r="R91" i="13"/>
  <c r="D195" i="13"/>
  <c r="U91" i="13"/>
  <c r="W91" i="13"/>
  <c r="C195" i="13"/>
  <c r="T91" i="13"/>
  <c r="X91" i="13"/>
  <c r="AM195" i="2"/>
  <c r="G195" i="13"/>
  <c r="Y91" i="13"/>
  <c r="AN195" i="2"/>
  <c r="H195" i="13"/>
  <c r="Z91" i="13"/>
  <c r="AO195" i="2"/>
  <c r="I195" i="13"/>
  <c r="AA91" i="13"/>
  <c r="J195" i="13"/>
  <c r="AB91" i="13"/>
  <c r="P92" i="13"/>
  <c r="Q92" i="13"/>
  <c r="R92" i="13"/>
  <c r="D227" i="13"/>
  <c r="U92" i="13"/>
  <c r="W92" i="13"/>
  <c r="C227" i="13"/>
  <c r="T92" i="13"/>
  <c r="X92" i="13"/>
  <c r="AM227" i="2"/>
  <c r="G227" i="13"/>
  <c r="Y92" i="13"/>
  <c r="AN227" i="2"/>
  <c r="H227" i="13"/>
  <c r="Z92" i="13"/>
  <c r="AO227" i="2"/>
  <c r="I227" i="13"/>
  <c r="AA92" i="13"/>
  <c r="J227" i="13"/>
  <c r="AB92" i="13"/>
  <c r="C93" i="13"/>
  <c r="D93" i="13"/>
  <c r="AM93" i="2"/>
  <c r="G93" i="13"/>
  <c r="AN93" i="2"/>
  <c r="H93" i="13"/>
  <c r="AO93" i="2"/>
  <c r="I93" i="13"/>
  <c r="J93" i="13"/>
  <c r="P93" i="13"/>
  <c r="Q93" i="13"/>
  <c r="R93" i="13"/>
  <c r="D206" i="13"/>
  <c r="U93" i="13"/>
  <c r="W93" i="13"/>
  <c r="C206" i="13"/>
  <c r="T93" i="13"/>
  <c r="X93" i="13"/>
  <c r="AM206" i="2"/>
  <c r="G206" i="13"/>
  <c r="Y93" i="13"/>
  <c r="AN206" i="2"/>
  <c r="H206" i="13"/>
  <c r="Z93" i="13"/>
  <c r="AO206" i="2"/>
  <c r="I206" i="13"/>
  <c r="AA93" i="13"/>
  <c r="J206" i="13"/>
  <c r="AB93" i="13"/>
  <c r="P94" i="13"/>
  <c r="Q94" i="13"/>
  <c r="R94" i="13"/>
  <c r="D208" i="13"/>
  <c r="U94" i="13"/>
  <c r="W94" i="13"/>
  <c r="C208" i="13"/>
  <c r="T94" i="13"/>
  <c r="X94" i="13"/>
  <c r="AM208" i="2"/>
  <c r="G208" i="13"/>
  <c r="Y94" i="13"/>
  <c r="AN208" i="2"/>
  <c r="H208" i="13"/>
  <c r="Z94" i="13"/>
  <c r="AO208" i="2"/>
  <c r="I208" i="13"/>
  <c r="AA94" i="13"/>
  <c r="J208" i="13"/>
  <c r="AB94" i="13"/>
  <c r="C95" i="13"/>
  <c r="D95" i="13"/>
  <c r="AM95" i="2"/>
  <c r="G95" i="13"/>
  <c r="AN95" i="2"/>
  <c r="H95" i="13"/>
  <c r="AO95" i="2"/>
  <c r="I95" i="13"/>
  <c r="J95" i="13"/>
  <c r="P95" i="13"/>
  <c r="Q95" i="13"/>
  <c r="R95" i="13"/>
  <c r="U95" i="13"/>
  <c r="W95" i="13"/>
  <c r="T95" i="13"/>
  <c r="X95" i="13"/>
  <c r="Y95" i="13"/>
  <c r="Z95" i="13"/>
  <c r="AA95" i="13"/>
  <c r="AB95" i="13"/>
  <c r="P96" i="13"/>
  <c r="Q96" i="13"/>
  <c r="R96" i="13"/>
  <c r="D133" i="13"/>
  <c r="U96" i="13"/>
  <c r="W96" i="13"/>
  <c r="C133" i="13"/>
  <c r="T96" i="13"/>
  <c r="X96" i="13"/>
  <c r="AM133" i="2"/>
  <c r="G133" i="13"/>
  <c r="Y96" i="13"/>
  <c r="AN133" i="2"/>
  <c r="H133" i="13"/>
  <c r="Z96" i="13"/>
  <c r="AO133" i="2"/>
  <c r="I133" i="13"/>
  <c r="AA96" i="13"/>
  <c r="J133" i="13"/>
  <c r="AB96" i="13"/>
  <c r="P97" i="13"/>
  <c r="Q97" i="13"/>
  <c r="R97" i="13"/>
  <c r="U97" i="13"/>
  <c r="W97" i="13"/>
  <c r="T97" i="13"/>
  <c r="X97" i="13"/>
  <c r="Y97" i="13"/>
  <c r="Z97" i="13"/>
  <c r="AA97" i="13"/>
  <c r="AB97" i="13"/>
  <c r="P98" i="13"/>
  <c r="Q98" i="13"/>
  <c r="R98" i="13"/>
  <c r="U98" i="13"/>
  <c r="W98" i="13"/>
  <c r="T98" i="13"/>
  <c r="X98" i="13"/>
  <c r="Y98" i="13"/>
  <c r="Z98" i="13"/>
  <c r="AA98" i="13"/>
  <c r="AB98" i="13"/>
  <c r="C99" i="13"/>
  <c r="D99" i="13"/>
  <c r="AM99" i="2"/>
  <c r="G99" i="13"/>
  <c r="AN99" i="2"/>
  <c r="H99" i="13"/>
  <c r="AO99" i="2"/>
  <c r="I99" i="13"/>
  <c r="J99" i="13"/>
  <c r="P99" i="13"/>
  <c r="Q99" i="13"/>
  <c r="R99" i="13"/>
  <c r="D112" i="13"/>
  <c r="U99" i="13"/>
  <c r="W99" i="13"/>
  <c r="C112" i="13"/>
  <c r="T99" i="13"/>
  <c r="X99" i="13"/>
  <c r="AM112" i="2"/>
  <c r="G112" i="13"/>
  <c r="Y99" i="13"/>
  <c r="AN112" i="2"/>
  <c r="H112" i="13"/>
  <c r="Z99" i="13"/>
  <c r="AO112" i="2"/>
  <c r="I112" i="13"/>
  <c r="AA99" i="13"/>
  <c r="J112" i="13"/>
  <c r="AB99" i="13"/>
  <c r="P100" i="13"/>
  <c r="Q100" i="13"/>
  <c r="R100" i="13"/>
  <c r="D156" i="13"/>
  <c r="U100" i="13"/>
  <c r="W100" i="13"/>
  <c r="C156" i="13"/>
  <c r="T100" i="13"/>
  <c r="X100" i="13"/>
  <c r="AM156" i="2"/>
  <c r="G156" i="13"/>
  <c r="Y100" i="13"/>
  <c r="AN156" i="2"/>
  <c r="H156" i="13"/>
  <c r="Z100" i="13"/>
  <c r="AO156" i="2"/>
  <c r="I156" i="13"/>
  <c r="AA100" i="13"/>
  <c r="J156" i="13"/>
  <c r="AB100" i="13"/>
  <c r="P101" i="13"/>
  <c r="Q101" i="13"/>
  <c r="R101" i="13"/>
  <c r="D138" i="13"/>
  <c r="U101" i="13"/>
  <c r="W101" i="13"/>
  <c r="C138" i="13"/>
  <c r="T101" i="13"/>
  <c r="X101" i="13"/>
  <c r="AM138" i="2"/>
  <c r="G138" i="13"/>
  <c r="Y101" i="13"/>
  <c r="AN138" i="2"/>
  <c r="H138" i="13"/>
  <c r="Z101" i="13"/>
  <c r="AO138" i="2"/>
  <c r="I138" i="13"/>
  <c r="AA101" i="13"/>
  <c r="J138" i="13"/>
  <c r="AB101" i="13"/>
  <c r="P102" i="13"/>
  <c r="Q102" i="13"/>
  <c r="R102" i="13"/>
  <c r="U102" i="13"/>
  <c r="W102" i="13"/>
  <c r="T102" i="13"/>
  <c r="X102" i="13"/>
  <c r="Y102" i="13"/>
  <c r="Z102" i="13"/>
  <c r="AA102" i="13"/>
  <c r="AB102" i="13"/>
  <c r="P103" i="13"/>
  <c r="Q103" i="13"/>
  <c r="R103" i="13"/>
  <c r="U103" i="13"/>
  <c r="W103" i="13"/>
  <c r="T103" i="13"/>
  <c r="X103" i="13"/>
  <c r="Y103" i="13"/>
  <c r="Z103" i="13"/>
  <c r="AA103" i="13"/>
  <c r="AB103" i="13"/>
  <c r="P104" i="13"/>
  <c r="Q104" i="13"/>
  <c r="R104" i="13"/>
  <c r="U104" i="13"/>
  <c r="W104" i="13"/>
  <c r="T104" i="13"/>
  <c r="X104" i="13"/>
  <c r="Y104" i="13"/>
  <c r="Z104" i="13"/>
  <c r="AA104" i="13"/>
  <c r="AB104" i="13"/>
  <c r="P105" i="13"/>
  <c r="Q105" i="13"/>
  <c r="R105" i="13"/>
  <c r="D124" i="13"/>
  <c r="U105" i="13"/>
  <c r="W105" i="13"/>
  <c r="C124" i="13"/>
  <c r="T105" i="13"/>
  <c r="X105" i="13"/>
  <c r="AM124" i="2"/>
  <c r="G124" i="13"/>
  <c r="Y105" i="13"/>
  <c r="AN124" i="2"/>
  <c r="H124" i="13"/>
  <c r="Z105" i="13"/>
  <c r="AO124" i="2"/>
  <c r="I124" i="13"/>
  <c r="AA105" i="13"/>
  <c r="J124" i="13"/>
  <c r="AB105" i="13"/>
  <c r="P106" i="13"/>
  <c r="Q106" i="13"/>
  <c r="R106" i="13"/>
  <c r="U106" i="13"/>
  <c r="W106" i="13"/>
  <c r="T106" i="13"/>
  <c r="X106" i="13"/>
  <c r="Y106" i="13"/>
  <c r="Z106" i="13"/>
  <c r="AA106" i="13"/>
  <c r="AB106" i="13"/>
  <c r="P107" i="13"/>
  <c r="Q107" i="13"/>
  <c r="R107" i="13"/>
  <c r="D125" i="13"/>
  <c r="U107" i="13"/>
  <c r="W107" i="13"/>
  <c r="C125" i="13"/>
  <c r="T107" i="13"/>
  <c r="X107" i="13"/>
  <c r="AM125" i="2"/>
  <c r="G125" i="13"/>
  <c r="Y107" i="13"/>
  <c r="AN125" i="2"/>
  <c r="H125" i="13"/>
  <c r="Z107" i="13"/>
  <c r="AO125" i="2"/>
  <c r="I125" i="13"/>
  <c r="AA107" i="13"/>
  <c r="J125" i="13"/>
  <c r="AB107" i="13"/>
  <c r="C108" i="13"/>
  <c r="D108" i="13"/>
  <c r="AM108" i="2"/>
  <c r="G108" i="13"/>
  <c r="AN108" i="2"/>
  <c r="H108" i="13"/>
  <c r="AO108" i="2"/>
  <c r="I108" i="13"/>
  <c r="J108" i="13"/>
  <c r="P108" i="13"/>
  <c r="Q108" i="13"/>
  <c r="R108" i="13"/>
  <c r="U108" i="13"/>
  <c r="W108" i="13"/>
  <c r="T108" i="13"/>
  <c r="X108" i="13"/>
  <c r="Y108" i="13"/>
  <c r="Z108" i="13"/>
  <c r="AA108" i="13"/>
  <c r="AB108" i="13"/>
  <c r="P109" i="13"/>
  <c r="Q109" i="13"/>
  <c r="R109" i="13"/>
  <c r="U109" i="13"/>
  <c r="W109" i="13"/>
  <c r="T109" i="13"/>
  <c r="X109" i="13"/>
  <c r="Y109" i="13"/>
  <c r="Z109" i="13"/>
  <c r="AA109" i="13"/>
  <c r="AB109" i="13"/>
  <c r="P110" i="13"/>
  <c r="Q110" i="13"/>
  <c r="R110" i="13"/>
  <c r="D152" i="13"/>
  <c r="U110" i="13"/>
  <c r="W110" i="13"/>
  <c r="C152" i="13"/>
  <c r="T110" i="13"/>
  <c r="X110" i="13"/>
  <c r="AM152" i="2"/>
  <c r="G152" i="13"/>
  <c r="Y110" i="13"/>
  <c r="AN152" i="2"/>
  <c r="H152" i="13"/>
  <c r="Z110" i="13"/>
  <c r="AO152" i="2"/>
  <c r="I152" i="13"/>
  <c r="AA110" i="13"/>
  <c r="J152" i="13"/>
  <c r="AB110" i="13"/>
  <c r="P111" i="13"/>
  <c r="Q111" i="13"/>
  <c r="R111" i="13"/>
  <c r="U111" i="13"/>
  <c r="W111" i="13"/>
  <c r="T111" i="13"/>
  <c r="X111" i="13"/>
  <c r="Y111" i="13"/>
  <c r="Z111" i="13"/>
  <c r="AA111" i="13"/>
  <c r="AB111" i="13"/>
  <c r="P112" i="13"/>
  <c r="Q112" i="13"/>
  <c r="R112" i="13"/>
  <c r="D216" i="13"/>
  <c r="U112" i="13"/>
  <c r="W112" i="13"/>
  <c r="C216" i="13"/>
  <c r="T112" i="13"/>
  <c r="X112" i="13"/>
  <c r="AM216" i="2"/>
  <c r="G216" i="13"/>
  <c r="Y112" i="13"/>
  <c r="AN216" i="2"/>
  <c r="H216" i="13"/>
  <c r="Z112" i="13"/>
  <c r="AO216" i="2"/>
  <c r="I216" i="13"/>
  <c r="AA112" i="13"/>
  <c r="J216" i="13"/>
  <c r="AB112" i="13"/>
  <c r="P113" i="13"/>
  <c r="Q113" i="13"/>
  <c r="R113" i="13"/>
  <c r="D210" i="13"/>
  <c r="U113" i="13"/>
  <c r="W113" i="13"/>
  <c r="C210" i="13"/>
  <c r="T113" i="13"/>
  <c r="X113" i="13"/>
  <c r="AM210" i="2"/>
  <c r="G210" i="13"/>
  <c r="Y113" i="13"/>
  <c r="AN210" i="2"/>
  <c r="H210" i="13"/>
  <c r="Z113" i="13"/>
  <c r="AO210" i="2"/>
  <c r="I210" i="13"/>
  <c r="AA113" i="13"/>
  <c r="J210" i="13"/>
  <c r="AB113" i="13"/>
  <c r="P114" i="13"/>
  <c r="Q114" i="13"/>
  <c r="R114" i="13"/>
  <c r="D145" i="13"/>
  <c r="U114" i="13"/>
  <c r="W114" i="13"/>
  <c r="C145" i="13"/>
  <c r="T114" i="13"/>
  <c r="X114" i="13"/>
  <c r="AM145" i="2"/>
  <c r="G145" i="13"/>
  <c r="Y114" i="13"/>
  <c r="AN145" i="2"/>
  <c r="H145" i="13"/>
  <c r="Z114" i="13"/>
  <c r="AO145" i="2"/>
  <c r="I145" i="13"/>
  <c r="AA114" i="13"/>
  <c r="J145" i="13"/>
  <c r="AB114" i="13"/>
  <c r="C115" i="13"/>
  <c r="D115" i="13"/>
  <c r="AM115" i="2"/>
  <c r="G115" i="13"/>
  <c r="AN115" i="2"/>
  <c r="H115" i="13"/>
  <c r="AO115" i="2"/>
  <c r="I115" i="13"/>
  <c r="J115" i="13"/>
  <c r="P115" i="13"/>
  <c r="Q115" i="13"/>
  <c r="R115" i="13"/>
  <c r="U115" i="13"/>
  <c r="W115" i="13"/>
  <c r="T115" i="13"/>
  <c r="X115" i="13"/>
  <c r="Y115" i="13"/>
  <c r="Z115" i="13"/>
  <c r="AA115" i="13"/>
  <c r="AB115" i="13"/>
  <c r="C116" i="13"/>
  <c r="D116" i="13"/>
  <c r="AM116" i="2"/>
  <c r="G116" i="13"/>
  <c r="AN116" i="2"/>
  <c r="H116" i="13"/>
  <c r="AO116" i="2"/>
  <c r="I116" i="13"/>
  <c r="J116" i="13"/>
  <c r="P116" i="13"/>
  <c r="Q116" i="13"/>
  <c r="R116" i="13"/>
  <c r="U116" i="13"/>
  <c r="W116" i="13"/>
  <c r="T116" i="13"/>
  <c r="X116" i="13"/>
  <c r="Y116" i="13"/>
  <c r="Z116" i="13"/>
  <c r="AA116" i="13"/>
  <c r="AB116" i="13"/>
  <c r="P117" i="13"/>
  <c r="Q117" i="13"/>
  <c r="R117" i="13"/>
  <c r="D172" i="13"/>
  <c r="U117" i="13"/>
  <c r="W117" i="13"/>
  <c r="C172" i="13"/>
  <c r="T117" i="13"/>
  <c r="X117" i="13"/>
  <c r="AM172" i="2"/>
  <c r="G172" i="13"/>
  <c r="Y117" i="13"/>
  <c r="AN172" i="2"/>
  <c r="H172" i="13"/>
  <c r="Z117" i="13"/>
  <c r="AO172" i="2"/>
  <c r="I172" i="13"/>
  <c r="AA117" i="13"/>
  <c r="J172" i="13"/>
  <c r="AB117" i="13"/>
  <c r="P118" i="13"/>
  <c r="Q118" i="13"/>
  <c r="R118" i="13"/>
  <c r="U118" i="13"/>
  <c r="W118" i="13"/>
  <c r="T118" i="13"/>
  <c r="X118" i="13"/>
  <c r="Y118" i="13"/>
  <c r="Z118" i="13"/>
  <c r="AA118" i="13"/>
  <c r="AB118" i="13"/>
  <c r="P119" i="13"/>
  <c r="Q119" i="13"/>
  <c r="R119" i="13"/>
  <c r="D120" i="13"/>
  <c r="U119" i="13"/>
  <c r="W119" i="13"/>
  <c r="C120" i="13"/>
  <c r="T119" i="13"/>
  <c r="X119" i="13"/>
  <c r="AM120" i="2"/>
  <c r="G120" i="13"/>
  <c r="Y119" i="13"/>
  <c r="AN120" i="2"/>
  <c r="H120" i="13"/>
  <c r="Z119" i="13"/>
  <c r="AO120" i="2"/>
  <c r="I120" i="13"/>
  <c r="AA119" i="13"/>
  <c r="J120" i="13"/>
  <c r="AB119" i="13"/>
  <c r="P120" i="13"/>
  <c r="Q120" i="13"/>
  <c r="R120" i="13"/>
  <c r="D207" i="13"/>
  <c r="U120" i="13"/>
  <c r="W120" i="13"/>
  <c r="C207" i="13"/>
  <c r="T120" i="13"/>
  <c r="X120" i="13"/>
  <c r="AM207" i="2"/>
  <c r="G207" i="13"/>
  <c r="Y120" i="13"/>
  <c r="AN207" i="2"/>
  <c r="H207" i="13"/>
  <c r="Z120" i="13"/>
  <c r="AO207" i="2"/>
  <c r="I207" i="13"/>
  <c r="AA120" i="13"/>
  <c r="J207" i="13"/>
  <c r="AB120" i="13"/>
  <c r="C121" i="13"/>
  <c r="D121" i="13"/>
  <c r="AM121" i="2"/>
  <c r="G121" i="13"/>
  <c r="AN121" i="2"/>
  <c r="H121" i="13"/>
  <c r="AO121" i="2"/>
  <c r="I121" i="13"/>
  <c r="J121" i="13"/>
  <c r="P121" i="13"/>
  <c r="Q121" i="13"/>
  <c r="R121" i="13"/>
  <c r="D151" i="13"/>
  <c r="U121" i="13"/>
  <c r="W121" i="13"/>
  <c r="C151" i="13"/>
  <c r="T121" i="13"/>
  <c r="X121" i="13"/>
  <c r="AM151" i="2"/>
  <c r="G151" i="13"/>
  <c r="Y121" i="13"/>
  <c r="AN151" i="2"/>
  <c r="H151" i="13"/>
  <c r="Z121" i="13"/>
  <c r="AO151" i="2"/>
  <c r="I151" i="13"/>
  <c r="AA121" i="13"/>
  <c r="J151" i="13"/>
  <c r="AB121" i="13"/>
  <c r="C122" i="13"/>
  <c r="D122" i="13"/>
  <c r="AM122" i="2"/>
  <c r="G122" i="13"/>
  <c r="AN122" i="2"/>
  <c r="H122" i="13"/>
  <c r="AO122" i="2"/>
  <c r="I122" i="13"/>
  <c r="J122" i="13"/>
  <c r="P122" i="13"/>
  <c r="Q122" i="13"/>
  <c r="R122" i="13"/>
  <c r="U122" i="13"/>
  <c r="W122" i="13"/>
  <c r="T122" i="13"/>
  <c r="X122" i="13"/>
  <c r="Y122" i="13"/>
  <c r="Z122" i="13"/>
  <c r="AA122" i="13"/>
  <c r="AB122" i="13"/>
  <c r="C123" i="13"/>
  <c r="D123" i="13"/>
  <c r="AM123" i="2"/>
  <c r="G123" i="13"/>
  <c r="AN123" i="2"/>
  <c r="H123" i="13"/>
  <c r="AO123" i="2"/>
  <c r="I123" i="13"/>
  <c r="J123" i="13"/>
  <c r="P123" i="13"/>
  <c r="Q123" i="13"/>
  <c r="R123" i="13"/>
  <c r="D159" i="13"/>
  <c r="U123" i="13"/>
  <c r="W123" i="13"/>
  <c r="C159" i="13"/>
  <c r="T123" i="13"/>
  <c r="X123" i="13"/>
  <c r="AM159" i="2"/>
  <c r="G159" i="13"/>
  <c r="Y123" i="13"/>
  <c r="AN159" i="2"/>
  <c r="H159" i="13"/>
  <c r="Z123" i="13"/>
  <c r="AO159" i="2"/>
  <c r="I159" i="13"/>
  <c r="AA123" i="13"/>
  <c r="J159" i="13"/>
  <c r="AB123" i="13"/>
  <c r="P124" i="13"/>
  <c r="Q124" i="13"/>
  <c r="R124" i="13"/>
  <c r="U124" i="13"/>
  <c r="W124" i="13"/>
  <c r="T124" i="13"/>
  <c r="X124" i="13"/>
  <c r="Y124" i="13"/>
  <c r="Z124" i="13"/>
  <c r="AA124" i="13"/>
  <c r="AB124" i="13"/>
  <c r="P125" i="13"/>
  <c r="Q125" i="13"/>
  <c r="R125" i="13"/>
  <c r="D215" i="13"/>
  <c r="U125" i="13"/>
  <c r="W125" i="13"/>
  <c r="C215" i="13"/>
  <c r="T125" i="13"/>
  <c r="X125" i="13"/>
  <c r="AM215" i="2"/>
  <c r="G215" i="13"/>
  <c r="Y125" i="13"/>
  <c r="AN215" i="2"/>
  <c r="H215" i="13"/>
  <c r="Z125" i="13"/>
  <c r="AO215" i="2"/>
  <c r="I215" i="13"/>
  <c r="AA125" i="13"/>
  <c r="J215" i="13"/>
  <c r="AB125" i="13"/>
  <c r="C126" i="13"/>
  <c r="D126" i="13"/>
  <c r="AM126" i="2"/>
  <c r="G126" i="13"/>
  <c r="AN126" i="2"/>
  <c r="H126" i="13"/>
  <c r="AO126" i="2"/>
  <c r="I126" i="13"/>
  <c r="J126" i="13"/>
  <c r="P126" i="13"/>
  <c r="Q126" i="13"/>
  <c r="R126" i="13"/>
  <c r="D143" i="13"/>
  <c r="U126" i="13"/>
  <c r="W126" i="13"/>
  <c r="C143" i="13"/>
  <c r="T126" i="13"/>
  <c r="X126" i="13"/>
  <c r="AM143" i="2"/>
  <c r="G143" i="13"/>
  <c r="Y126" i="13"/>
  <c r="AN143" i="2"/>
  <c r="H143" i="13"/>
  <c r="Z126" i="13"/>
  <c r="AO143" i="2"/>
  <c r="I143" i="13"/>
  <c r="AA126" i="13"/>
  <c r="J143" i="13"/>
  <c r="AB126" i="13"/>
  <c r="C127" i="13"/>
  <c r="D127" i="13"/>
  <c r="AM127" i="2"/>
  <c r="G127" i="13"/>
  <c r="AN127" i="2"/>
  <c r="H127" i="13"/>
  <c r="AO127" i="2"/>
  <c r="I127" i="13"/>
  <c r="J127" i="13"/>
  <c r="P127" i="13"/>
  <c r="Q127" i="13"/>
  <c r="R127" i="13"/>
  <c r="D134" i="13"/>
  <c r="U127" i="13"/>
  <c r="W127" i="13"/>
  <c r="C134" i="13"/>
  <c r="T127" i="13"/>
  <c r="X127" i="13"/>
  <c r="AM134" i="2"/>
  <c r="G134" i="13"/>
  <c r="Y127" i="13"/>
  <c r="AN134" i="2"/>
  <c r="H134" i="13"/>
  <c r="Z127" i="13"/>
  <c r="AO134" i="2"/>
  <c r="I134" i="13"/>
  <c r="AA127" i="13"/>
  <c r="J134" i="13"/>
  <c r="AB127" i="13"/>
  <c r="C128" i="13"/>
  <c r="D128" i="13"/>
  <c r="AM128" i="2"/>
  <c r="G128" i="13"/>
  <c r="AN128" i="2"/>
  <c r="H128" i="13"/>
  <c r="AO128" i="2"/>
  <c r="I128" i="13"/>
  <c r="J128" i="13"/>
  <c r="P128" i="13"/>
  <c r="Q128" i="13"/>
  <c r="R128" i="13"/>
  <c r="U128" i="13"/>
  <c r="W128" i="13"/>
  <c r="T128" i="13"/>
  <c r="X128" i="13"/>
  <c r="Y128" i="13"/>
  <c r="Z128" i="13"/>
  <c r="AA128" i="13"/>
  <c r="AB128" i="13"/>
  <c r="C129" i="13"/>
  <c r="D129" i="13"/>
  <c r="AM129" i="2"/>
  <c r="G129" i="13"/>
  <c r="AN129" i="2"/>
  <c r="H129" i="13"/>
  <c r="AO129" i="2"/>
  <c r="I129" i="13"/>
  <c r="J129" i="13"/>
  <c r="P129" i="13"/>
  <c r="Q129" i="13"/>
  <c r="R129" i="13"/>
  <c r="U129" i="13"/>
  <c r="W129" i="13"/>
  <c r="T129" i="13"/>
  <c r="X129" i="13"/>
  <c r="Y129" i="13"/>
  <c r="Z129" i="13"/>
  <c r="AA129" i="13"/>
  <c r="AB129" i="13"/>
  <c r="C130" i="13"/>
  <c r="D130" i="13"/>
  <c r="AM130" i="2"/>
  <c r="G130" i="13"/>
  <c r="AN130" i="2"/>
  <c r="H130" i="13"/>
  <c r="AO130" i="2"/>
  <c r="I130" i="13"/>
  <c r="J130" i="13"/>
  <c r="P130" i="13"/>
  <c r="Q130" i="13"/>
  <c r="R130" i="13"/>
  <c r="D175" i="13"/>
  <c r="U130" i="13"/>
  <c r="W130" i="13"/>
  <c r="C175" i="13"/>
  <c r="T130" i="13"/>
  <c r="X130" i="13"/>
  <c r="AM175" i="2"/>
  <c r="G175" i="13"/>
  <c r="Y130" i="13"/>
  <c r="AN175" i="2"/>
  <c r="H175" i="13"/>
  <c r="Z130" i="13"/>
  <c r="AO175" i="2"/>
  <c r="I175" i="13"/>
  <c r="AA130" i="13"/>
  <c r="J175" i="13"/>
  <c r="AB130" i="13"/>
  <c r="C131" i="13"/>
  <c r="D131" i="13"/>
  <c r="AM131" i="2"/>
  <c r="G131" i="13"/>
  <c r="AN131" i="2"/>
  <c r="H131" i="13"/>
  <c r="AO131" i="2"/>
  <c r="I131" i="13"/>
  <c r="J131" i="13"/>
  <c r="P131" i="13"/>
  <c r="Q131" i="13"/>
  <c r="R131" i="13"/>
  <c r="U131" i="13"/>
  <c r="W131" i="13"/>
  <c r="T131" i="13"/>
  <c r="X131" i="13"/>
  <c r="Y131" i="13"/>
  <c r="Z131" i="13"/>
  <c r="AA131" i="13"/>
  <c r="AB131" i="13"/>
  <c r="C132" i="13"/>
  <c r="D132" i="13"/>
  <c r="AM132" i="2"/>
  <c r="G132" i="13"/>
  <c r="AN132" i="2"/>
  <c r="H132" i="13"/>
  <c r="AO132" i="2"/>
  <c r="I132" i="13"/>
  <c r="J132" i="13"/>
  <c r="P132" i="13"/>
  <c r="Q132" i="13"/>
  <c r="R132" i="13"/>
  <c r="D150" i="13"/>
  <c r="U132" i="13"/>
  <c r="W132" i="13"/>
  <c r="C150" i="13"/>
  <c r="T132" i="13"/>
  <c r="X132" i="13"/>
  <c r="AM150" i="2"/>
  <c r="G150" i="13"/>
  <c r="Y132" i="13"/>
  <c r="AN150" i="2"/>
  <c r="H150" i="13"/>
  <c r="Z132" i="13"/>
  <c r="AO150" i="2"/>
  <c r="I150" i="13"/>
  <c r="AA132" i="13"/>
  <c r="J150" i="13"/>
  <c r="AB132" i="13"/>
  <c r="P133" i="13"/>
  <c r="Q133" i="13"/>
  <c r="R133" i="13"/>
  <c r="D181" i="13"/>
  <c r="U133" i="13"/>
  <c r="W133" i="13"/>
  <c r="C181" i="13"/>
  <c r="T133" i="13"/>
  <c r="X133" i="13"/>
  <c r="AM181" i="2"/>
  <c r="G181" i="13"/>
  <c r="Y133" i="13"/>
  <c r="AN181" i="2"/>
  <c r="H181" i="13"/>
  <c r="Z133" i="13"/>
  <c r="AO181" i="2"/>
  <c r="I181" i="13"/>
  <c r="AA133" i="13"/>
  <c r="J181" i="13"/>
  <c r="AB133" i="13"/>
  <c r="P134" i="13"/>
  <c r="Q134" i="13"/>
  <c r="R134" i="13"/>
  <c r="U134" i="13"/>
  <c r="W134" i="13"/>
  <c r="T134" i="13"/>
  <c r="X134" i="13"/>
  <c r="Y134" i="13"/>
  <c r="Z134" i="13"/>
  <c r="AA134" i="13"/>
  <c r="AB134" i="13"/>
  <c r="C135" i="13"/>
  <c r="D135" i="13"/>
  <c r="AM135" i="2"/>
  <c r="G135" i="13"/>
  <c r="AN135" i="2"/>
  <c r="H135" i="13"/>
  <c r="AO135" i="2"/>
  <c r="I135" i="13"/>
  <c r="J135" i="13"/>
  <c r="P135" i="13"/>
  <c r="Q135" i="13"/>
  <c r="R135" i="13"/>
  <c r="D158" i="13"/>
  <c r="U135" i="13"/>
  <c r="W135" i="13"/>
  <c r="C158" i="13"/>
  <c r="T135" i="13"/>
  <c r="X135" i="13"/>
  <c r="AM158" i="2"/>
  <c r="G158" i="13"/>
  <c r="Y135" i="13"/>
  <c r="AN158" i="2"/>
  <c r="H158" i="13"/>
  <c r="Z135" i="13"/>
  <c r="AO158" i="2"/>
  <c r="I158" i="13"/>
  <c r="AA135" i="13"/>
  <c r="J158" i="13"/>
  <c r="AB135" i="13"/>
  <c r="C136" i="13"/>
  <c r="D136" i="13"/>
  <c r="AM136" i="2"/>
  <c r="G136" i="13"/>
  <c r="AN136" i="2"/>
  <c r="H136" i="13"/>
  <c r="AO136" i="2"/>
  <c r="I136" i="13"/>
  <c r="J136" i="13"/>
  <c r="P136" i="13"/>
  <c r="Q136" i="13"/>
  <c r="R136" i="13"/>
  <c r="U136" i="13"/>
  <c r="W136" i="13"/>
  <c r="T136" i="13"/>
  <c r="X136" i="13"/>
  <c r="Y136" i="13"/>
  <c r="Z136" i="13"/>
  <c r="AA136" i="13"/>
  <c r="AB136" i="13"/>
  <c r="P137" i="13"/>
  <c r="Q137" i="13"/>
  <c r="R137" i="13"/>
  <c r="U137" i="13"/>
  <c r="W137" i="13"/>
  <c r="T137" i="13"/>
  <c r="X137" i="13"/>
  <c r="Y137" i="13"/>
  <c r="Z137" i="13"/>
  <c r="AA137" i="13"/>
  <c r="AB137" i="13"/>
  <c r="P138" i="13"/>
  <c r="Q138" i="13"/>
  <c r="R138" i="13"/>
  <c r="D204" i="13"/>
  <c r="U138" i="13"/>
  <c r="W138" i="13"/>
  <c r="C204" i="13"/>
  <c r="T138" i="13"/>
  <c r="X138" i="13"/>
  <c r="AM204" i="2"/>
  <c r="G204" i="13"/>
  <c r="Y138" i="13"/>
  <c r="AN204" i="2"/>
  <c r="H204" i="13"/>
  <c r="Z138" i="13"/>
  <c r="AO204" i="2"/>
  <c r="I204" i="13"/>
  <c r="AA138" i="13"/>
  <c r="J204" i="13"/>
  <c r="AB138" i="13"/>
  <c r="P139" i="13"/>
  <c r="Q139" i="13"/>
  <c r="R139" i="13"/>
  <c r="D146" i="13"/>
  <c r="U139" i="13"/>
  <c r="W139" i="13"/>
  <c r="C146" i="13"/>
  <c r="T139" i="13"/>
  <c r="X139" i="13"/>
  <c r="AM146" i="2"/>
  <c r="G146" i="13"/>
  <c r="Y139" i="13"/>
  <c r="AN146" i="2"/>
  <c r="H146" i="13"/>
  <c r="Z139" i="13"/>
  <c r="AO146" i="2"/>
  <c r="I146" i="13"/>
  <c r="AA139" i="13"/>
  <c r="J146" i="13"/>
  <c r="AB139" i="13"/>
  <c r="C140" i="13"/>
  <c r="D140" i="13"/>
  <c r="AM140" i="2"/>
  <c r="G140" i="13"/>
  <c r="AN140" i="2"/>
  <c r="H140" i="13"/>
  <c r="AO140" i="2"/>
  <c r="I140" i="13"/>
  <c r="J140" i="13"/>
  <c r="P140" i="13"/>
  <c r="Q140" i="13"/>
  <c r="R140" i="13"/>
  <c r="D196" i="13"/>
  <c r="U140" i="13"/>
  <c r="W140" i="13"/>
  <c r="C196" i="13"/>
  <c r="T140" i="13"/>
  <c r="X140" i="13"/>
  <c r="AM196" i="2"/>
  <c r="G196" i="13"/>
  <c r="Y140" i="13"/>
  <c r="AN196" i="2"/>
  <c r="H196" i="13"/>
  <c r="Z140" i="13"/>
  <c r="AO196" i="2"/>
  <c r="I196" i="13"/>
  <c r="AA140" i="13"/>
  <c r="J196" i="13"/>
  <c r="AB140" i="13"/>
  <c r="C141" i="13"/>
  <c r="D141" i="13"/>
  <c r="AM141" i="2"/>
  <c r="G141" i="13"/>
  <c r="AN141" i="2"/>
  <c r="H141" i="13"/>
  <c r="AO141" i="2"/>
  <c r="I141" i="13"/>
  <c r="J141" i="13"/>
  <c r="P141" i="13"/>
  <c r="Q141" i="13"/>
  <c r="R141" i="13"/>
  <c r="U141" i="13"/>
  <c r="W141" i="13"/>
  <c r="T141" i="13"/>
  <c r="X141" i="13"/>
  <c r="Y141" i="13"/>
  <c r="Z141" i="13"/>
  <c r="AA141" i="13"/>
  <c r="AB141" i="13"/>
  <c r="C142" i="13"/>
  <c r="D142" i="13"/>
  <c r="AM142" i="2"/>
  <c r="G142" i="13"/>
  <c r="AN142" i="2"/>
  <c r="H142" i="13"/>
  <c r="AO142" i="2"/>
  <c r="I142" i="13"/>
  <c r="J142" i="13"/>
  <c r="P142" i="13"/>
  <c r="Q142" i="13"/>
  <c r="R142" i="13"/>
  <c r="D224" i="13"/>
  <c r="U142" i="13"/>
  <c r="W142" i="13"/>
  <c r="C224" i="13"/>
  <c r="T142" i="13"/>
  <c r="X142" i="13"/>
  <c r="AM224" i="2"/>
  <c r="G224" i="13"/>
  <c r="Y142" i="13"/>
  <c r="AN224" i="2"/>
  <c r="H224" i="13"/>
  <c r="Z142" i="13"/>
  <c r="AO224" i="2"/>
  <c r="I224" i="13"/>
  <c r="AA142" i="13"/>
  <c r="J224" i="13"/>
  <c r="AB142" i="13"/>
  <c r="P143" i="13"/>
  <c r="Q143" i="13"/>
  <c r="R143" i="13"/>
  <c r="D161" i="13"/>
  <c r="U143" i="13"/>
  <c r="W143" i="13"/>
  <c r="C161" i="13"/>
  <c r="T143" i="13"/>
  <c r="X143" i="13"/>
  <c r="AM161" i="2"/>
  <c r="G161" i="13"/>
  <c r="Y143" i="13"/>
  <c r="AN161" i="2"/>
  <c r="H161" i="13"/>
  <c r="Z143" i="13"/>
  <c r="AO161" i="2"/>
  <c r="I161" i="13"/>
  <c r="AA143" i="13"/>
  <c r="J161" i="13"/>
  <c r="AB143" i="13"/>
  <c r="C144" i="13"/>
  <c r="D144" i="13"/>
  <c r="AM144" i="2"/>
  <c r="G144" i="13"/>
  <c r="AN144" i="2"/>
  <c r="H144" i="13"/>
  <c r="AO144" i="2"/>
  <c r="I144" i="13"/>
  <c r="J144" i="13"/>
  <c r="P144" i="13"/>
  <c r="Q144" i="13"/>
  <c r="R144" i="13"/>
  <c r="U144" i="13"/>
  <c r="W144" i="13"/>
  <c r="T144" i="13"/>
  <c r="X144" i="13"/>
  <c r="Y144" i="13"/>
  <c r="Z144" i="13"/>
  <c r="AA144" i="13"/>
  <c r="AB144" i="13"/>
  <c r="P145" i="13"/>
  <c r="Q145" i="13"/>
  <c r="R145" i="13"/>
  <c r="D203" i="13"/>
  <c r="U145" i="13"/>
  <c r="W145" i="13"/>
  <c r="C203" i="13"/>
  <c r="T145" i="13"/>
  <c r="X145" i="13"/>
  <c r="AM203" i="2"/>
  <c r="G203" i="13"/>
  <c r="Y145" i="13"/>
  <c r="AN203" i="2"/>
  <c r="H203" i="13"/>
  <c r="Z145" i="13"/>
  <c r="AO203" i="2"/>
  <c r="I203" i="13"/>
  <c r="AA145" i="13"/>
  <c r="J203" i="13"/>
  <c r="AB145" i="13"/>
  <c r="P146" i="13"/>
  <c r="Q146" i="13"/>
  <c r="R146" i="13"/>
  <c r="U146" i="13"/>
  <c r="W146" i="13"/>
  <c r="T146" i="13"/>
  <c r="X146" i="13"/>
  <c r="Y146" i="13"/>
  <c r="Z146" i="13"/>
  <c r="AA146" i="13"/>
  <c r="AB146" i="13"/>
  <c r="C147" i="13"/>
  <c r="D147" i="13"/>
  <c r="AM147" i="2"/>
  <c r="G147" i="13"/>
  <c r="AN147" i="2"/>
  <c r="H147" i="13"/>
  <c r="AO147" i="2"/>
  <c r="I147" i="13"/>
  <c r="J147" i="13"/>
  <c r="P147" i="13"/>
  <c r="Q147" i="13"/>
  <c r="R147" i="13"/>
  <c r="U147" i="13"/>
  <c r="W147" i="13"/>
  <c r="T147" i="13"/>
  <c r="X147" i="13"/>
  <c r="Y147" i="13"/>
  <c r="Z147" i="13"/>
  <c r="AA147" i="13"/>
  <c r="AB147" i="13"/>
  <c r="C148" i="13"/>
  <c r="D148" i="13"/>
  <c r="AM148" i="2"/>
  <c r="G148" i="13"/>
  <c r="AN148" i="2"/>
  <c r="H148" i="13"/>
  <c r="AO148" i="2"/>
  <c r="I148" i="13"/>
  <c r="J148" i="13"/>
  <c r="P148" i="13"/>
  <c r="Q148" i="13"/>
  <c r="R148" i="13"/>
  <c r="U148" i="13"/>
  <c r="W148" i="13"/>
  <c r="T148" i="13"/>
  <c r="X148" i="13"/>
  <c r="Y148" i="13"/>
  <c r="Z148" i="13"/>
  <c r="AA148" i="13"/>
  <c r="AB148" i="13"/>
  <c r="P149" i="13"/>
  <c r="Q149" i="13"/>
  <c r="R149" i="13"/>
  <c r="U149" i="13"/>
  <c r="W149" i="13"/>
  <c r="T149" i="13"/>
  <c r="X149" i="13"/>
  <c r="Y149" i="13"/>
  <c r="Z149" i="13"/>
  <c r="AA149" i="13"/>
  <c r="AB149" i="13"/>
  <c r="P150" i="13"/>
  <c r="Q150" i="13"/>
  <c r="R150" i="13"/>
  <c r="D219" i="13"/>
  <c r="U150" i="13"/>
  <c r="W150" i="13"/>
  <c r="C219" i="13"/>
  <c r="T150" i="13"/>
  <c r="X150" i="13"/>
  <c r="AM219" i="2"/>
  <c r="G219" i="13"/>
  <c r="Y150" i="13"/>
  <c r="AN219" i="2"/>
  <c r="H219" i="13"/>
  <c r="Z150" i="13"/>
  <c r="AO219" i="2"/>
  <c r="I219" i="13"/>
  <c r="AA150" i="13"/>
  <c r="J219" i="13"/>
  <c r="AB150" i="13"/>
  <c r="P151" i="13"/>
  <c r="Q151" i="13"/>
  <c r="R151" i="13"/>
  <c r="D165" i="13"/>
  <c r="U151" i="13"/>
  <c r="W151" i="13"/>
  <c r="C165" i="13"/>
  <c r="T151" i="13"/>
  <c r="X151" i="13"/>
  <c r="AM165" i="2"/>
  <c r="G165" i="13"/>
  <c r="Y151" i="13"/>
  <c r="AN165" i="2"/>
  <c r="H165" i="13"/>
  <c r="Z151" i="13"/>
  <c r="AO165" i="2"/>
  <c r="I165" i="13"/>
  <c r="AA151" i="13"/>
  <c r="J165" i="13"/>
  <c r="AB151" i="13"/>
  <c r="P152" i="13"/>
  <c r="Q152" i="13"/>
  <c r="R152" i="13"/>
  <c r="D178" i="13"/>
  <c r="U152" i="13"/>
  <c r="W152" i="13"/>
  <c r="C178" i="13"/>
  <c r="T152" i="13"/>
  <c r="X152" i="13"/>
  <c r="AM178" i="2"/>
  <c r="G178" i="13"/>
  <c r="Y152" i="13"/>
  <c r="AN178" i="2"/>
  <c r="H178" i="13"/>
  <c r="Z152" i="13"/>
  <c r="AO178" i="2"/>
  <c r="I178" i="13"/>
  <c r="AA152" i="13"/>
  <c r="J178" i="13"/>
  <c r="AB152" i="13"/>
  <c r="C153" i="13"/>
  <c r="D153" i="13"/>
  <c r="AM153" i="2"/>
  <c r="G153" i="13"/>
  <c r="AN153" i="2"/>
  <c r="H153" i="13"/>
  <c r="AO153" i="2"/>
  <c r="I153" i="13"/>
  <c r="J153" i="13"/>
  <c r="P153" i="13"/>
  <c r="Q153" i="13"/>
  <c r="R153" i="13"/>
  <c r="D160" i="13"/>
  <c r="U153" i="13"/>
  <c r="W153" i="13"/>
  <c r="C160" i="13"/>
  <c r="T153" i="13"/>
  <c r="X153" i="13"/>
  <c r="AM160" i="2"/>
  <c r="G160" i="13"/>
  <c r="Y153" i="13"/>
  <c r="AN160" i="2"/>
  <c r="H160" i="13"/>
  <c r="Z153" i="13"/>
  <c r="AO160" i="2"/>
  <c r="I160" i="13"/>
  <c r="AA153" i="13"/>
  <c r="J160" i="13"/>
  <c r="AB153" i="13"/>
  <c r="P154" i="13"/>
  <c r="Q154" i="13"/>
  <c r="R154" i="13"/>
  <c r="U154" i="13"/>
  <c r="W154" i="13"/>
  <c r="T154" i="13"/>
  <c r="X154" i="13"/>
  <c r="Y154" i="13"/>
  <c r="Z154" i="13"/>
  <c r="AA154" i="13"/>
  <c r="AB154" i="13"/>
  <c r="C155" i="13"/>
  <c r="D155" i="13"/>
  <c r="AM155" i="2"/>
  <c r="G155" i="13"/>
  <c r="AN155" i="2"/>
  <c r="H155" i="13"/>
  <c r="AO155" i="2"/>
  <c r="I155" i="13"/>
  <c r="J155" i="13"/>
  <c r="P155" i="13"/>
  <c r="Q155" i="13"/>
  <c r="R155" i="13"/>
  <c r="D166" i="13"/>
  <c r="U155" i="13"/>
  <c r="W155" i="13"/>
  <c r="C166" i="13"/>
  <c r="T155" i="13"/>
  <c r="X155" i="13"/>
  <c r="AM166" i="2"/>
  <c r="G166" i="13"/>
  <c r="Y155" i="13"/>
  <c r="AN166" i="2"/>
  <c r="H166" i="13"/>
  <c r="Z155" i="13"/>
  <c r="AO166" i="2"/>
  <c r="I166" i="13"/>
  <c r="AA155" i="13"/>
  <c r="J166" i="13"/>
  <c r="AB155" i="13"/>
  <c r="P156" i="13"/>
  <c r="Q156" i="13"/>
  <c r="R156" i="13"/>
  <c r="U156" i="13"/>
  <c r="W156" i="13"/>
  <c r="T156" i="13"/>
  <c r="X156" i="13"/>
  <c r="Y156" i="13"/>
  <c r="Z156" i="13"/>
  <c r="AA156" i="13"/>
  <c r="AB156" i="13"/>
  <c r="C157" i="13"/>
  <c r="D157" i="13"/>
  <c r="AM157" i="2"/>
  <c r="G157" i="13"/>
  <c r="AN157" i="2"/>
  <c r="H157" i="13"/>
  <c r="AO157" i="2"/>
  <c r="I157" i="13"/>
  <c r="J157" i="13"/>
  <c r="P157" i="13"/>
  <c r="Q157" i="13"/>
  <c r="R157" i="13"/>
  <c r="U157" i="13"/>
  <c r="W157" i="13"/>
  <c r="T157" i="13"/>
  <c r="X157" i="13"/>
  <c r="Y157" i="13"/>
  <c r="Z157" i="13"/>
  <c r="AA157" i="13"/>
  <c r="AB157" i="13"/>
  <c r="P158" i="13"/>
  <c r="Q158" i="13"/>
  <c r="R158" i="13"/>
  <c r="U158" i="13"/>
  <c r="W158" i="13"/>
  <c r="T158" i="13"/>
  <c r="X158" i="13"/>
  <c r="Y158" i="13"/>
  <c r="Z158" i="13"/>
  <c r="AA158" i="13"/>
  <c r="AB158" i="13"/>
  <c r="P159" i="13"/>
  <c r="Q159" i="13"/>
  <c r="R159" i="13"/>
  <c r="D221" i="13"/>
  <c r="U159" i="13"/>
  <c r="W159" i="13"/>
  <c r="C221" i="13"/>
  <c r="T159" i="13"/>
  <c r="X159" i="13"/>
  <c r="AM221" i="2"/>
  <c r="G221" i="13"/>
  <c r="Y159" i="13"/>
  <c r="AN221" i="2"/>
  <c r="H221" i="13"/>
  <c r="Z159" i="13"/>
  <c r="AO221" i="2"/>
  <c r="I221" i="13"/>
  <c r="AA159" i="13"/>
  <c r="J221" i="13"/>
  <c r="AB159" i="13"/>
  <c r="P160" i="13"/>
  <c r="Q160" i="13"/>
  <c r="R160" i="13"/>
  <c r="U160" i="13"/>
  <c r="W160" i="13"/>
  <c r="T160" i="13"/>
  <c r="X160" i="13"/>
  <c r="Y160" i="13"/>
  <c r="Z160" i="13"/>
  <c r="AA160" i="13"/>
  <c r="AB160" i="13"/>
  <c r="P161" i="13"/>
  <c r="Q161" i="13"/>
  <c r="R161" i="13"/>
  <c r="U161" i="13"/>
  <c r="W161" i="13"/>
  <c r="T161" i="13"/>
  <c r="X161" i="13"/>
  <c r="Y161" i="13"/>
  <c r="Z161" i="13"/>
  <c r="AA161" i="13"/>
  <c r="AB161" i="13"/>
  <c r="C162" i="13"/>
  <c r="D162" i="13"/>
  <c r="AM162" i="2"/>
  <c r="G162" i="13"/>
  <c r="AN162" i="2"/>
  <c r="H162" i="13"/>
  <c r="AO162" i="2"/>
  <c r="I162" i="13"/>
  <c r="J162" i="13"/>
  <c r="P162" i="13"/>
  <c r="Q162" i="13"/>
  <c r="R162" i="13"/>
  <c r="U162" i="13"/>
  <c r="W162" i="13"/>
  <c r="T162" i="13"/>
  <c r="X162" i="13"/>
  <c r="Y162" i="13"/>
  <c r="Z162" i="13"/>
  <c r="AA162" i="13"/>
  <c r="AB162" i="13"/>
  <c r="C163" i="13"/>
  <c r="D163" i="13"/>
  <c r="AM163" i="2"/>
  <c r="G163" i="13"/>
  <c r="AN163" i="2"/>
  <c r="H163" i="13"/>
  <c r="AO163" i="2"/>
  <c r="I163" i="13"/>
  <c r="J163" i="13"/>
  <c r="P163" i="13"/>
  <c r="Q163" i="13"/>
  <c r="R163" i="13"/>
  <c r="D231" i="13"/>
  <c r="U163" i="13"/>
  <c r="W163" i="13"/>
  <c r="C231" i="13"/>
  <c r="T163" i="13"/>
  <c r="X163" i="13"/>
  <c r="AM231" i="2"/>
  <c r="G231" i="13"/>
  <c r="Y163" i="13"/>
  <c r="AN231" i="2"/>
  <c r="H231" i="13"/>
  <c r="Z163" i="13"/>
  <c r="AO231" i="2"/>
  <c r="I231" i="13"/>
  <c r="AA163" i="13"/>
  <c r="J231" i="13"/>
  <c r="AB163" i="13"/>
  <c r="P164" i="13"/>
  <c r="Q164" i="13"/>
  <c r="R164" i="13"/>
  <c r="U164" i="13"/>
  <c r="W164" i="13"/>
  <c r="T164" i="13"/>
  <c r="X164" i="13"/>
  <c r="Y164" i="13"/>
  <c r="Z164" i="13"/>
  <c r="AA164" i="13"/>
  <c r="AB164" i="13"/>
  <c r="P165" i="13"/>
  <c r="Q165" i="13"/>
  <c r="R165" i="13"/>
  <c r="U165" i="13"/>
  <c r="W165" i="13"/>
  <c r="T165" i="13"/>
  <c r="X165" i="13"/>
  <c r="Y165" i="13"/>
  <c r="Z165" i="13"/>
  <c r="AA165" i="13"/>
  <c r="AB165" i="13"/>
  <c r="P166" i="13"/>
  <c r="Q166" i="13"/>
  <c r="R166" i="13"/>
  <c r="U166" i="13"/>
  <c r="W166" i="13"/>
  <c r="T166" i="13"/>
  <c r="X166" i="13"/>
  <c r="Y166" i="13"/>
  <c r="Z166" i="13"/>
  <c r="AA166" i="13"/>
  <c r="AB166" i="13"/>
  <c r="C167" i="13"/>
  <c r="D167" i="13"/>
  <c r="AM167" i="2"/>
  <c r="G167" i="13"/>
  <c r="AN167" i="2"/>
  <c r="H167" i="13"/>
  <c r="AO167" i="2"/>
  <c r="I167" i="13"/>
  <c r="J167" i="13"/>
  <c r="P167" i="13"/>
  <c r="Q167" i="13"/>
  <c r="R167" i="13"/>
  <c r="U167" i="13"/>
  <c r="W167" i="13"/>
  <c r="T167" i="13"/>
  <c r="X167" i="13"/>
  <c r="Y167" i="13"/>
  <c r="Z167" i="13"/>
  <c r="AA167" i="13"/>
  <c r="AB167" i="13"/>
  <c r="P168" i="13"/>
  <c r="Q168" i="13"/>
  <c r="R168" i="13"/>
  <c r="U168" i="13"/>
  <c r="W168" i="13"/>
  <c r="T168" i="13"/>
  <c r="X168" i="13"/>
  <c r="Y168" i="13"/>
  <c r="Z168" i="13"/>
  <c r="AA168" i="13"/>
  <c r="AB168" i="13"/>
  <c r="P169" i="13"/>
  <c r="Q169" i="13"/>
  <c r="R169" i="13"/>
  <c r="U169" i="13"/>
  <c r="W169" i="13"/>
  <c r="T169" i="13"/>
  <c r="X169" i="13"/>
  <c r="Y169" i="13"/>
  <c r="Z169" i="13"/>
  <c r="AA169" i="13"/>
  <c r="AB169" i="13"/>
  <c r="C170" i="13"/>
  <c r="D170" i="13"/>
  <c r="AM170" i="2"/>
  <c r="G170" i="13"/>
  <c r="AN170" i="2"/>
  <c r="H170" i="13"/>
  <c r="AO170" i="2"/>
  <c r="I170" i="13"/>
  <c r="J170" i="13"/>
  <c r="P170" i="13"/>
  <c r="Q170" i="13"/>
  <c r="R170" i="13"/>
  <c r="D244" i="13"/>
  <c r="U170" i="13"/>
  <c r="W170" i="13"/>
  <c r="C244" i="13"/>
  <c r="T170" i="13"/>
  <c r="X170" i="13"/>
  <c r="AM244" i="2"/>
  <c r="G244" i="13"/>
  <c r="Y170" i="13"/>
  <c r="AN244" i="2"/>
  <c r="H244" i="13"/>
  <c r="Z170" i="13"/>
  <c r="AO244" i="2"/>
  <c r="I244" i="13"/>
  <c r="AA170" i="13"/>
  <c r="J244" i="13"/>
  <c r="AB170" i="13"/>
  <c r="C171" i="13"/>
  <c r="D171" i="13"/>
  <c r="AM171" i="2"/>
  <c r="G171" i="13"/>
  <c r="AN171" i="2"/>
  <c r="H171" i="13"/>
  <c r="AO171" i="2"/>
  <c r="I171" i="13"/>
  <c r="J171" i="13"/>
  <c r="P171" i="13"/>
  <c r="Q171" i="13"/>
  <c r="R171" i="13"/>
  <c r="D187" i="13"/>
  <c r="U171" i="13"/>
  <c r="W171" i="13"/>
  <c r="C187" i="13"/>
  <c r="T171" i="13"/>
  <c r="X171" i="13"/>
  <c r="AM187" i="2"/>
  <c r="G187" i="13"/>
  <c r="Y171" i="13"/>
  <c r="AN187" i="2"/>
  <c r="H187" i="13"/>
  <c r="Z171" i="13"/>
  <c r="AO187" i="2"/>
  <c r="I187" i="13"/>
  <c r="AA171" i="13"/>
  <c r="J187" i="13"/>
  <c r="AB171" i="13"/>
  <c r="P172" i="13"/>
  <c r="Q172" i="13"/>
  <c r="R172" i="13"/>
  <c r="U172" i="13"/>
  <c r="W172" i="13"/>
  <c r="T172" i="13"/>
  <c r="X172" i="13"/>
  <c r="Y172" i="13"/>
  <c r="Z172" i="13"/>
  <c r="AA172" i="13"/>
  <c r="AB172" i="13"/>
  <c r="P173" i="13"/>
  <c r="Q173" i="13"/>
  <c r="R173" i="13"/>
  <c r="D241" i="13"/>
  <c r="U173" i="13"/>
  <c r="W173" i="13"/>
  <c r="C241" i="13"/>
  <c r="T173" i="13"/>
  <c r="X173" i="13"/>
  <c r="AM241" i="2"/>
  <c r="G241" i="13"/>
  <c r="Y173" i="13"/>
  <c r="AN241" i="2"/>
  <c r="H241" i="13"/>
  <c r="Z173" i="13"/>
  <c r="AO241" i="2"/>
  <c r="I241" i="13"/>
  <c r="AA173" i="13"/>
  <c r="J241" i="13"/>
  <c r="AB173" i="13"/>
  <c r="C174" i="13"/>
  <c r="D174" i="13"/>
  <c r="AM174" i="2"/>
  <c r="G174" i="13"/>
  <c r="AN174" i="2"/>
  <c r="H174" i="13"/>
  <c r="AO174" i="2"/>
  <c r="I174" i="13"/>
  <c r="J174" i="13"/>
  <c r="P174" i="13"/>
  <c r="Q174" i="13"/>
  <c r="R174" i="13"/>
  <c r="U174" i="13"/>
  <c r="W174" i="13"/>
  <c r="T174" i="13"/>
  <c r="X174" i="13"/>
  <c r="Y174" i="13"/>
  <c r="Z174" i="13"/>
  <c r="AA174" i="13"/>
  <c r="AB174" i="13"/>
  <c r="P175" i="13"/>
  <c r="Q175" i="13"/>
  <c r="R175" i="13"/>
  <c r="U175" i="13"/>
  <c r="W175" i="13"/>
  <c r="T175" i="13"/>
  <c r="X175" i="13"/>
  <c r="Y175" i="13"/>
  <c r="Z175" i="13"/>
  <c r="AA175" i="13"/>
  <c r="AB175" i="13"/>
  <c r="P176" i="13"/>
  <c r="Q176" i="13"/>
  <c r="R176" i="13"/>
  <c r="U176" i="13"/>
  <c r="W176" i="13"/>
  <c r="T176" i="13"/>
  <c r="X176" i="13"/>
  <c r="Y176" i="13"/>
  <c r="Z176" i="13"/>
  <c r="AA176" i="13"/>
  <c r="AB176" i="13"/>
  <c r="P177" i="13"/>
  <c r="Q177" i="13"/>
  <c r="R177" i="13"/>
  <c r="U177" i="13"/>
  <c r="W177" i="13"/>
  <c r="T177" i="13"/>
  <c r="X177" i="13"/>
  <c r="Y177" i="13"/>
  <c r="Z177" i="13"/>
  <c r="AA177" i="13"/>
  <c r="AB177" i="13"/>
  <c r="P178" i="13"/>
  <c r="Q178" i="13"/>
  <c r="R178" i="13"/>
  <c r="U178" i="13"/>
  <c r="W178" i="13"/>
  <c r="T178" i="13"/>
  <c r="X178" i="13"/>
  <c r="Y178" i="13"/>
  <c r="Z178" i="13"/>
  <c r="AA178" i="13"/>
  <c r="AB178" i="13"/>
  <c r="C179" i="13"/>
  <c r="D179" i="13"/>
  <c r="AM179" i="2"/>
  <c r="G179" i="13"/>
  <c r="AN179" i="2"/>
  <c r="H179" i="13"/>
  <c r="AO179" i="2"/>
  <c r="I179" i="13"/>
  <c r="J179" i="13"/>
  <c r="P179" i="13"/>
  <c r="Q179" i="13"/>
  <c r="R179" i="13"/>
  <c r="U179" i="13"/>
  <c r="W179" i="13"/>
  <c r="T179" i="13"/>
  <c r="X179" i="13"/>
  <c r="Y179" i="13"/>
  <c r="Z179" i="13"/>
  <c r="AA179" i="13"/>
  <c r="AB179" i="13"/>
  <c r="C180" i="13"/>
  <c r="D180" i="13"/>
  <c r="AM180" i="2"/>
  <c r="G180" i="13"/>
  <c r="AN180" i="2"/>
  <c r="H180" i="13"/>
  <c r="AO180" i="2"/>
  <c r="I180" i="13"/>
  <c r="J180" i="13"/>
  <c r="P180" i="13"/>
  <c r="Q180" i="13"/>
  <c r="R180" i="13"/>
  <c r="U180" i="13"/>
  <c r="W180" i="13"/>
  <c r="T180" i="13"/>
  <c r="X180" i="13"/>
  <c r="Y180" i="13"/>
  <c r="Z180" i="13"/>
  <c r="AA180" i="13"/>
  <c r="AB180" i="13"/>
  <c r="P181" i="13"/>
  <c r="Q181" i="13"/>
  <c r="R181" i="13"/>
  <c r="U181" i="13"/>
  <c r="W181" i="13"/>
  <c r="T181" i="13"/>
  <c r="X181" i="13"/>
  <c r="Y181" i="13"/>
  <c r="Z181" i="13"/>
  <c r="AA181" i="13"/>
  <c r="AB181" i="13"/>
  <c r="C182" i="13"/>
  <c r="D182" i="13"/>
  <c r="AM182" i="2"/>
  <c r="G182" i="13"/>
  <c r="AN182" i="2"/>
  <c r="H182" i="13"/>
  <c r="AO182" i="2"/>
  <c r="I182" i="13"/>
  <c r="J182" i="13"/>
  <c r="P182" i="13"/>
  <c r="Q182" i="13"/>
  <c r="R182" i="13"/>
  <c r="U182" i="13"/>
  <c r="W182" i="13"/>
  <c r="T182" i="13"/>
  <c r="X182" i="13"/>
  <c r="Y182" i="13"/>
  <c r="Z182" i="13"/>
  <c r="AA182" i="13"/>
  <c r="AB182" i="13"/>
  <c r="C183" i="13"/>
  <c r="D183" i="13"/>
  <c r="AM183" i="2"/>
  <c r="G183" i="13"/>
  <c r="AN183" i="2"/>
  <c r="H183" i="13"/>
  <c r="AO183" i="2"/>
  <c r="I183" i="13"/>
  <c r="J183" i="13"/>
  <c r="P183" i="13"/>
  <c r="Q183" i="13"/>
  <c r="R183" i="13"/>
  <c r="U183" i="13"/>
  <c r="W183" i="13"/>
  <c r="T183" i="13"/>
  <c r="X183" i="13"/>
  <c r="Y183" i="13"/>
  <c r="Z183" i="13"/>
  <c r="AA183" i="13"/>
  <c r="AB183" i="13"/>
  <c r="C184" i="13"/>
  <c r="D184" i="13"/>
  <c r="AM184" i="2"/>
  <c r="G184" i="13"/>
  <c r="AN184" i="2"/>
  <c r="H184" i="13"/>
  <c r="AO184" i="2"/>
  <c r="I184" i="13"/>
  <c r="J184" i="13"/>
  <c r="P184" i="13"/>
  <c r="Q184" i="13"/>
  <c r="R184" i="13"/>
  <c r="U184" i="13"/>
  <c r="W184" i="13"/>
  <c r="T184" i="13"/>
  <c r="X184" i="13"/>
  <c r="Y184" i="13"/>
  <c r="Z184" i="13"/>
  <c r="AA184" i="13"/>
  <c r="AB184" i="13"/>
  <c r="P185" i="13"/>
  <c r="Q185" i="13"/>
  <c r="R185" i="13"/>
  <c r="U185" i="13"/>
  <c r="W185" i="13"/>
  <c r="T185" i="13"/>
  <c r="X185" i="13"/>
  <c r="Y185" i="13"/>
  <c r="Z185" i="13"/>
  <c r="AA185" i="13"/>
  <c r="AB185" i="13"/>
  <c r="C186" i="13"/>
  <c r="D186" i="13"/>
  <c r="AM186" i="2"/>
  <c r="G186" i="13"/>
  <c r="AN186" i="2"/>
  <c r="H186" i="13"/>
  <c r="AO186" i="2"/>
  <c r="I186" i="13"/>
  <c r="J186" i="13"/>
  <c r="P186" i="13"/>
  <c r="Q186" i="13"/>
  <c r="R186" i="13"/>
  <c r="D226" i="13"/>
  <c r="U186" i="13"/>
  <c r="W186" i="13"/>
  <c r="C226" i="13"/>
  <c r="T186" i="13"/>
  <c r="X186" i="13"/>
  <c r="AM226" i="2"/>
  <c r="G226" i="13"/>
  <c r="Y186" i="13"/>
  <c r="AN226" i="2"/>
  <c r="H226" i="13"/>
  <c r="Z186" i="13"/>
  <c r="AO226" i="2"/>
  <c r="I226" i="13"/>
  <c r="AA186" i="13"/>
  <c r="J226" i="13"/>
  <c r="AB186" i="13"/>
  <c r="P187" i="13"/>
  <c r="Q187" i="13"/>
  <c r="R187" i="13"/>
  <c r="U187" i="13"/>
  <c r="W187" i="13"/>
  <c r="T187" i="13"/>
  <c r="X187" i="13"/>
  <c r="Y187" i="13"/>
  <c r="Z187" i="13"/>
  <c r="AA187" i="13"/>
  <c r="AB187" i="13"/>
  <c r="C188" i="13"/>
  <c r="D188" i="13"/>
  <c r="AM188" i="2"/>
  <c r="G188" i="13"/>
  <c r="AN188" i="2"/>
  <c r="H188" i="13"/>
  <c r="AO188" i="2"/>
  <c r="I188" i="13"/>
  <c r="J188" i="13"/>
  <c r="P188" i="13"/>
  <c r="Q188" i="13"/>
  <c r="R188" i="13"/>
  <c r="D223" i="13"/>
  <c r="U188" i="13"/>
  <c r="W188" i="13"/>
  <c r="C223" i="13"/>
  <c r="T188" i="13"/>
  <c r="X188" i="13"/>
  <c r="AM223" i="2"/>
  <c r="G223" i="13"/>
  <c r="Y188" i="13"/>
  <c r="AN223" i="2"/>
  <c r="H223" i="13"/>
  <c r="Z188" i="13"/>
  <c r="AO223" i="2"/>
  <c r="I223" i="13"/>
  <c r="AA188" i="13"/>
  <c r="J223" i="13"/>
  <c r="AB188" i="13"/>
  <c r="P189" i="13"/>
  <c r="Q189" i="13"/>
  <c r="R189" i="13"/>
  <c r="D225" i="13"/>
  <c r="U189" i="13"/>
  <c r="W189" i="13"/>
  <c r="C225" i="13"/>
  <c r="T189" i="13"/>
  <c r="X189" i="13"/>
  <c r="AM225" i="2"/>
  <c r="G225" i="13"/>
  <c r="Y189" i="13"/>
  <c r="AN225" i="2"/>
  <c r="H225" i="13"/>
  <c r="Z189" i="13"/>
  <c r="AO225" i="2"/>
  <c r="I225" i="13"/>
  <c r="AA189" i="13"/>
  <c r="J225" i="13"/>
  <c r="AB189" i="13"/>
  <c r="P190" i="13"/>
  <c r="Q190" i="13"/>
  <c r="R190" i="13"/>
  <c r="U190" i="13"/>
  <c r="W190" i="13"/>
  <c r="T190" i="13"/>
  <c r="X190" i="13"/>
  <c r="Y190" i="13"/>
  <c r="Z190" i="13"/>
  <c r="AA190" i="13"/>
  <c r="AB190" i="13"/>
  <c r="C191" i="13"/>
  <c r="D191" i="13"/>
  <c r="AM191" i="2"/>
  <c r="G191" i="13"/>
  <c r="AN191" i="2"/>
  <c r="H191" i="13"/>
  <c r="AO191" i="2"/>
  <c r="I191" i="13"/>
  <c r="J191" i="13"/>
  <c r="P191" i="13"/>
  <c r="Q191" i="13"/>
  <c r="R191" i="13"/>
  <c r="U191" i="13"/>
  <c r="W191" i="13"/>
  <c r="T191" i="13"/>
  <c r="X191" i="13"/>
  <c r="Y191" i="13"/>
  <c r="Z191" i="13"/>
  <c r="AA191" i="13"/>
  <c r="AB191" i="13"/>
  <c r="C192" i="13"/>
  <c r="D192" i="13"/>
  <c r="AM192" i="2"/>
  <c r="G192" i="13"/>
  <c r="AN192" i="2"/>
  <c r="H192" i="13"/>
  <c r="AO192" i="2"/>
  <c r="I192" i="13"/>
  <c r="J192" i="13"/>
  <c r="P192" i="13"/>
  <c r="Q192" i="13"/>
  <c r="R192" i="13"/>
  <c r="U192" i="13"/>
  <c r="W192" i="13"/>
  <c r="T192" i="13"/>
  <c r="X192" i="13"/>
  <c r="Y192" i="13"/>
  <c r="Z192" i="13"/>
  <c r="AA192" i="13"/>
  <c r="AB192" i="13"/>
  <c r="C193" i="13"/>
  <c r="D193" i="13"/>
  <c r="AM193" i="2"/>
  <c r="G193" i="13"/>
  <c r="AN193" i="2"/>
  <c r="H193" i="13"/>
  <c r="AO193" i="2"/>
  <c r="I193" i="13"/>
  <c r="J193" i="13"/>
  <c r="P193" i="13"/>
  <c r="Q193" i="13"/>
  <c r="R193" i="13"/>
  <c r="D209" i="13"/>
  <c r="U193" i="13"/>
  <c r="W193" i="13"/>
  <c r="C209" i="13"/>
  <c r="T193" i="13"/>
  <c r="X193" i="13"/>
  <c r="AM209" i="2"/>
  <c r="G209" i="13"/>
  <c r="Y193" i="13"/>
  <c r="AN209" i="2"/>
  <c r="H209" i="13"/>
  <c r="Z193" i="13"/>
  <c r="AO209" i="2"/>
  <c r="I209" i="13"/>
  <c r="AA193" i="13"/>
  <c r="J209" i="13"/>
  <c r="AB193" i="13"/>
  <c r="P194" i="13"/>
  <c r="Q194" i="13"/>
  <c r="R194" i="13"/>
  <c r="U194" i="13"/>
  <c r="W194" i="13"/>
  <c r="T194" i="13"/>
  <c r="X194" i="13"/>
  <c r="Y194" i="13"/>
  <c r="Z194" i="13"/>
  <c r="AA194" i="13"/>
  <c r="AB194" i="13"/>
  <c r="P195" i="13"/>
  <c r="Q195" i="13"/>
  <c r="R195" i="13"/>
  <c r="U195" i="13"/>
  <c r="W195" i="13"/>
  <c r="T195" i="13"/>
  <c r="X195" i="13"/>
  <c r="Y195" i="13"/>
  <c r="Z195" i="13"/>
  <c r="AA195" i="13"/>
  <c r="AB195" i="13"/>
  <c r="P196" i="13"/>
  <c r="Q196" i="13"/>
  <c r="R196" i="13"/>
  <c r="U196" i="13"/>
  <c r="W196" i="13"/>
  <c r="T196" i="13"/>
  <c r="X196" i="13"/>
  <c r="Y196" i="13"/>
  <c r="Z196" i="13"/>
  <c r="AA196" i="13"/>
  <c r="AB196" i="13"/>
  <c r="C197" i="13"/>
  <c r="D197" i="13"/>
  <c r="AM197" i="2"/>
  <c r="G197" i="13"/>
  <c r="AN197" i="2"/>
  <c r="H197" i="13"/>
  <c r="AO197" i="2"/>
  <c r="I197" i="13"/>
  <c r="J197" i="13"/>
  <c r="P197" i="13"/>
  <c r="Q197" i="13"/>
  <c r="R197" i="13"/>
  <c r="U197" i="13"/>
  <c r="W197" i="13"/>
  <c r="T197" i="13"/>
  <c r="X197" i="13"/>
  <c r="Y197" i="13"/>
  <c r="Z197" i="13"/>
  <c r="AA197" i="13"/>
  <c r="AB197" i="13"/>
  <c r="P198" i="13"/>
  <c r="Q198" i="13"/>
  <c r="R198" i="13"/>
  <c r="U198" i="13"/>
  <c r="W198" i="13"/>
  <c r="T198" i="13"/>
  <c r="X198" i="13"/>
  <c r="Y198" i="13"/>
  <c r="Z198" i="13"/>
  <c r="AA198" i="13"/>
  <c r="AB198" i="13"/>
  <c r="P199" i="13"/>
  <c r="Q199" i="13"/>
  <c r="R199" i="13"/>
  <c r="U199" i="13"/>
  <c r="W199" i="13"/>
  <c r="T199" i="13"/>
  <c r="X199" i="13"/>
  <c r="Y199" i="13"/>
  <c r="Z199" i="13"/>
  <c r="AA199" i="13"/>
  <c r="AB199" i="13"/>
  <c r="C200" i="13"/>
  <c r="D200" i="13"/>
  <c r="AM200" i="2"/>
  <c r="G200" i="13"/>
  <c r="AN200" i="2"/>
  <c r="H200" i="13"/>
  <c r="AO200" i="2"/>
  <c r="I200" i="13"/>
  <c r="J200" i="13"/>
  <c r="P200" i="13"/>
  <c r="Q200" i="13"/>
  <c r="R200" i="13"/>
  <c r="U200" i="13"/>
  <c r="W200" i="13"/>
  <c r="T200" i="13"/>
  <c r="X200" i="13"/>
  <c r="Y200" i="13"/>
  <c r="Z200" i="13"/>
  <c r="AA200" i="13"/>
  <c r="AB200" i="13"/>
  <c r="C201" i="13"/>
  <c r="D201" i="13"/>
  <c r="AM201" i="2"/>
  <c r="G201" i="13"/>
  <c r="AN201" i="2"/>
  <c r="H201" i="13"/>
  <c r="AO201" i="2"/>
  <c r="I201" i="13"/>
  <c r="J201" i="13"/>
  <c r="P201" i="13"/>
  <c r="Q201" i="13"/>
  <c r="R201" i="13"/>
  <c r="U201" i="13"/>
  <c r="W201" i="13"/>
  <c r="T201" i="13"/>
  <c r="X201" i="13"/>
  <c r="Y201" i="13"/>
  <c r="Z201" i="13"/>
  <c r="AA201" i="13"/>
  <c r="AB201" i="13"/>
  <c r="P202" i="13"/>
  <c r="Q202" i="13"/>
  <c r="R202" i="13"/>
  <c r="U202" i="13"/>
  <c r="W202" i="13"/>
  <c r="T202" i="13"/>
  <c r="X202" i="13"/>
  <c r="Y202" i="13"/>
  <c r="Z202" i="13"/>
  <c r="AA202" i="13"/>
  <c r="AB202" i="13"/>
  <c r="P203" i="13"/>
  <c r="Q203" i="13"/>
  <c r="R203" i="13"/>
  <c r="U203" i="13"/>
  <c r="W203" i="13"/>
  <c r="T203" i="13"/>
  <c r="X203" i="13"/>
  <c r="Y203" i="13"/>
  <c r="Z203" i="13"/>
  <c r="AA203" i="13"/>
  <c r="AB203" i="13"/>
  <c r="P204" i="13"/>
  <c r="Q204" i="13"/>
  <c r="R204" i="13"/>
  <c r="U204" i="13"/>
  <c r="W204" i="13"/>
  <c r="T204" i="13"/>
  <c r="X204" i="13"/>
  <c r="Y204" i="13"/>
  <c r="Z204" i="13"/>
  <c r="AA204" i="13"/>
  <c r="AB204" i="13"/>
  <c r="C205" i="13"/>
  <c r="D205" i="13"/>
  <c r="AM205" i="2"/>
  <c r="G205" i="13"/>
  <c r="AN205" i="2"/>
  <c r="H205" i="13"/>
  <c r="AO205" i="2"/>
  <c r="I205" i="13"/>
  <c r="J205" i="13"/>
  <c r="P205" i="13"/>
  <c r="Q205" i="13"/>
  <c r="R205" i="13"/>
  <c r="D214" i="13"/>
  <c r="U205" i="13"/>
  <c r="W205" i="13"/>
  <c r="C214" i="13"/>
  <c r="T205" i="13"/>
  <c r="X205" i="13"/>
  <c r="AM214" i="2"/>
  <c r="G214" i="13"/>
  <c r="Y205" i="13"/>
  <c r="AN214" i="2"/>
  <c r="H214" i="13"/>
  <c r="Z205" i="13"/>
  <c r="AO214" i="2"/>
  <c r="I214" i="13"/>
  <c r="AA205" i="13"/>
  <c r="J214" i="13"/>
  <c r="AB205" i="13"/>
  <c r="P206" i="13"/>
  <c r="Q206" i="13"/>
  <c r="R206" i="13"/>
  <c r="U206" i="13"/>
  <c r="W206" i="13"/>
  <c r="T206" i="13"/>
  <c r="X206" i="13"/>
  <c r="Y206" i="13"/>
  <c r="Z206" i="13"/>
  <c r="AA206" i="13"/>
  <c r="AB206" i="13"/>
  <c r="P207" i="13"/>
  <c r="Q207" i="13"/>
  <c r="R207" i="13"/>
  <c r="U207" i="13"/>
  <c r="W207" i="13"/>
  <c r="T207" i="13"/>
  <c r="X207" i="13"/>
  <c r="Y207" i="13"/>
  <c r="Z207" i="13"/>
  <c r="AA207" i="13"/>
  <c r="AB207" i="13"/>
  <c r="P208" i="13"/>
  <c r="Q208" i="13"/>
  <c r="R208" i="13"/>
  <c r="U208" i="13"/>
  <c r="W208" i="13"/>
  <c r="T208" i="13"/>
  <c r="X208" i="13"/>
  <c r="Y208" i="13"/>
  <c r="Z208" i="13"/>
  <c r="AA208" i="13"/>
  <c r="AB208" i="13"/>
  <c r="P209" i="13"/>
  <c r="Q209" i="13"/>
  <c r="R209" i="13"/>
  <c r="U209" i="13"/>
  <c r="W209" i="13"/>
  <c r="T209" i="13"/>
  <c r="X209" i="13"/>
  <c r="Y209" i="13"/>
  <c r="Z209" i="13"/>
  <c r="AA209" i="13"/>
  <c r="AB209" i="13"/>
  <c r="P210" i="13"/>
  <c r="Q210" i="13"/>
  <c r="R210" i="13"/>
  <c r="D246" i="13"/>
  <c r="U210" i="13"/>
  <c r="W210" i="13"/>
  <c r="C246" i="13"/>
  <c r="T210" i="13"/>
  <c r="X210" i="13"/>
  <c r="AM246" i="2"/>
  <c r="G246" i="13"/>
  <c r="Y210" i="13"/>
  <c r="AN246" i="2"/>
  <c r="H246" i="13"/>
  <c r="Z210" i="13"/>
  <c r="AO246" i="2"/>
  <c r="I246" i="13"/>
  <c r="AA210" i="13"/>
  <c r="J246" i="13"/>
  <c r="AB210" i="13"/>
  <c r="P211" i="13"/>
  <c r="Q211" i="13"/>
  <c r="R211" i="13"/>
  <c r="U211" i="13"/>
  <c r="W211" i="13"/>
  <c r="T211" i="13"/>
  <c r="X211" i="13"/>
  <c r="Y211" i="13"/>
  <c r="Z211" i="13"/>
  <c r="AA211" i="13"/>
  <c r="AB211" i="13"/>
  <c r="P212" i="13"/>
  <c r="Q212" i="13"/>
  <c r="R212" i="13"/>
  <c r="U212" i="13"/>
  <c r="W212" i="13"/>
  <c r="T212" i="13"/>
  <c r="X212" i="13"/>
  <c r="Y212" i="13"/>
  <c r="Z212" i="13"/>
  <c r="AA212" i="13"/>
  <c r="AB212" i="13"/>
  <c r="C213" i="13"/>
  <c r="D213" i="13"/>
  <c r="AM213" i="2"/>
  <c r="G213" i="13"/>
  <c r="AN213" i="2"/>
  <c r="H213" i="13"/>
  <c r="AO213" i="2"/>
  <c r="I213" i="13"/>
  <c r="J213" i="13"/>
  <c r="P213" i="13"/>
  <c r="Q213" i="13"/>
  <c r="R213" i="13"/>
  <c r="U213" i="13"/>
  <c r="W213" i="13"/>
  <c r="T213" i="13"/>
  <c r="X213" i="13"/>
  <c r="Y213" i="13"/>
  <c r="Z213" i="13"/>
  <c r="AA213" i="13"/>
  <c r="AB213" i="13"/>
  <c r="P214" i="13"/>
  <c r="Q214" i="13"/>
  <c r="R214" i="13"/>
  <c r="U214" i="13"/>
  <c r="W214" i="13"/>
  <c r="T214" i="13"/>
  <c r="X214" i="13"/>
  <c r="Y214" i="13"/>
  <c r="Z214" i="13"/>
  <c r="AA214" i="13"/>
  <c r="AB214" i="13"/>
  <c r="P215" i="13"/>
  <c r="Q215" i="13"/>
  <c r="R215" i="13"/>
  <c r="D222" i="13"/>
  <c r="U215" i="13"/>
  <c r="W215" i="13"/>
  <c r="C222" i="13"/>
  <c r="T215" i="13"/>
  <c r="X215" i="13"/>
  <c r="AM222" i="2"/>
  <c r="G222" i="13"/>
  <c r="Y215" i="13"/>
  <c r="AN222" i="2"/>
  <c r="H222" i="13"/>
  <c r="Z215" i="13"/>
  <c r="AO222" i="2"/>
  <c r="I222" i="13"/>
  <c r="AA215" i="13"/>
  <c r="J222" i="13"/>
  <c r="AB215" i="13"/>
  <c r="P216" i="13"/>
  <c r="Q216" i="13"/>
  <c r="R216" i="13"/>
  <c r="U216" i="13"/>
  <c r="W216" i="13"/>
  <c r="T216" i="13"/>
  <c r="X216" i="13"/>
  <c r="Y216" i="13"/>
  <c r="Z216" i="13"/>
  <c r="AA216" i="13"/>
  <c r="AB216" i="13"/>
  <c r="P217" i="13"/>
  <c r="Q217" i="13"/>
  <c r="R217" i="13"/>
  <c r="U217" i="13"/>
  <c r="W217" i="13"/>
  <c r="T217" i="13"/>
  <c r="X217" i="13"/>
  <c r="Y217" i="13"/>
  <c r="Z217" i="13"/>
  <c r="AA217" i="13"/>
  <c r="AB217" i="13"/>
  <c r="P218" i="13"/>
  <c r="Q218" i="13"/>
  <c r="R218" i="13"/>
  <c r="U218" i="13"/>
  <c r="W218" i="13"/>
  <c r="T218" i="13"/>
  <c r="X218" i="13"/>
  <c r="Y218" i="13"/>
  <c r="Z218" i="13"/>
  <c r="AA218" i="13"/>
  <c r="AB218" i="13"/>
  <c r="P219" i="13"/>
  <c r="Q219" i="13"/>
  <c r="R219" i="13"/>
  <c r="U219" i="13"/>
  <c r="W219" i="13"/>
  <c r="T219" i="13"/>
  <c r="X219" i="13"/>
  <c r="Y219" i="13"/>
  <c r="Z219" i="13"/>
  <c r="AA219" i="13"/>
  <c r="AB219" i="13"/>
  <c r="C220" i="13"/>
  <c r="D220" i="13"/>
  <c r="AM220" i="2"/>
  <c r="G220" i="13"/>
  <c r="AN220" i="2"/>
  <c r="H220" i="13"/>
  <c r="AO220" i="2"/>
  <c r="I220" i="13"/>
  <c r="J220" i="13"/>
  <c r="P220" i="13"/>
  <c r="Q220" i="13"/>
  <c r="R220" i="13"/>
  <c r="U220" i="13"/>
  <c r="W220" i="13"/>
  <c r="T220" i="13"/>
  <c r="X220" i="13"/>
  <c r="Y220" i="13"/>
  <c r="Z220" i="13"/>
  <c r="AA220" i="13"/>
  <c r="AB220" i="13"/>
  <c r="P221" i="13"/>
  <c r="Q221" i="13"/>
  <c r="R221" i="13"/>
  <c r="U221" i="13"/>
  <c r="W221" i="13"/>
  <c r="T221" i="13"/>
  <c r="X221" i="13"/>
  <c r="Y221" i="13"/>
  <c r="Z221" i="13"/>
  <c r="AA221" i="13"/>
  <c r="AB221" i="13"/>
  <c r="P222" i="13"/>
  <c r="Q222" i="13"/>
  <c r="R222" i="13"/>
  <c r="D237" i="13"/>
  <c r="U222" i="13"/>
  <c r="W222" i="13"/>
  <c r="C237" i="13"/>
  <c r="T222" i="13"/>
  <c r="X222" i="13"/>
  <c r="AM237" i="2"/>
  <c r="G237" i="13"/>
  <c r="Y222" i="13"/>
  <c r="AN237" i="2"/>
  <c r="H237" i="13"/>
  <c r="Z222" i="13"/>
  <c r="AO237" i="2"/>
  <c r="I237" i="13"/>
  <c r="AA222" i="13"/>
  <c r="J237" i="13"/>
  <c r="AB222" i="13"/>
  <c r="P223" i="13"/>
  <c r="Q223" i="13"/>
  <c r="R223" i="13"/>
  <c r="U223" i="13"/>
  <c r="W223" i="13"/>
  <c r="T223" i="13"/>
  <c r="X223" i="13"/>
  <c r="Y223" i="13"/>
  <c r="Z223" i="13"/>
  <c r="AA223" i="13"/>
  <c r="AB223" i="13"/>
  <c r="P224" i="13"/>
  <c r="Q224" i="13"/>
  <c r="R224" i="13"/>
  <c r="D229" i="13"/>
  <c r="U224" i="13"/>
  <c r="W224" i="13"/>
  <c r="C229" i="13"/>
  <c r="T224" i="13"/>
  <c r="X224" i="13"/>
  <c r="AM229" i="2"/>
  <c r="G229" i="13"/>
  <c r="Y224" i="13"/>
  <c r="AN229" i="2"/>
  <c r="H229" i="13"/>
  <c r="Z224" i="13"/>
  <c r="AO229" i="2"/>
  <c r="I229" i="13"/>
  <c r="AA224" i="13"/>
  <c r="J229" i="13"/>
  <c r="AB224" i="13"/>
  <c r="P225" i="13"/>
  <c r="Q225" i="13"/>
  <c r="R225" i="13"/>
  <c r="U225" i="13"/>
  <c r="W225" i="13"/>
  <c r="T225" i="13"/>
  <c r="X225" i="13"/>
  <c r="Y225" i="13"/>
  <c r="Z225" i="13"/>
  <c r="AA225" i="13"/>
  <c r="AB225" i="13"/>
  <c r="P226" i="13"/>
  <c r="Q226" i="13"/>
  <c r="R226" i="13"/>
  <c r="D239" i="13"/>
  <c r="U226" i="13"/>
  <c r="W226" i="13"/>
  <c r="C239" i="13"/>
  <c r="T226" i="13"/>
  <c r="X226" i="13"/>
  <c r="AM239" i="2"/>
  <c r="G239" i="13"/>
  <c r="Y226" i="13"/>
  <c r="AN239" i="2"/>
  <c r="H239" i="13"/>
  <c r="Z226" i="13"/>
  <c r="AO239" i="2"/>
  <c r="I239" i="13"/>
  <c r="AA226" i="13"/>
  <c r="J239" i="13"/>
  <c r="AB226" i="13"/>
  <c r="P227" i="13"/>
  <c r="Q227" i="13"/>
  <c r="R227" i="13"/>
  <c r="U227" i="13"/>
  <c r="W227" i="13"/>
  <c r="T227" i="13"/>
  <c r="X227" i="13"/>
  <c r="Y227" i="13"/>
  <c r="Z227" i="13"/>
  <c r="AA227" i="13"/>
  <c r="AB227" i="13"/>
  <c r="P228" i="13"/>
  <c r="Q228" i="13"/>
  <c r="R228" i="13"/>
  <c r="D235" i="13"/>
  <c r="U228" i="13"/>
  <c r="W228" i="13"/>
  <c r="C235" i="13"/>
  <c r="T228" i="13"/>
  <c r="X228" i="13"/>
  <c r="AM235" i="2"/>
  <c r="G235" i="13"/>
  <c r="Y228" i="13"/>
  <c r="AN235" i="2"/>
  <c r="H235" i="13"/>
  <c r="Z228" i="13"/>
  <c r="AO235" i="2"/>
  <c r="I235" i="13"/>
  <c r="AA228" i="13"/>
  <c r="J235" i="13"/>
  <c r="AB228" i="13"/>
  <c r="P229" i="13"/>
  <c r="Q229" i="13"/>
  <c r="R229" i="13"/>
  <c r="D238" i="13"/>
  <c r="U229" i="13"/>
  <c r="W229" i="13"/>
  <c r="C238" i="13"/>
  <c r="T229" i="13"/>
  <c r="X229" i="13"/>
  <c r="AM238" i="2"/>
  <c r="G238" i="13"/>
  <c r="Y229" i="13"/>
  <c r="AN238" i="2"/>
  <c r="H238" i="13"/>
  <c r="Z229" i="13"/>
  <c r="AO238" i="2"/>
  <c r="I238" i="13"/>
  <c r="AA229" i="13"/>
  <c r="J238" i="13"/>
  <c r="AB229" i="13"/>
  <c r="C230" i="13"/>
  <c r="D230" i="13"/>
  <c r="AM230" i="2"/>
  <c r="G230" i="13"/>
  <c r="AN230" i="2"/>
  <c r="H230" i="13"/>
  <c r="AO230" i="2"/>
  <c r="I230" i="13"/>
  <c r="J230" i="13"/>
  <c r="P230" i="13"/>
  <c r="Q230" i="13"/>
  <c r="R230" i="13"/>
  <c r="D236" i="13"/>
  <c r="U230" i="13"/>
  <c r="W230" i="13"/>
  <c r="C236" i="13"/>
  <c r="T230" i="13"/>
  <c r="X230" i="13"/>
  <c r="AM236" i="2"/>
  <c r="G236" i="13"/>
  <c r="Y230" i="13"/>
  <c r="AN236" i="2"/>
  <c r="H236" i="13"/>
  <c r="Z230" i="13"/>
  <c r="AO236" i="2"/>
  <c r="I236" i="13"/>
  <c r="AA230" i="13"/>
  <c r="J236" i="13"/>
  <c r="AB230" i="13"/>
  <c r="P231" i="13"/>
  <c r="Q231" i="13"/>
  <c r="R231" i="13"/>
  <c r="U231" i="13"/>
  <c r="W231" i="13"/>
  <c r="T231" i="13"/>
  <c r="X231" i="13"/>
  <c r="Y231" i="13"/>
  <c r="Z231" i="13"/>
  <c r="AA231" i="13"/>
  <c r="AB231" i="13"/>
  <c r="C232" i="13"/>
  <c r="D232" i="13"/>
  <c r="AM232" i="2"/>
  <c r="G232" i="13"/>
  <c r="AN232" i="2"/>
  <c r="H232" i="13"/>
  <c r="AO232" i="2"/>
  <c r="I232" i="13"/>
  <c r="J232" i="13"/>
  <c r="P232" i="13"/>
  <c r="Q232" i="13"/>
  <c r="R232" i="13"/>
  <c r="U232" i="13"/>
  <c r="W232" i="13"/>
  <c r="T232" i="13"/>
  <c r="X232" i="13"/>
  <c r="Y232" i="13"/>
  <c r="Z232" i="13"/>
  <c r="AA232" i="13"/>
  <c r="AB232" i="13"/>
  <c r="C233" i="13"/>
  <c r="D233" i="13"/>
  <c r="AM233" i="2"/>
  <c r="G233" i="13"/>
  <c r="AN233" i="2"/>
  <c r="H233" i="13"/>
  <c r="AO233" i="2"/>
  <c r="I233" i="13"/>
  <c r="J233" i="13"/>
  <c r="P233" i="13"/>
  <c r="Q233" i="13"/>
  <c r="R233" i="13"/>
  <c r="U233" i="13"/>
  <c r="W233" i="13"/>
  <c r="T233" i="13"/>
  <c r="X233" i="13"/>
  <c r="Y233" i="13"/>
  <c r="Z233" i="13"/>
  <c r="AA233" i="13"/>
  <c r="AB233" i="13"/>
  <c r="C234" i="13"/>
  <c r="D234" i="13"/>
  <c r="AM234" i="2"/>
  <c r="G234" i="13"/>
  <c r="AN234" i="2"/>
  <c r="H234" i="13"/>
  <c r="AO234" i="2"/>
  <c r="I234" i="13"/>
  <c r="J234" i="13"/>
  <c r="P234" i="13"/>
  <c r="Q234" i="13"/>
  <c r="R234" i="13"/>
  <c r="U234" i="13"/>
  <c r="W234" i="13"/>
  <c r="T234" i="13"/>
  <c r="X234" i="13"/>
  <c r="Y234" i="13"/>
  <c r="Z234" i="13"/>
  <c r="AA234" i="13"/>
  <c r="AB234" i="13"/>
  <c r="P235" i="13"/>
  <c r="Q235" i="13"/>
  <c r="R235" i="13"/>
  <c r="U235" i="13"/>
  <c r="W235" i="13"/>
  <c r="T235" i="13"/>
  <c r="X235" i="13"/>
  <c r="Y235" i="13"/>
  <c r="Z235" i="13"/>
  <c r="AA235" i="13"/>
  <c r="AB235" i="13"/>
  <c r="P236" i="13"/>
  <c r="Q236" i="13"/>
  <c r="R236" i="13"/>
  <c r="U236" i="13"/>
  <c r="W236" i="13"/>
  <c r="T236" i="13"/>
  <c r="X236" i="13"/>
  <c r="Y236" i="13"/>
  <c r="Z236" i="13"/>
  <c r="AA236" i="13"/>
  <c r="AB236" i="13"/>
  <c r="P237" i="13"/>
  <c r="Q237" i="13"/>
  <c r="R237" i="13"/>
  <c r="U237" i="13"/>
  <c r="W237" i="13"/>
  <c r="T237" i="13"/>
  <c r="X237" i="13"/>
  <c r="Y237" i="13"/>
  <c r="Z237" i="13"/>
  <c r="AA237" i="13"/>
  <c r="AB237" i="13"/>
  <c r="P238" i="13"/>
  <c r="Q238" i="13"/>
  <c r="R238" i="13"/>
  <c r="U238" i="13"/>
  <c r="W238" i="13"/>
  <c r="T238" i="13"/>
  <c r="X238" i="13"/>
  <c r="Y238" i="13"/>
  <c r="Z238" i="13"/>
  <c r="AA238" i="13"/>
  <c r="AB238" i="13"/>
  <c r="P239" i="13"/>
  <c r="Q239" i="13"/>
  <c r="R239" i="13"/>
  <c r="D247" i="13"/>
  <c r="U239" i="13"/>
  <c r="W239" i="13"/>
  <c r="C247" i="13"/>
  <c r="T239" i="13"/>
  <c r="X239" i="13"/>
  <c r="AM247" i="2"/>
  <c r="G247" i="13"/>
  <c r="Y239" i="13"/>
  <c r="AN247" i="2"/>
  <c r="H247" i="13"/>
  <c r="Z239" i="13"/>
  <c r="AO247" i="2"/>
  <c r="I247" i="13"/>
  <c r="AA239" i="13"/>
  <c r="J247" i="13"/>
  <c r="AB239" i="13"/>
  <c r="C240" i="13"/>
  <c r="D240" i="13"/>
  <c r="AM240" i="2"/>
  <c r="G240" i="13"/>
  <c r="AN240" i="2"/>
  <c r="H240" i="13"/>
  <c r="AO240" i="2"/>
  <c r="I240" i="13"/>
  <c r="J240" i="13"/>
  <c r="P240" i="13"/>
  <c r="Q240" i="13"/>
  <c r="R240" i="13"/>
  <c r="D242" i="13"/>
  <c r="U240" i="13"/>
  <c r="W240" i="13"/>
  <c r="C242" i="13"/>
  <c r="T240" i="13"/>
  <c r="X240" i="13"/>
  <c r="AM242" i="2"/>
  <c r="G242" i="13"/>
  <c r="Y240" i="13"/>
  <c r="AN242" i="2"/>
  <c r="H242" i="13"/>
  <c r="Z240" i="13"/>
  <c r="AO242" i="2"/>
  <c r="I242" i="13"/>
  <c r="AA240" i="13"/>
  <c r="J242" i="13"/>
  <c r="AB240" i="13"/>
  <c r="P241" i="13"/>
  <c r="Q241" i="13"/>
  <c r="R241" i="13"/>
  <c r="U241" i="13"/>
  <c r="W241" i="13"/>
  <c r="T241" i="13"/>
  <c r="X241" i="13"/>
  <c r="Y241" i="13"/>
  <c r="Z241" i="13"/>
  <c r="AA241" i="13"/>
  <c r="AB241" i="13"/>
  <c r="P242" i="13"/>
  <c r="Q242" i="13"/>
  <c r="R242" i="13"/>
  <c r="U242" i="13"/>
  <c r="W242" i="13"/>
  <c r="T242" i="13"/>
  <c r="X242" i="13"/>
  <c r="Y242" i="13"/>
  <c r="Z242" i="13"/>
  <c r="AA242" i="13"/>
  <c r="AB242" i="13"/>
  <c r="P243" i="13"/>
  <c r="Q243" i="13"/>
  <c r="R243" i="13"/>
  <c r="D245" i="13"/>
  <c r="U243" i="13"/>
  <c r="W243" i="13"/>
  <c r="C245" i="13"/>
  <c r="T243" i="13"/>
  <c r="X243" i="13"/>
  <c r="AM245" i="2"/>
  <c r="G245" i="13"/>
  <c r="Y243" i="13"/>
  <c r="AN245" i="2"/>
  <c r="H245" i="13"/>
  <c r="Z243" i="13"/>
  <c r="AO245" i="2"/>
  <c r="I245" i="13"/>
  <c r="AA243" i="13"/>
  <c r="J245" i="13"/>
  <c r="AB243" i="13"/>
  <c r="P244" i="13"/>
  <c r="Q244" i="13"/>
  <c r="R244" i="13"/>
  <c r="U244" i="13"/>
  <c r="W244" i="13"/>
  <c r="T244" i="13"/>
  <c r="X244" i="13"/>
  <c r="Y244" i="13"/>
  <c r="Z244" i="13"/>
  <c r="AA244" i="13"/>
  <c r="AB244" i="13"/>
  <c r="P245" i="13"/>
  <c r="Q245" i="13"/>
  <c r="R245" i="13"/>
  <c r="U245" i="13"/>
  <c r="W245" i="13"/>
  <c r="T245" i="13"/>
  <c r="X245" i="13"/>
  <c r="Y245" i="13"/>
  <c r="Z245" i="13"/>
  <c r="AA245" i="13"/>
  <c r="AB245" i="13"/>
  <c r="P246" i="13"/>
  <c r="Q246" i="13"/>
  <c r="R246" i="13"/>
  <c r="U246" i="13"/>
  <c r="W246" i="13"/>
  <c r="T246" i="13"/>
  <c r="X246" i="13"/>
  <c r="Y246" i="13"/>
  <c r="Z246" i="13"/>
  <c r="AA246" i="13"/>
  <c r="AB246" i="13"/>
  <c r="P247" i="13"/>
  <c r="Q247" i="13"/>
  <c r="R247" i="13"/>
  <c r="U247" i="13"/>
  <c r="W247" i="13"/>
  <c r="T247" i="13"/>
  <c r="X247" i="13"/>
  <c r="Y247" i="13"/>
  <c r="Z247" i="13"/>
  <c r="AA247" i="13"/>
  <c r="AB247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<sst xmlns="http://schemas.openxmlformats.org/spreadsheetml/2006/main" count="3998" uniqueCount="574">
  <si>
    <t xml:space="preserve">key </t>
  </si>
  <si>
    <t>Inputs from Database</t>
  </si>
  <si>
    <t>Calculated Final Values</t>
  </si>
  <si>
    <t>Calculated Intermediate Values</t>
  </si>
  <si>
    <t>Range Given:</t>
  </si>
  <si>
    <t>Chart/Scatter Plot --- normalized values on x axis</t>
  </si>
  <si>
    <t>y axis values</t>
  </si>
  <si>
    <t xml:space="preserve">                       Normalized Data Best-fit Line Parameters:</t>
  </si>
  <si>
    <t xml:space="preserve">Slope Beta </t>
  </si>
  <si>
    <t>Y-Intercept Alpha</t>
  </si>
  <si>
    <t xml:space="preserve">                                                                                    Transaction Fees:</t>
  </si>
  <si>
    <t xml:space="preserve">Long Term (LT) </t>
  </si>
  <si>
    <t>=(Monthly Rent*12)*(LT Occupancy Rate))</t>
  </si>
  <si>
    <t>Short Term (ST)</t>
  </si>
  <si>
    <t>[(Range*(Example Rent  $ minus $ 10th)) / ($ 90th minus $ 10th)] + .1</t>
  </si>
  <si>
    <t xml:space="preserve">Repeat earlier column for convenience </t>
  </si>
  <si>
    <t xml:space="preserve">=365*(variable cell dollars per night)*(Model forecast occupancy rate) </t>
  </si>
  <si>
    <t xml:space="preserve">= (Revenues Before Transaction fees)*(1 minus transaction  fees) </t>
  </si>
  <si>
    <t>Repeat for Convenience</t>
  </si>
  <si>
    <t>Interim Result 1</t>
  </si>
  <si>
    <t>Interim Result 2</t>
  </si>
  <si>
    <t>Interim Result 3</t>
  </si>
  <si>
    <t>=[(Beta*Interim result 2)/(Interim result 1)) - Alpha] * [Interim result 3]</t>
  </si>
  <si>
    <t xml:space="preserve">If(Optimal $ Rent &gt; 10th Percentile $ Rent, Optimal rent, else 10th percentile Rent) </t>
  </si>
  <si>
    <t xml:space="preserve">' ((Correct $ rent) minus (Interim Result 2)) /  (Interim Result 1) </t>
  </si>
  <si>
    <t xml:space="preserve">=((Beta)*(Rent Normalized to Percentile) + Alpha) </t>
  </si>
  <si>
    <t xml:space="preserve">=(Forecast ST Revenues)*(1 minus transaction  fees) </t>
  </si>
  <si>
    <t xml:space="preserve">Watershed property ID </t>
  </si>
  <si>
    <t xml:space="preserve">location ID </t>
  </si>
  <si>
    <t xml:space="preserve">property type (Apartment or House) </t>
  </si>
  <si>
    <t xml:space="preserve">Number of Bedrooms (1 or 2) </t>
  </si>
  <si>
    <t>LT - Monthly Rent</t>
  </si>
  <si>
    <t>LT occupancy rate</t>
  </si>
  <si>
    <t>LT Annual Revenues</t>
  </si>
  <si>
    <t xml:space="preserve">ST Example $ Rent </t>
  </si>
  <si>
    <t>ST Example Occupancy Rate</t>
  </si>
  <si>
    <t>ST -  $ 10th percentile rent</t>
  </si>
  <si>
    <t>ST - $ 90th percentile rent</t>
  </si>
  <si>
    <t xml:space="preserve">$ 90th minus $ 10th </t>
  </si>
  <si>
    <t xml:space="preserve">Example $ Rent minus $ 10th </t>
  </si>
  <si>
    <t>ST Example Nightly Rent Normalized to Percentile</t>
  </si>
  <si>
    <t xml:space="preserve">Dollars Normalized to Percentile </t>
  </si>
  <si>
    <t xml:space="preserve">Model forecast occupancy = (Beta*( Dollars Normalized to Percentile)) + Alpha </t>
  </si>
  <si>
    <t>SOLVER "Objective"-  Forecast ST Annual Revenues Before Transaction Fees</t>
  </si>
  <si>
    <t>Forecast ST Annual Revenues After Transaction Fees</t>
  </si>
  <si>
    <t xml:space="preserve">10th Percentile $ Rent </t>
  </si>
  <si>
    <t>1.25*($ 90th - $ 10th)</t>
  </si>
  <si>
    <t xml:space="preserve">$ 10th - (($ 90th - $ 10th)/8)) </t>
  </si>
  <si>
    <t>Optimal Rent</t>
  </si>
  <si>
    <t xml:space="preserve">Correct Forecast Occupancy Rate </t>
  </si>
  <si>
    <t>Note: if "optimal rent" is less value in this column, use this value</t>
  </si>
  <si>
    <t xml:space="preserve">Three Interim Results Below are used to Calculate the Optimum Rent, using a method outside the scope of this course </t>
  </si>
  <si>
    <t xml:space="preserve">Use MS "If" statement  in this Column </t>
  </si>
  <si>
    <t xml:space="preserve">=(Correct Nightly $ Rent)*(Forecast Occupancy Rate)*365 </t>
  </si>
  <si>
    <t>Repeat Column for Convenience</t>
  </si>
  <si>
    <t>= (ST Annual Revenues After Transaction fees) minus (LT Annual Revenues)</t>
  </si>
  <si>
    <t>= (forecast occupancy rate)*(365/Ave length of stay)*(Variable cost per guest visit)</t>
  </si>
  <si>
    <t>=-(Capital Expenditure) - Utilities - (Variable Costs)</t>
  </si>
  <si>
    <t>=-Utilities - (variable costs) - Repairs and Replacements</t>
  </si>
  <si>
    <t xml:space="preserve">=-(( Capital Expenditure)/(Depreciation period - Years)) - Utilities - (Variable Costs) </t>
  </si>
  <si>
    <t xml:space="preserve">=-(( Capital Expenditure)/(Depreciation period - Years)) - Utilities - (Variable Costs) - (repairs and replacements) </t>
  </si>
  <si>
    <t xml:space="preserve">=(change in gross rental revenue) + (New Cash Out, Conversion Year) </t>
  </si>
  <si>
    <t xml:space="preserve">=(change in gross rental revenue) + (New Cash Out,-each year therafter) </t>
  </si>
  <si>
    <t xml:space="preserve">=(change in gross rental revenue) + (New Change in Profits, Conversion Year) </t>
  </si>
  <si>
    <t xml:space="preserve">= (change in gross rental revenue) + (new change in Profits, each year thereafter) </t>
  </si>
  <si>
    <t>Correct Nightly $ Rent, given constraint that rent must be &gt;= 10th percentile</t>
  </si>
  <si>
    <t>Correct Nightly Rent Normalized to Percentile</t>
  </si>
  <si>
    <t>Forecast ST Annual Revenues Before Transaction Fees</t>
  </si>
  <si>
    <t>Change in Gross Rental Revenue</t>
  </si>
  <si>
    <t>Variable Costs - Conversion Year and After</t>
  </si>
  <si>
    <t xml:space="preserve">New Cash Out,  Conversion year </t>
  </si>
  <si>
    <t>New Cash Out - each year thereafter</t>
  </si>
  <si>
    <t>New Change in Profits, Conversion Year</t>
  </si>
  <si>
    <t>New Change in Profits, Each Year Thereafter</t>
  </si>
  <si>
    <t xml:space="preserve">Net Forecast Change in Cash Flow, Conversion Year </t>
  </si>
  <si>
    <t xml:space="preserve">Net Change in Cash Flow, Each Year Thereafter (for next 4 years) </t>
  </si>
  <si>
    <t>Net Change in Profits, Conversion year</t>
  </si>
  <si>
    <t xml:space="preserve">Net Change in Profits, each year thereafter (for next 4 years) </t>
  </si>
  <si>
    <t>FINANCIAL ASSUMPTIONS</t>
  </si>
  <si>
    <t>Capital Expenditure (conversion year only)</t>
  </si>
  <si>
    <t>Depreciation Period (years)</t>
  </si>
  <si>
    <t>Fixed Costs</t>
  </si>
  <si>
    <t xml:space="preserve">        Utilities (every year)</t>
  </si>
  <si>
    <t xml:space="preserve">       Repairs and replacements</t>
  </si>
  <si>
    <t xml:space="preserve">                conversion year only </t>
  </si>
  <si>
    <t xml:space="preserve">                each year thereafter</t>
  </si>
  <si>
    <t>Variable Costs (per guest visit)</t>
  </si>
  <si>
    <t>Average Length of Guest Stay (days)</t>
  </si>
  <si>
    <t>Transaction fees</t>
  </si>
  <si>
    <t>Net Change in Profitability Threshold (Year after conversion year)</t>
  </si>
  <si>
    <t xml:space="preserve">Note: After Completing this entire Spreadsheet and the next  </t>
  </si>
  <si>
    <t xml:space="preserve">Copy this spredsheet to a new workbook. Then Change the transaction </t>
  </si>
  <si>
    <t xml:space="preserve">fees from 30% to 40%.Then sort by profitability again. </t>
  </si>
  <si>
    <t xml:space="preserve"> How many properties now reach the $6,000 profitability threshold </t>
  </si>
  <si>
    <t>in the year after the conversion year?</t>
  </si>
  <si>
    <t>1.25*($ 90th - $ 10th)/(2*beta)</t>
  </si>
  <si>
    <t>W1</t>
  </si>
  <si>
    <t>L9531</t>
  </si>
  <si>
    <t>apartment</t>
  </si>
  <si>
    <t>W10</t>
  </si>
  <si>
    <t>L9533</t>
  </si>
  <si>
    <t>W100</t>
  </si>
  <si>
    <t>L1944</t>
  </si>
  <si>
    <t>W101</t>
  </si>
  <si>
    <t>L15257</t>
  </si>
  <si>
    <t>W102</t>
  </si>
  <si>
    <t>W103</t>
  </si>
  <si>
    <t>house</t>
  </si>
  <si>
    <t>W104</t>
  </si>
  <si>
    <t>W105</t>
  </si>
  <si>
    <t>L15260</t>
  </si>
  <si>
    <t>W106</t>
  </si>
  <si>
    <t>W107</t>
  </si>
  <si>
    <t>W108</t>
  </si>
  <si>
    <t>W109</t>
  </si>
  <si>
    <t>L15264</t>
  </si>
  <si>
    <t>W11</t>
  </si>
  <si>
    <t>W110</t>
  </si>
  <si>
    <t>W111</t>
  </si>
  <si>
    <t>W112</t>
  </si>
  <si>
    <t>W113</t>
  </si>
  <si>
    <t>L15278</t>
  </si>
  <si>
    <t>W114</t>
  </si>
  <si>
    <t>W115</t>
  </si>
  <si>
    <t>W116</t>
  </si>
  <si>
    <t>W117</t>
  </si>
  <si>
    <t>L15280</t>
  </si>
  <si>
    <t>W118</t>
  </si>
  <si>
    <t>W119</t>
  </si>
  <si>
    <t>W12</t>
  </si>
  <si>
    <t>W120</t>
  </si>
  <si>
    <t>W121</t>
  </si>
  <si>
    <t>L463</t>
  </si>
  <si>
    <t>W122</t>
  </si>
  <si>
    <t>W123</t>
  </si>
  <si>
    <t>W124</t>
  </si>
  <si>
    <t>W125</t>
  </si>
  <si>
    <t>L464</t>
  </si>
  <si>
    <t>W126</t>
  </si>
  <si>
    <t>W127</t>
  </si>
  <si>
    <t>W128</t>
  </si>
  <si>
    <t>W129</t>
  </si>
  <si>
    <t>L2314</t>
  </si>
  <si>
    <t>W13</t>
  </si>
  <si>
    <t>L9534</t>
  </si>
  <si>
    <t>W130</t>
  </si>
  <si>
    <t>W131</t>
  </si>
  <si>
    <t>W132</t>
  </si>
  <si>
    <t>W133</t>
  </si>
  <si>
    <t>L2318</t>
  </si>
  <si>
    <t>W134</t>
  </si>
  <si>
    <t>W135</t>
  </si>
  <si>
    <t>W136</t>
  </si>
  <si>
    <t>W137</t>
  </si>
  <si>
    <t>L2323</t>
  </si>
  <si>
    <t>W138</t>
  </si>
  <si>
    <t>W139</t>
  </si>
  <si>
    <t>W14</t>
  </si>
  <si>
    <t>W140</t>
  </si>
  <si>
    <t>W141</t>
  </si>
  <si>
    <t>L2325</t>
  </si>
  <si>
    <t>W142</t>
  </si>
  <si>
    <t>W143</t>
  </si>
  <si>
    <t>W144</t>
  </si>
  <si>
    <t>W145</t>
  </si>
  <si>
    <t>L2338</t>
  </si>
  <si>
    <t>W146</t>
  </si>
  <si>
    <t>W147</t>
  </si>
  <si>
    <t>W148</t>
  </si>
  <si>
    <t>W149</t>
  </si>
  <si>
    <t>L3244</t>
  </si>
  <si>
    <t>W15</t>
  </si>
  <si>
    <t>W150</t>
  </si>
  <si>
    <t>W151</t>
  </si>
  <si>
    <t>W152</t>
  </si>
  <si>
    <t>W153</t>
  </si>
  <si>
    <t>L3256</t>
  </si>
  <si>
    <t>W154</t>
  </si>
  <si>
    <t>W155</t>
  </si>
  <si>
    <t>W156</t>
  </si>
  <si>
    <t>W157</t>
  </si>
  <si>
    <t>L3261</t>
  </si>
  <si>
    <t>W158</t>
  </si>
  <si>
    <t>W159</t>
  </si>
  <si>
    <t>W16</t>
  </si>
  <si>
    <t>W160</t>
  </si>
  <si>
    <t>W161</t>
  </si>
  <si>
    <t>L3262</t>
  </si>
  <si>
    <t>W162</t>
  </si>
  <si>
    <t>W163</t>
  </si>
  <si>
    <t>W164</t>
  </si>
  <si>
    <t>W165</t>
  </si>
  <si>
    <t>L3264</t>
  </si>
  <si>
    <t>W166</t>
  </si>
  <si>
    <t>W167</t>
  </si>
  <si>
    <t>W168</t>
  </si>
  <si>
    <t>W169</t>
  </si>
  <si>
    <t>L10126</t>
  </si>
  <si>
    <t>W17</t>
  </si>
  <si>
    <t>L4761</t>
  </si>
  <si>
    <t>W170</t>
  </si>
  <si>
    <t>W171</t>
  </si>
  <si>
    <t>W172</t>
  </si>
  <si>
    <t>W173</t>
  </si>
  <si>
    <t>L10130</t>
  </si>
  <si>
    <t>W174</t>
  </si>
  <si>
    <t>W175</t>
  </si>
  <si>
    <t>W176</t>
  </si>
  <si>
    <t>W177</t>
  </si>
  <si>
    <t>L10133</t>
  </si>
  <si>
    <t>W178</t>
  </si>
  <si>
    <t>W179</t>
  </si>
  <si>
    <t>W18</t>
  </si>
  <si>
    <t>W180</t>
  </si>
  <si>
    <t>W181</t>
  </si>
  <si>
    <t>L10136</t>
  </si>
  <si>
    <t>W182</t>
  </si>
  <si>
    <t>W183</t>
  </si>
  <si>
    <t>W184</t>
  </si>
  <si>
    <t>W185</t>
  </si>
  <si>
    <t>L1882</t>
  </si>
  <si>
    <t>W186</t>
  </si>
  <si>
    <t>W187</t>
  </si>
  <si>
    <t>W188</t>
  </si>
  <si>
    <t>W189</t>
  </si>
  <si>
    <t>L1883</t>
  </si>
  <si>
    <t>W19</t>
  </si>
  <si>
    <t>W190</t>
  </si>
  <si>
    <t>W191</t>
  </si>
  <si>
    <t>W192</t>
  </si>
  <si>
    <t>W193</t>
  </si>
  <si>
    <t>L1887</t>
  </si>
  <si>
    <t>W194</t>
  </si>
  <si>
    <t>W195</t>
  </si>
  <si>
    <t>W196</t>
  </si>
  <si>
    <t>W197</t>
  </si>
  <si>
    <t>L1902</t>
  </si>
  <si>
    <t>W198</t>
  </si>
  <si>
    <t>W199</t>
  </si>
  <si>
    <t>W2</t>
  </si>
  <si>
    <t>W20</t>
  </si>
  <si>
    <t>W200</t>
  </si>
  <si>
    <t>W201</t>
  </si>
  <si>
    <t>L1916</t>
  </si>
  <si>
    <t>W202</t>
  </si>
  <si>
    <t>W203</t>
  </si>
  <si>
    <t>W204</t>
  </si>
  <si>
    <t>W205</t>
  </si>
  <si>
    <t>L12252</t>
  </si>
  <si>
    <t>W206</t>
  </si>
  <si>
    <t>W207</t>
  </si>
  <si>
    <t>W208</t>
  </si>
  <si>
    <t>W209</t>
  </si>
  <si>
    <t>L12260</t>
  </si>
  <si>
    <t>W21</t>
  </si>
  <si>
    <t>L4765</t>
  </si>
  <si>
    <t>W210</t>
  </si>
  <si>
    <t>W211</t>
  </si>
  <si>
    <t>W212</t>
  </si>
  <si>
    <t>W213</t>
  </si>
  <si>
    <t>L12264</t>
  </si>
  <si>
    <t>W214</t>
  </si>
  <si>
    <t>W215</t>
  </si>
  <si>
    <t>W216</t>
  </si>
  <si>
    <t>W217</t>
  </si>
  <si>
    <t>L16888</t>
  </si>
  <si>
    <t>W218</t>
  </si>
  <si>
    <t>W219</t>
  </si>
  <si>
    <t>W22</t>
  </si>
  <si>
    <t>W220</t>
  </si>
  <si>
    <t>W221</t>
  </si>
  <si>
    <t>L16887</t>
  </si>
  <si>
    <t>W222</t>
  </si>
  <si>
    <t>W223</t>
  </si>
  <si>
    <t>W224</t>
  </si>
  <si>
    <t>W225</t>
  </si>
  <si>
    <t>L16898</t>
  </si>
  <si>
    <t>W226</t>
  </si>
  <si>
    <t>W227</t>
  </si>
  <si>
    <t>W228</t>
  </si>
  <si>
    <t>W229</t>
  </si>
  <si>
    <t>L16890</t>
  </si>
  <si>
    <t>W23</t>
  </si>
  <si>
    <t>W230</t>
  </si>
  <si>
    <t>W231</t>
  </si>
  <si>
    <t>W232</t>
  </si>
  <si>
    <t>W233</t>
  </si>
  <si>
    <t>L14416</t>
  </si>
  <si>
    <t>W234</t>
  </si>
  <si>
    <t>W235</t>
  </si>
  <si>
    <t>W236</t>
  </si>
  <si>
    <t>W237</t>
  </si>
  <si>
    <t>L14418</t>
  </si>
  <si>
    <t>W238</t>
  </si>
  <si>
    <t>W239</t>
  </si>
  <si>
    <t>W24</t>
  </si>
  <si>
    <t>W240</t>
  </si>
  <si>
    <t>W241</t>
  </si>
  <si>
    <t>L14419</t>
  </si>
  <si>
    <t>W242</t>
  </si>
  <si>
    <t>W243</t>
  </si>
  <si>
    <t>W244</t>
  </si>
  <si>
    <t>W25</t>
  </si>
  <si>
    <t>L4770</t>
  </si>
  <si>
    <t>W26</t>
  </si>
  <si>
    <t>W27</t>
  </si>
  <si>
    <t>W28</t>
  </si>
  <si>
    <t>W29</t>
  </si>
  <si>
    <t>L4794</t>
  </si>
  <si>
    <t>W3</t>
  </si>
  <si>
    <t>W30</t>
  </si>
  <si>
    <t>W31</t>
  </si>
  <si>
    <t>W32</t>
  </si>
  <si>
    <t>W33</t>
  </si>
  <si>
    <t>L4804</t>
  </si>
  <si>
    <t>W34</t>
  </si>
  <si>
    <t>W35</t>
  </si>
  <si>
    <t>W36</t>
  </si>
  <si>
    <t>W37</t>
  </si>
  <si>
    <t>L11419</t>
  </si>
  <si>
    <t>W38</t>
  </si>
  <si>
    <t>W39</t>
  </si>
  <si>
    <t>L11421</t>
  </si>
  <si>
    <t>W4</t>
  </si>
  <si>
    <t>W40</t>
  </si>
  <si>
    <t>W41</t>
  </si>
  <si>
    <t>W42</t>
  </si>
  <si>
    <t>W43</t>
  </si>
  <si>
    <t>L11427</t>
  </si>
  <si>
    <t>W44</t>
  </si>
  <si>
    <t>W45</t>
  </si>
  <si>
    <t>L11431</t>
  </si>
  <si>
    <t>W46</t>
  </si>
  <si>
    <t>W47</t>
  </si>
  <si>
    <t>W48</t>
  </si>
  <si>
    <t>W49</t>
  </si>
  <si>
    <t>L11434</t>
  </si>
  <si>
    <t>W5</t>
  </si>
  <si>
    <t>L9532</t>
  </si>
  <si>
    <t>W50</t>
  </si>
  <si>
    <t>W51</t>
  </si>
  <si>
    <t>W52</t>
  </si>
  <si>
    <t>W53</t>
  </si>
  <si>
    <t>L11480</t>
  </si>
  <si>
    <t>W54</t>
  </si>
  <si>
    <t>W55</t>
  </si>
  <si>
    <t>W56</t>
  </si>
  <si>
    <t>W57</t>
  </si>
  <si>
    <t>L11495</t>
  </si>
  <si>
    <t>W58</t>
  </si>
  <si>
    <t>W59</t>
  </si>
  <si>
    <t>W6</t>
  </si>
  <si>
    <t>W60</t>
  </si>
  <si>
    <t>W61</t>
  </si>
  <si>
    <t>L1734</t>
  </si>
  <si>
    <t>W62</t>
  </si>
  <si>
    <t>W63</t>
  </si>
  <si>
    <t>W64</t>
  </si>
  <si>
    <t>W65</t>
  </si>
  <si>
    <t>L1735</t>
  </si>
  <si>
    <t>W66</t>
  </si>
  <si>
    <t>W67</t>
  </si>
  <si>
    <t>W68</t>
  </si>
  <si>
    <t>W69</t>
  </si>
  <si>
    <t>L1736</t>
  </si>
  <si>
    <t>W7</t>
  </si>
  <si>
    <t>W70</t>
  </si>
  <si>
    <t>W71</t>
  </si>
  <si>
    <t>W72</t>
  </si>
  <si>
    <t>W73</t>
  </si>
  <si>
    <t>L1737</t>
  </si>
  <si>
    <t>W74</t>
  </si>
  <si>
    <t>W75</t>
  </si>
  <si>
    <t>W76</t>
  </si>
  <si>
    <t>W77</t>
  </si>
  <si>
    <t>L1738</t>
  </si>
  <si>
    <t>W78</t>
  </si>
  <si>
    <t>W79</t>
  </si>
  <si>
    <t>W8</t>
  </si>
  <si>
    <t>W80</t>
  </si>
  <si>
    <t>W81</t>
  </si>
  <si>
    <t>L1940</t>
  </si>
  <si>
    <t>W82</t>
  </si>
  <si>
    <t>W83</t>
  </si>
  <si>
    <t>W84</t>
  </si>
  <si>
    <t>W85</t>
  </si>
  <si>
    <t>L1941</t>
  </si>
  <si>
    <t>W86</t>
  </si>
  <si>
    <t>W87</t>
  </si>
  <si>
    <t>W88</t>
  </si>
  <si>
    <t>W89</t>
  </si>
  <si>
    <t>L1942</t>
  </si>
  <si>
    <t>W9</t>
  </si>
  <si>
    <t>W90</t>
  </si>
  <si>
    <t>W91</t>
  </si>
  <si>
    <t>W92</t>
  </si>
  <si>
    <t>W93</t>
  </si>
  <si>
    <t>L1943</t>
  </si>
  <si>
    <t>W94</t>
  </si>
  <si>
    <t>W95</t>
  </si>
  <si>
    <t>W96</t>
  </si>
  <si>
    <t>W97</t>
  </si>
  <si>
    <t>W98</t>
  </si>
  <si>
    <t>W99</t>
  </si>
  <si>
    <t>Rank</t>
  </si>
  <si>
    <t>Property ID</t>
  </si>
  <si>
    <t>Rank by Profitability</t>
  </si>
  <si>
    <t>Cumulative Conversion Cost</t>
  </si>
  <si>
    <t>Cash Flow Year 1</t>
  </si>
  <si>
    <t>Cumulative Cash Flow</t>
  </si>
  <si>
    <t>LT Profitability</t>
  </si>
  <si>
    <t>LT Profitabality</t>
  </si>
  <si>
    <t>City</t>
  </si>
  <si>
    <t>city</t>
  </si>
  <si>
    <t>state</t>
  </si>
  <si>
    <t>Chapel Hill</t>
  </si>
  <si>
    <t>NC</t>
  </si>
  <si>
    <t>San Francisco</t>
  </si>
  <si>
    <t>CA</t>
  </si>
  <si>
    <t>Austin</t>
  </si>
  <si>
    <t>TX</t>
  </si>
  <si>
    <t>Bentonville</t>
  </si>
  <si>
    <t>AR</t>
  </si>
  <si>
    <t>Denver</t>
  </si>
  <si>
    <t>CO</t>
  </si>
  <si>
    <t>Miami</t>
  </si>
  <si>
    <t>FL</t>
  </si>
  <si>
    <t>Omaha</t>
  </si>
  <si>
    <t>NE</t>
  </si>
  <si>
    <t>Chicago</t>
  </si>
  <si>
    <t>IL</t>
  </si>
  <si>
    <t>San Diego</t>
  </si>
  <si>
    <t>Columbus</t>
  </si>
  <si>
    <t>OH</t>
  </si>
  <si>
    <t>Richmond</t>
  </si>
  <si>
    <t>VA</t>
  </si>
  <si>
    <t>Charleston</t>
  </si>
  <si>
    <t>SC</t>
  </si>
  <si>
    <t>New York</t>
  </si>
  <si>
    <t>NY</t>
  </si>
  <si>
    <t>Palo Alto</t>
  </si>
  <si>
    <t>State</t>
  </si>
  <si>
    <t xml:space="preserve">Cash Flow, Conversion Year </t>
  </si>
  <si>
    <t>Cash Flow, Each Year Thereafter</t>
  </si>
  <si>
    <t>Profits, Conversion year</t>
  </si>
  <si>
    <t>Profits, each year thereafter</t>
  </si>
  <si>
    <t>Variable</t>
  </si>
  <si>
    <t>Initial Value</t>
  </si>
  <si>
    <t>Min</t>
  </si>
  <si>
    <t>Max</t>
  </si>
  <si>
    <t>Profitable Properties, Min</t>
  </si>
  <si>
    <t>Profitable Properties, Max</t>
  </si>
  <si>
    <t>Threshold</t>
  </si>
  <si>
    <t>Transaction Fee</t>
  </si>
  <si>
    <t>Capital Expenditure</t>
  </si>
  <si>
    <t>Average Rental Period</t>
  </si>
  <si>
    <t>Repairs and Replacements</t>
  </si>
  <si>
    <t>Cost per Guest Visit</t>
  </si>
  <si>
    <t>Spread</t>
  </si>
  <si>
    <t>Utilities</t>
  </si>
  <si>
    <t>Depreciation Period</t>
  </si>
  <si>
    <t>Watershed Property ID</t>
  </si>
  <si>
    <t>Net Change in Profits, each year thereafter (for next 4 years)</t>
  </si>
  <si>
    <t>Net Change in Cash Flow, Conversion Year</t>
  </si>
  <si>
    <t>Net Change in Cash Flow, each Year Thereafter</t>
  </si>
  <si>
    <t>*INTENTIONALLY LEFT BLANK*</t>
  </si>
  <si>
    <t>properties with at least $6,000 in net change in profits</t>
  </si>
  <si>
    <t>individual properties in the group are cash flow positive by the end of the Conversion year</t>
  </si>
  <si>
    <t>From DB</t>
  </si>
  <si>
    <t>(Sort)</t>
  </si>
  <si>
    <t xml:space="preserve">=(Net Change in Cash Flow, Conversion Year) + (Net Change in Cash Flow, each Year Thereafter) </t>
  </si>
  <si>
    <t>Individual properties in the Group are cash flow positive by the end of the Subsequent year</t>
  </si>
  <si>
    <t xml:space="preserve"> SOLVER  "Variable Cell" - Rent in Dollars per Night (ST) (PlaceHolder)</t>
  </si>
  <si>
    <t>Year*</t>
  </si>
  <si>
    <t>Long Term Only</t>
  </si>
  <si>
    <t xml:space="preserve">Reduction Requirement </t>
  </si>
  <si>
    <t>Top Prospect?</t>
  </si>
  <si>
    <t xml:space="preserve">Beats Additional Profitability Requirement? </t>
  </si>
  <si>
    <t>Option 1</t>
  </si>
  <si>
    <t>Option 2</t>
  </si>
  <si>
    <t>Option 3</t>
  </si>
  <si>
    <t>Profit, Conversion Year</t>
  </si>
  <si>
    <t>Cash Flow, Conversion Year</t>
  </si>
  <si>
    <t>Profit, After Conversion</t>
  </si>
  <si>
    <t xml:space="preserve">Cash Flow, After Conversion </t>
  </si>
  <si>
    <t>Year 0</t>
  </si>
  <si>
    <t>Year 1</t>
  </si>
  <si>
    <t>Year 2</t>
  </si>
  <si>
    <t>Year 3</t>
  </si>
  <si>
    <t xml:space="preserve">Top Prospects Only + LT </t>
  </si>
  <si>
    <t>All Convertible Properties + LT</t>
  </si>
  <si>
    <t>Model Assumptions</t>
  </si>
  <si>
    <t>Max Values</t>
  </si>
  <si>
    <t>Min Values</t>
  </si>
  <si>
    <t>Yearly Profits</t>
  </si>
  <si>
    <t xml:space="preserve">Yearly Profits </t>
  </si>
  <si>
    <t xml:space="preserve">10% LT Rent Increase Per Year </t>
  </si>
  <si>
    <t xml:space="preserve">Enter Current Total Avaliable Working Capital </t>
  </si>
  <si>
    <t xml:space="preserve">Additional Profitability Req. </t>
  </si>
  <si>
    <t>Required Working Capital</t>
  </si>
  <si>
    <t xml:space="preserve">Converstion Cost </t>
  </si>
  <si>
    <t xml:space="preserve">Amount of Convertible Properties </t>
  </si>
  <si>
    <t>Total Properties Above Threshold</t>
  </si>
  <si>
    <t xml:space="preserve">Profits After Conversion </t>
  </si>
  <si>
    <t xml:space="preserve">Count of Top Prospects </t>
  </si>
  <si>
    <t xml:space="preserve">Model Assumptions </t>
  </si>
  <si>
    <t>Residuals of Square</t>
  </si>
  <si>
    <t xml:space="preserve">Regression </t>
  </si>
  <si>
    <t>Degrees of Freedom / Count - 1</t>
  </si>
  <si>
    <t>F Critical Values</t>
  </si>
  <si>
    <t>Standard Dev 's(y)</t>
  </si>
  <si>
    <t>r^2</t>
  </si>
  <si>
    <t>Fit Y Values</t>
  </si>
  <si>
    <t xml:space="preserve">ST Example Rent </t>
  </si>
  <si>
    <t>ST 90th percentile rent</t>
  </si>
  <si>
    <t>ST 10th percentile rent</t>
  </si>
  <si>
    <t>+/-</t>
  </si>
  <si>
    <t xml:space="preserve">y axis values </t>
  </si>
  <si>
    <t>x axis values</t>
  </si>
  <si>
    <t>=Monthly Rent*12*LT Occupancy Rate</t>
  </si>
  <si>
    <t xml:space="preserve">Intercept </t>
  </si>
  <si>
    <t>SLOPE / Beta</t>
  </si>
  <si>
    <t>Chart/Scatter Plot:</t>
  </si>
  <si>
    <t>Calculated Values</t>
  </si>
  <si>
    <t xml:space="preserve">Example $ minus $ 10th </t>
  </si>
  <si>
    <t>[(Range*(Example Percentile  minus 10th)) / (90th minus 10th)] + .1</t>
  </si>
  <si>
    <t>Y-intercept Alpha</t>
  </si>
  <si>
    <t>Use Scatter plot to find Best-fit Line Parameters:</t>
  </si>
  <si>
    <t xml:space="preserve">Range Given (90th minus 10th) </t>
  </si>
  <si>
    <t xml:space="preserve">Model Predicted Occupancy Rate '= (Beta*( Dollars Normalized to Percentile)) + Alpha </t>
  </si>
  <si>
    <t>Variable Cell Dollars Normalized to Percentile</t>
  </si>
  <si>
    <t xml:space="preserve"> SOLVER  "Variable Cell" - Rent in Dollars per Night (ST) </t>
  </si>
  <si>
    <t>*Transaction  fees include the amounts paid to third-party services for facilitating the transaction, and hotel taxes or other occupancy fees and regulatory requirements</t>
  </si>
  <si>
    <t>Green - outputs</t>
  </si>
  <si>
    <t>Blue - numbers you must input to optimize your model</t>
  </si>
  <si>
    <t>Black - numbers given in problem financial assumptions</t>
  </si>
  <si>
    <t xml:space="preserve">Years Depreciation </t>
  </si>
  <si>
    <t>Annual Variable Cost</t>
  </si>
  <si>
    <t>Est. Guests per Year</t>
  </si>
  <si>
    <t>Variable Costs   (per Guest)</t>
  </si>
  <si>
    <t xml:space="preserve">Utilities - Annual (Fixed Cost) </t>
  </si>
  <si>
    <t>Replacements - Annual (Fixed Cost)</t>
  </si>
  <si>
    <t xml:space="preserve">Furniture, etc. (Capital Expenditure) </t>
  </si>
  <si>
    <t xml:space="preserve">Transaction Fees on Short-term* </t>
  </si>
  <si>
    <t>Nights in an average Month</t>
  </si>
  <si>
    <t xml:space="preserve">Cash Flow and Profit analyses </t>
  </si>
  <si>
    <t xml:space="preserve">1.7 Is the only item that varies between the </t>
  </si>
  <si>
    <t>Cash In (yearly)  short-term</t>
  </si>
  <si>
    <t>Cash In (monthly) short-term - after transaction fee</t>
  </si>
  <si>
    <t>Occupancy Rate short-term</t>
  </si>
  <si>
    <t>Nightly Rent</t>
  </si>
  <si>
    <t>Cash In (yearly)  long-term</t>
  </si>
  <si>
    <t>Cash In (monthly) long-term</t>
  </si>
  <si>
    <t>Occupancy Rate long-term</t>
  </si>
  <si>
    <t xml:space="preserve">Monthly Rent </t>
  </si>
  <si>
    <t>1.7 Annual Depreciation ($30,000/5) </t>
  </si>
  <si>
    <t>Net Change to Cash Flow  for short-term rental conversion</t>
  </si>
  <si>
    <t xml:space="preserve">Total </t>
  </si>
  <si>
    <t>1.6 Per-Guest Service Costs (Variable Cost)</t>
  </si>
  <si>
    <t>1.5 Utility Costs (Fixed Cost)</t>
  </si>
  <si>
    <t>1.4 Replacement Costs (Fixed Cost)</t>
  </si>
  <si>
    <t xml:space="preserve">1.7 Straight-line depreciation of capital expenditure </t>
  </si>
  <si>
    <t xml:space="preserve">Changes in allocated expenses </t>
  </si>
  <si>
    <t xml:space="preserve">Change to Revenues for short-term conversion </t>
  </si>
  <si>
    <t>1.2 Total Rental Payments - Revenues</t>
  </si>
  <si>
    <t>Short  Term Rental</t>
  </si>
  <si>
    <t>1.1 Total Rental Payments - Revenues</t>
  </si>
  <si>
    <t>Long Term Rental</t>
  </si>
  <si>
    <t>Year 4</t>
  </si>
  <si>
    <t>Net changes toProfits and Losses</t>
  </si>
  <si>
    <t>Short-term - stable state</t>
  </si>
  <si>
    <t xml:space="preserve">Conversion to Short-Term </t>
  </si>
  <si>
    <t>No Change</t>
  </si>
  <si>
    <t>How to Calculate Changes in Annual Profits for one Property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</si>
</sst>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_);[Red]\(&quot;$&quot;#,##0\)"/>
    <numFmt numFmtId="8" formatCode="&quot;$&quot;#,##0.00_);[Red]\(&quot;$&quot;#,##0.00\)"/>
    <numFmt numFmtId="164" formatCode="&quot;$&quot;#,##0.00"/>
    <numFmt numFmtId="165" formatCode="0.0%"/>
    <numFmt numFmtId="166" formatCode="0.0000"/>
    <numFmt numFmtId="167" formatCode="0.000"/>
    <numFmt numFmtId="168" formatCode="0.0"/>
    <numFmt numFmtId="169" formatCode="&quot;$&quot;#,##0"/>
    <numFmt numFmtId="170" formatCode="&quot;$&quot;#,##0;[Red]&quot;$&quot;#,##0"/>
  </numFmts>
  <fonts count="22">
    <font>
      <sz val="12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65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b/>
      <sz val="12"/>
      <color rgb="FF9C6500"/>
      <name val="Calibri"/>
      <family val="2"/>
      <scheme val="minor"/>
    </font>
    <font>
      <b/>
      <sz val="12"/>
      <color rgb="FF0061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Helvetica Neue"/>
      <family val="2"/>
    </font>
    <font>
      <sz val="12"/>
      <color rgb="FF000000"/>
      <name val="Calibri"/>
      <family val="2"/>
      <scheme val="minor"/>
    </font>
    <font>
      <sz val="12"/>
      <name val="Calibri"/>
      <family val="2"/>
    </font>
    <font>
      <b/>
      <sz val="12"/>
      <color rgb="FF008000"/>
      <name val="Calibri"/>
      <family val="2"/>
      <scheme val="minor"/>
    </font>
    <font>
      <b/>
      <sz val="12"/>
      <color rgb="FF0000FF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9" fontId="10" fillId="0" borderId="0" applyFont="0" applyFill="0" applyBorder="0" applyAlignment="0" applyProtection="0"/>
  </cellStyleXfs>
  <cellXfs count="179">
    <xf numFmtId="0" fontId="0" fillId="0" borderId="0" xfId="0"/>
    <xf numFmtId="0" fontId="5" fillId="0" borderId="2" xfId="0" applyFont="1" applyBorder="1"/>
    <xf numFmtId="0" fontId="1" fillId="2" borderId="2" xfId="1" applyBorder="1"/>
    <xf numFmtId="0" fontId="2" fillId="3" borderId="2" xfId="2" applyBorder="1"/>
    <xf numFmtId="0" fontId="0" fillId="0" borderId="3" xfId="0" applyBorder="1"/>
    <xf numFmtId="0" fontId="4" fillId="0" borderId="4" xfId="0" applyFont="1" applyBorder="1"/>
    <xf numFmtId="0" fontId="4" fillId="0" borderId="0" xfId="0" quotePrefix="1" applyFont="1" applyFill="1" applyBorder="1"/>
    <xf numFmtId="0" fontId="4" fillId="0" borderId="0" xfId="0" applyFont="1" applyFill="1" applyBorder="1"/>
    <xf numFmtId="9" fontId="4" fillId="0" borderId="4" xfId="0" applyNumberFormat="1" applyFont="1" applyBorder="1"/>
    <xf numFmtId="0" fontId="3" fillId="4" borderId="1" xfId="3"/>
    <xf numFmtId="0" fontId="4" fillId="0" borderId="0" xfId="0" quotePrefix="1" applyFont="1" applyBorder="1"/>
    <xf numFmtId="0" fontId="4" fillId="0" borderId="5" xfId="0" applyFont="1" applyBorder="1"/>
    <xf numFmtId="0" fontId="0" fillId="0" borderId="4" xfId="0" applyBorder="1"/>
    <xf numFmtId="0" fontId="0" fillId="0" borderId="3" xfId="0" quotePrefix="1" applyBorder="1"/>
    <xf numFmtId="0" fontId="4" fillId="0" borderId="7" xfId="0" applyFont="1" applyBorder="1"/>
    <xf numFmtId="0" fontId="2" fillId="3" borderId="5" xfId="2" quotePrefix="1" applyBorder="1"/>
    <xf numFmtId="0" fontId="1" fillId="2" borderId="8" xfId="1" quotePrefix="1" applyBorder="1"/>
    <xf numFmtId="0" fontId="0" fillId="0" borderId="5" xfId="0" applyBorder="1"/>
    <xf numFmtId="0" fontId="2" fillId="3" borderId="6" xfId="2" applyBorder="1"/>
    <xf numFmtId="0" fontId="2" fillId="3" borderId="5" xfId="2" applyBorder="1"/>
    <xf numFmtId="0" fontId="2" fillId="3" borderId="8" xfId="2" quotePrefix="1" applyBorder="1"/>
    <xf numFmtId="0" fontId="2" fillId="3" borderId="9" xfId="2" quotePrefix="1" applyBorder="1"/>
    <xf numFmtId="0" fontId="1" fillId="2" borderId="5" xfId="1" quotePrefix="1" applyBorder="1"/>
    <xf numFmtId="0" fontId="0" fillId="0" borderId="0" xfId="0" applyBorder="1"/>
    <xf numFmtId="0" fontId="5" fillId="0" borderId="7" xfId="0" applyFont="1" applyBorder="1"/>
    <xf numFmtId="0" fontId="1" fillId="2" borderId="2" xfId="1" applyFont="1" applyBorder="1"/>
    <xf numFmtId="0" fontId="5" fillId="0" borderId="10" xfId="0" applyFont="1" applyBorder="1"/>
    <xf numFmtId="0" fontId="2" fillId="3" borderId="11" xfId="2" applyBorder="1"/>
    <xf numFmtId="0" fontId="2" fillId="3" borderId="7" xfId="2" applyBorder="1"/>
    <xf numFmtId="0" fontId="2" fillId="3" borderId="12" xfId="2" applyBorder="1"/>
    <xf numFmtId="0" fontId="1" fillId="2" borderId="14" xfId="1" applyBorder="1"/>
    <xf numFmtId="0" fontId="0" fillId="0" borderId="12" xfId="0" applyBorder="1"/>
    <xf numFmtId="0" fontId="2" fillId="3" borderId="13" xfId="2" applyBorder="1"/>
    <xf numFmtId="2" fontId="2" fillId="3" borderId="12" xfId="2" applyNumberFormat="1" applyBorder="1"/>
    <xf numFmtId="0" fontId="6" fillId="3" borderId="12" xfId="2" applyFont="1" applyBorder="1"/>
    <xf numFmtId="0" fontId="6" fillId="3" borderId="14" xfId="2" applyFont="1" applyBorder="1"/>
    <xf numFmtId="0" fontId="6" fillId="3" borderId="12" xfId="2" quotePrefix="1" applyFont="1" applyBorder="1"/>
    <xf numFmtId="0" fontId="6" fillId="3" borderId="15" xfId="2" applyFont="1" applyBorder="1"/>
    <xf numFmtId="0" fontId="7" fillId="2" borderId="12" xfId="1" applyFont="1" applyBorder="1"/>
    <xf numFmtId="0" fontId="1" fillId="2" borderId="9" xfId="1" applyBorder="1"/>
    <xf numFmtId="0" fontId="5" fillId="0" borderId="5" xfId="0" applyFont="1" applyBorder="1"/>
    <xf numFmtId="0" fontId="4" fillId="0" borderId="2" xfId="0" quotePrefix="1" applyFont="1" applyFill="1" applyBorder="1"/>
    <xf numFmtId="0" fontId="4" fillId="0" borderId="11" xfId="0" applyFont="1" applyBorder="1"/>
    <xf numFmtId="0" fontId="4" fillId="0" borderId="10" xfId="0" quotePrefix="1" applyFont="1" applyBorder="1"/>
    <xf numFmtId="0" fontId="1" fillId="2" borderId="16" xfId="1" applyBorder="1"/>
    <xf numFmtId="0" fontId="5" fillId="0" borderId="3" xfId="0" applyFont="1" applyBorder="1"/>
    <xf numFmtId="0" fontId="5" fillId="0" borderId="9" xfId="0" applyFont="1" applyBorder="1"/>
    <xf numFmtId="0" fontId="1" fillId="2" borderId="5" xfId="1" quotePrefix="1" applyFont="1" applyBorder="1"/>
    <xf numFmtId="0" fontId="1" fillId="2" borderId="15" xfId="1" applyBorder="1"/>
    <xf numFmtId="0" fontId="5" fillId="0" borderId="12" xfId="0" applyFont="1" applyBorder="1"/>
    <xf numFmtId="0" fontId="5" fillId="0" borderId="15" xfId="0" applyFont="1" applyBorder="1"/>
    <xf numFmtId="0" fontId="4" fillId="0" borderId="2" xfId="0" applyFont="1" applyBorder="1"/>
    <xf numFmtId="0" fontId="2" fillId="3" borderId="3" xfId="2" applyBorder="1"/>
    <xf numFmtId="6" fontId="0" fillId="0" borderId="3" xfId="0" applyNumberFormat="1" applyBorder="1"/>
    <xf numFmtId="38" fontId="0" fillId="0" borderId="12" xfId="0" applyNumberFormat="1" applyBorder="1"/>
    <xf numFmtId="6" fontId="0" fillId="0" borderId="12" xfId="0" applyNumberFormat="1" applyBorder="1"/>
    <xf numFmtId="9" fontId="0" fillId="0" borderId="12" xfId="0" applyNumberFormat="1" applyBorder="1"/>
    <xf numFmtId="0" fontId="3" fillId="4" borderId="5" xfId="3" applyBorder="1"/>
    <xf numFmtId="0" fontId="3" fillId="4" borderId="3" xfId="3" applyBorder="1"/>
    <xf numFmtId="0" fontId="3" fillId="4" borderId="12" xfId="3" applyBorder="1"/>
    <xf numFmtId="164" fontId="0" fillId="0" borderId="3" xfId="0" applyNumberFormat="1" applyBorder="1"/>
    <xf numFmtId="9" fontId="0" fillId="0" borderId="4" xfId="8" applyFont="1" applyBorder="1"/>
    <xf numFmtId="165" fontId="0" fillId="0" borderId="0" xfId="8" applyNumberFormat="1" applyFont="1"/>
    <xf numFmtId="164" fontId="0" fillId="0" borderId="0" xfId="0" applyNumberFormat="1"/>
    <xf numFmtId="9" fontId="0" fillId="0" borderId="0" xfId="8" applyFont="1"/>
    <xf numFmtId="164" fontId="0" fillId="0" borderId="4" xfId="0" applyNumberFormat="1" applyBorder="1"/>
    <xf numFmtId="8" fontId="0" fillId="0" borderId="0" xfId="0" applyNumberFormat="1"/>
    <xf numFmtId="8" fontId="0" fillId="0" borderId="0" xfId="0" applyNumberFormat="1" applyBorder="1"/>
    <xf numFmtId="164" fontId="0" fillId="0" borderId="0" xfId="0" applyNumberFormat="1" applyBorder="1"/>
    <xf numFmtId="0" fontId="0" fillId="0" borderId="0" xfId="0" applyNumberFormat="1" applyAlignment="1">
      <alignment wrapText="1"/>
    </xf>
    <xf numFmtId="0" fontId="7" fillId="2" borderId="16" xfId="1" applyFont="1" applyBorder="1"/>
    <xf numFmtId="0" fontId="7" fillId="2" borderId="0" xfId="1" applyFont="1" applyBorder="1"/>
    <xf numFmtId="0" fontId="0" fillId="0" borderId="0" xfId="0" applyFill="1" applyBorder="1"/>
    <xf numFmtId="0" fontId="4" fillId="0" borderId="0" xfId="0" applyFont="1"/>
    <xf numFmtId="3" fontId="0" fillId="0" borderId="0" xfId="0" applyNumberFormat="1"/>
    <xf numFmtId="0" fontId="6" fillId="3" borderId="10" xfId="2" applyNumberFormat="1" applyFont="1" applyBorder="1" applyAlignment="1">
      <alignment horizontal="center" vertical="center" wrapText="1"/>
    </xf>
    <xf numFmtId="0" fontId="6" fillId="3" borderId="2" xfId="2" applyNumberFormat="1" applyFont="1" applyBorder="1" applyAlignment="1">
      <alignment horizontal="center" vertical="center" wrapText="1"/>
    </xf>
    <xf numFmtId="0" fontId="6" fillId="3" borderId="7" xfId="2" applyNumberFormat="1" applyFont="1" applyBorder="1" applyAlignment="1">
      <alignment horizontal="center" vertical="center" wrapText="1"/>
    </xf>
    <xf numFmtId="0" fontId="6" fillId="3" borderId="0" xfId="2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quotePrefix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Fill="1" applyBorder="1" applyAlignment="1">
      <alignment horizontal="right"/>
    </xf>
    <xf numFmtId="0" fontId="4" fillId="0" borderId="0" xfId="0" applyFont="1" applyBorder="1"/>
    <xf numFmtId="0" fontId="4" fillId="0" borderId="0" xfId="0" applyNumberFormat="1" applyFont="1" applyAlignment="1">
      <alignment horizontal="right"/>
    </xf>
    <xf numFmtId="2" fontId="4" fillId="0" borderId="7" xfId="0" applyNumberFormat="1" applyFont="1" applyBorder="1"/>
    <xf numFmtId="0" fontId="0" fillId="0" borderId="0" xfId="0" applyBorder="1" applyAlignment="1">
      <alignment horizontal="center" vertical="center"/>
    </xf>
    <xf numFmtId="6" fontId="0" fillId="0" borderId="0" xfId="0" applyNumberFormat="1" applyBorder="1"/>
    <xf numFmtId="0" fontId="4" fillId="0" borderId="0" xfId="0" applyFont="1" applyBorder="1" applyAlignment="1">
      <alignment horizontal="center" vertical="center"/>
    </xf>
    <xf numFmtId="164" fontId="0" fillId="0" borderId="0" xfId="0" applyNumberFormat="1" applyBorder="1" applyAlignment="1">
      <alignment horizontal="center"/>
    </xf>
    <xf numFmtId="6" fontId="0" fillId="0" borderId="0" xfId="0" applyNumberFormat="1" applyAlignment="1">
      <alignment horizontal="center"/>
    </xf>
    <xf numFmtId="8" fontId="0" fillId="0" borderId="0" xfId="0" applyNumberFormat="1" applyFon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2" fontId="11" fillId="0" borderId="0" xfId="0" applyNumberFormat="1" applyFont="1"/>
    <xf numFmtId="0" fontId="11" fillId="0" borderId="0" xfId="0" applyFont="1"/>
    <xf numFmtId="2" fontId="0" fillId="0" borderId="3" xfId="0" applyNumberFormat="1" applyBorder="1"/>
    <xf numFmtId="166" fontId="0" fillId="0" borderId="0" xfId="0" applyNumberFormat="1"/>
    <xf numFmtId="0" fontId="0" fillId="0" borderId="7" xfId="0" applyBorder="1"/>
    <xf numFmtId="166" fontId="0" fillId="0" borderId="7" xfId="0" applyNumberFormat="1" applyBorder="1"/>
    <xf numFmtId="0" fontId="0" fillId="0" borderId="7" xfId="0" quotePrefix="1" applyBorder="1"/>
    <xf numFmtId="0" fontId="0" fillId="0" borderId="0" xfId="0" quotePrefix="1"/>
    <xf numFmtId="167" fontId="0" fillId="0" borderId="0" xfId="0" applyNumberFormat="1"/>
    <xf numFmtId="2" fontId="0" fillId="0" borderId="4" xfId="0" applyNumberFormat="1" applyBorder="1"/>
    <xf numFmtId="0" fontId="0" fillId="0" borderId="10" xfId="0" applyBorder="1"/>
    <xf numFmtId="0" fontId="1" fillId="2" borderId="10" xfId="1" applyBorder="1"/>
    <xf numFmtId="0" fontId="12" fillId="0" borderId="0" xfId="0" applyFont="1"/>
    <xf numFmtId="2" fontId="0" fillId="0" borderId="0" xfId="0" applyNumberFormat="1"/>
    <xf numFmtId="10" fontId="0" fillId="0" borderId="0" xfId="0" applyNumberFormat="1"/>
    <xf numFmtId="0" fontId="0" fillId="5" borderId="0" xfId="0" applyFill="1"/>
    <xf numFmtId="164" fontId="0" fillId="5" borderId="4" xfId="0" applyNumberFormat="1" applyFill="1" applyBorder="1"/>
    <xf numFmtId="164" fontId="0" fillId="5" borderId="0" xfId="0" applyNumberFormat="1" applyFill="1"/>
    <xf numFmtId="10" fontId="0" fillId="5" borderId="0" xfId="0" applyNumberFormat="1" applyFill="1"/>
    <xf numFmtId="2" fontId="0" fillId="5" borderId="4" xfId="0" applyNumberFormat="1" applyFill="1" applyBorder="1"/>
    <xf numFmtId="2" fontId="0" fillId="5" borderId="0" xfId="0" applyNumberFormat="1" applyFill="1"/>
    <xf numFmtId="0" fontId="11" fillId="5" borderId="0" xfId="0" applyFont="1" applyFill="1"/>
    <xf numFmtId="2" fontId="11" fillId="5" borderId="0" xfId="0" applyNumberFormat="1" applyFont="1" applyFill="1"/>
    <xf numFmtId="0" fontId="0" fillId="5" borderId="3" xfId="0" applyFill="1" applyBorder="1"/>
    <xf numFmtId="0" fontId="13" fillId="0" borderId="4" xfId="0" quotePrefix="1" applyFont="1" applyBorder="1"/>
    <xf numFmtId="0" fontId="5" fillId="0" borderId="2" xfId="0" quotePrefix="1" applyFont="1" applyBorder="1"/>
    <xf numFmtId="0" fontId="4" fillId="0" borderId="0" xfId="0" quotePrefix="1" applyFont="1"/>
    <xf numFmtId="0" fontId="14" fillId="0" borderId="2" xfId="0" applyFont="1" applyBorder="1"/>
    <xf numFmtId="0" fontId="15" fillId="0" borderId="2" xfId="0" applyFont="1" applyBorder="1"/>
    <xf numFmtId="168" fontId="2" fillId="3" borderId="0" xfId="2" applyNumberFormat="1" applyBorder="1"/>
    <xf numFmtId="169" fontId="2" fillId="3" borderId="0" xfId="2" applyNumberFormat="1" applyBorder="1"/>
    <xf numFmtId="0" fontId="2" fillId="3" borderId="0" xfId="2" applyBorder="1"/>
    <xf numFmtId="0" fontId="2" fillId="3" borderId="0" xfId="2"/>
    <xf numFmtId="0" fontId="0" fillId="0" borderId="2" xfId="0" applyBorder="1"/>
    <xf numFmtId="9" fontId="2" fillId="3" borderId="0" xfId="2" applyNumberFormat="1" applyBorder="1"/>
    <xf numFmtId="8" fontId="14" fillId="0" borderId="12" xfId="0" applyNumberFormat="1" applyFont="1" applyBorder="1"/>
    <xf numFmtId="168" fontId="15" fillId="0" borderId="12" xfId="0" applyNumberFormat="1" applyFont="1" applyBorder="1"/>
    <xf numFmtId="6" fontId="16" fillId="0" borderId="14" xfId="0" applyNumberFormat="1" applyFont="1" applyBorder="1"/>
    <xf numFmtId="169" fontId="16" fillId="0" borderId="2" xfId="0" applyNumberFormat="1" applyFont="1" applyBorder="1"/>
    <xf numFmtId="168" fontId="17" fillId="0" borderId="2" xfId="0" applyNumberFormat="1" applyFont="1" applyBorder="1"/>
    <xf numFmtId="0" fontId="12" fillId="0" borderId="10" xfId="0" applyFont="1" applyBorder="1"/>
    <xf numFmtId="0" fontId="12" fillId="0" borderId="2" xfId="0" applyFont="1" applyBorder="1"/>
    <xf numFmtId="6" fontId="16" fillId="0" borderId="12" xfId="0" applyNumberFormat="1" applyFont="1" applyBorder="1"/>
    <xf numFmtId="6" fontId="16" fillId="0" borderId="13" xfId="0" applyNumberFormat="1" applyFont="1" applyBorder="1"/>
    <xf numFmtId="9" fontId="18" fillId="0" borderId="13" xfId="0" applyNumberFormat="1" applyFont="1" applyBorder="1"/>
    <xf numFmtId="168" fontId="16" fillId="0" borderId="2" xfId="0" applyNumberFormat="1" applyFont="1" applyBorder="1"/>
    <xf numFmtId="0" fontId="19" fillId="0" borderId="12" xfId="0" applyFont="1" applyBorder="1"/>
    <xf numFmtId="164" fontId="14" fillId="0" borderId="2" xfId="0" applyNumberFormat="1" applyFont="1" applyBorder="1"/>
    <xf numFmtId="169" fontId="14" fillId="0" borderId="2" xfId="0" applyNumberFormat="1" applyFont="1" applyBorder="1"/>
    <xf numFmtId="9" fontId="15" fillId="0" borderId="2" xfId="0" applyNumberFormat="1" applyFont="1" applyBorder="1"/>
    <xf numFmtId="169" fontId="15" fillId="0" borderId="2" xfId="0" applyNumberFormat="1" applyFont="1" applyBorder="1"/>
    <xf numFmtId="0" fontId="19" fillId="0" borderId="5" xfId="0" applyFont="1" applyBorder="1"/>
    <xf numFmtId="165" fontId="2" fillId="3" borderId="0" xfId="2" applyNumberFormat="1"/>
    <xf numFmtId="8" fontId="14" fillId="0" borderId="2" xfId="0" applyNumberFormat="1" applyFont="1" applyBorder="1"/>
    <xf numFmtId="6" fontId="14" fillId="0" borderId="2" xfId="0" applyNumberFormat="1" applyFont="1" applyBorder="1"/>
    <xf numFmtId="165" fontId="4" fillId="0" borderId="2" xfId="0" applyNumberFormat="1" applyFont="1" applyBorder="1"/>
    <xf numFmtId="6" fontId="15" fillId="0" borderId="2" xfId="0" applyNumberFormat="1" applyFont="1" applyBorder="1"/>
    <xf numFmtId="6" fontId="4" fillId="0" borderId="2" xfId="0" applyNumberFormat="1" applyFont="1" applyBorder="1"/>
    <xf numFmtId="6" fontId="0" fillId="0" borderId="10" xfId="0" applyNumberFormat="1" applyBorder="1"/>
    <xf numFmtId="6" fontId="0" fillId="0" borderId="7" xfId="0" applyNumberFormat="1" applyBorder="1"/>
    <xf numFmtId="0" fontId="0" fillId="0" borderId="15" xfId="0" applyBorder="1"/>
    <xf numFmtId="0" fontId="0" fillId="0" borderId="16" xfId="0" applyBorder="1"/>
    <xf numFmtId="170" fontId="0" fillId="0" borderId="8" xfId="0" applyNumberFormat="1" applyBorder="1"/>
    <xf numFmtId="170" fontId="0" fillId="0" borderId="4" xfId="0" applyNumberFormat="1" applyBorder="1"/>
    <xf numFmtId="170" fontId="0" fillId="0" borderId="0" xfId="0" applyNumberFormat="1"/>
    <xf numFmtId="6" fontId="20" fillId="0" borderId="4" xfId="0" applyNumberFormat="1" applyFont="1" applyBorder="1"/>
    <xf numFmtId="6" fontId="20" fillId="0" borderId="0" xfId="0" applyNumberFormat="1" applyFont="1"/>
    <xf numFmtId="6" fontId="0" fillId="0" borderId="0" xfId="0" applyNumberFormat="1"/>
    <xf numFmtId="0" fontId="20" fillId="0" borderId="16" xfId="0" quotePrefix="1" applyFont="1" applyBorder="1"/>
    <xf numFmtId="0" fontId="4" fillId="0" borderId="16" xfId="0" applyFont="1" applyBorder="1"/>
    <xf numFmtId="169" fontId="0" fillId="0" borderId="4" xfId="0" applyNumberFormat="1" applyBorder="1"/>
    <xf numFmtId="169" fontId="0" fillId="0" borderId="0" xfId="0" applyNumberFormat="1"/>
    <xf numFmtId="6" fontId="0" fillId="0" borderId="6" xfId="0" applyNumberFormat="1" applyBorder="1"/>
    <xf numFmtId="6" fontId="0" fillId="0" borderId="8" xfId="0" applyNumberFormat="1" applyBorder="1"/>
    <xf numFmtId="6" fontId="0" fillId="0" borderId="4" xfId="0" applyNumberFormat="1" applyBorder="1"/>
    <xf numFmtId="0" fontId="4" fillId="0" borderId="6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21" fillId="0" borderId="0" xfId="0" applyFont="1"/>
  </cellXfs>
  <cellStyles count="9">
    <cellStyle name="Followed Hyperlink" xfId="5" builtinId="9" hidden="1"/>
    <cellStyle name="Followed Hyperlink" xfId="7" builtinId="9" hidden="1"/>
    <cellStyle name="Good" xfId="1" builtinId="26"/>
    <cellStyle name="Hyperlink" xfId="4" builtinId="8" hidden="1"/>
    <cellStyle name="Hyperlink" xfId="6" builtinId="8" hidden="1"/>
    <cellStyle name="Input" xfId="3" builtinId="20"/>
    <cellStyle name="Neutral" xfId="2" builtinId="28"/>
    <cellStyle name="Normal" xfId="0" builtinId="0"/>
    <cellStyle name="Percent" xfId="8" builtinId="5"/>
  </cellStyles>
  <dxfs count="8">
    <dxf>
      <font>
        <b/>
        <i val="0"/>
        <color rgb="FF00B050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Year</a:t>
            </a:r>
            <a:r>
              <a:rPr lang="en-US" baseline="0"/>
              <a:t> End Metrics by Option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to Powerpoint'!$A$2</c:f>
              <c:strCache>
                <c:ptCount val="1"/>
                <c:pt idx="0">
                  <c:v>Option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'Data to Powerpoint'!$B$1:$E$1</c:f>
              <c:strCache>
                <c:ptCount val="4"/>
                <c:pt idx="0">
                  <c:v>Profit, Conversion Year</c:v>
                </c:pt>
                <c:pt idx="1">
                  <c:v>Cash Flow, Conversion Year</c:v>
                </c:pt>
                <c:pt idx="2">
                  <c:v>Profit, After Conversion</c:v>
                </c:pt>
                <c:pt idx="3">
                  <c:v>Cash Flow, After Conversion </c:v>
                </c:pt>
              </c:strCache>
            </c:strRef>
          </c:cat>
          <c:val>
            <c:numRef>
              <c:f>'Data to Powerpoint'!$B$2:$E$2</c:f>
              <c:numCache>
                <c:formatCode>General</c:formatCode>
                <c:ptCount val="4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D3-422B-881D-4B71E808A716}"/>
            </c:ext>
          </c:extLst>
        </c:ser>
        <c:ser>
          <c:idx val="1"/>
          <c:order val="1"/>
          <c:tx>
            <c:strRef>
              <c:f>'Data to Powerpoint'!$A$3</c:f>
              <c:strCache>
                <c:ptCount val="1"/>
                <c:pt idx="0">
                  <c:v>Option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'Data to Powerpoint'!$B$1:$E$1</c:f>
              <c:strCache>
                <c:ptCount val="4"/>
                <c:pt idx="0">
                  <c:v>Profit, Conversion Year</c:v>
                </c:pt>
                <c:pt idx="1">
                  <c:v>Cash Flow, Conversion Year</c:v>
                </c:pt>
                <c:pt idx="2">
                  <c:v>Profit, After Conversion</c:v>
                </c:pt>
                <c:pt idx="3">
                  <c:v>Cash Flow, After Conversion </c:v>
                </c:pt>
              </c:strCache>
            </c:strRef>
          </c:cat>
          <c:val>
            <c:numRef>
              <c:f>'Data to Powerpoint'!$B$3:$E$3</c:f>
              <c:numCache>
                <c:formatCode>General</c:formatCode>
                <c:ptCount val="4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D3-422B-881D-4B71E808A716}"/>
            </c:ext>
          </c:extLst>
        </c:ser>
        <c:ser>
          <c:idx val="2"/>
          <c:order val="2"/>
          <c:tx>
            <c:strRef>
              <c:f>'Data to Powerpoint'!$A$4</c:f>
              <c:strCache>
                <c:ptCount val="1"/>
                <c:pt idx="0">
                  <c:v>Option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'Data to Powerpoint'!$B$1:$E$1</c:f>
              <c:strCache>
                <c:ptCount val="4"/>
                <c:pt idx="0">
                  <c:v>Profit, Conversion Year</c:v>
                </c:pt>
                <c:pt idx="1">
                  <c:v>Cash Flow, Conversion Year</c:v>
                </c:pt>
                <c:pt idx="2">
                  <c:v>Profit, After Conversion</c:v>
                </c:pt>
                <c:pt idx="3">
                  <c:v>Cash Flow, After Conversion </c:v>
                </c:pt>
              </c:strCache>
            </c:strRef>
          </c:cat>
          <c:val>
            <c:numRef>
              <c:f>'Data to Powerpoint'!$B$4:$E$4</c:f>
              <c:numCache>
                <c:formatCode>General</c:formatCode>
                <c:ptCount val="4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D3-422B-881D-4B71E808A7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0817248"/>
        <c:axId val="1060814752"/>
      </c:barChart>
      <c:catAx>
        <c:axId val="106081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0814752"/>
        <c:crosses val="autoZero"/>
        <c:auto val="1"/>
        <c:lblAlgn val="ctr"/>
        <c:lblOffset val="100"/>
        <c:noMultiLvlLbl val="0"/>
      </c:catAx>
      <c:valAx>
        <c:axId val="106081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081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</a:t>
            </a:r>
            <a:r>
              <a:rPr lang="en-US" baseline="0"/>
              <a:t> Profits by Option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to Powerpoint'!$A$16</c:f>
              <c:strCache>
                <c:ptCount val="1"/>
                <c:pt idx="0">
                  <c:v>Option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'Data to Powerpoint'!$B$15:$E$15</c:f>
              <c:strCache>
                <c:ptCount val="4"/>
                <c:pt idx="0">
                  <c:v>Year 0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</c:strCache>
            </c:strRef>
          </c:xVal>
          <c:yVal>
            <c:numRef>
              <c:f>'Data to Powerpoint'!$B$16:$E$16</c:f>
              <c:numCache>
                <c:formatCode>General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44-4BE5-AA3B-BD6EFD9E87AD}"/>
            </c:ext>
          </c:extLst>
        </c:ser>
        <c:ser>
          <c:idx val="1"/>
          <c:order val="1"/>
          <c:tx>
            <c:strRef>
              <c:f>'Data to Powerpoint'!$A$17</c:f>
              <c:strCache>
                <c:ptCount val="1"/>
                <c:pt idx="0">
                  <c:v>Option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'Data to Powerpoint'!$B$15:$E$15</c:f>
              <c:strCache>
                <c:ptCount val="4"/>
                <c:pt idx="0">
                  <c:v>Year 0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</c:strCache>
            </c:strRef>
          </c:xVal>
          <c:yVal>
            <c:numRef>
              <c:f>'Data to Powerpoint'!$B$17:$E$17</c:f>
              <c:numCache>
                <c:formatCode>General</c:formatCode>
                <c:ptCount val="4"/>
                <c:pt idx="0">
                  <c:v>6</c:v>
                </c:pt>
                <c:pt idx="1">
                  <c:v>11</c:v>
                </c:pt>
                <c:pt idx="2">
                  <c:v>16</c:v>
                </c:pt>
                <c:pt idx="3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44-4BE5-AA3B-BD6EFD9E87AD}"/>
            </c:ext>
          </c:extLst>
        </c:ser>
        <c:ser>
          <c:idx val="2"/>
          <c:order val="2"/>
          <c:tx>
            <c:strRef>
              <c:f>'Data to Powerpoint'!$A$18</c:f>
              <c:strCache>
                <c:ptCount val="1"/>
                <c:pt idx="0">
                  <c:v>Option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'Data to Powerpoint'!$B$15:$E$15</c:f>
              <c:strCache>
                <c:ptCount val="4"/>
                <c:pt idx="0">
                  <c:v>Year 0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</c:strCache>
            </c:strRef>
          </c:xVal>
          <c:yVal>
            <c:numRef>
              <c:f>'Data to Powerpoint'!$B$18:$E$18</c:f>
              <c:numCache>
                <c:formatCode>General</c:formatCode>
                <c:ptCount val="4"/>
                <c:pt idx="0">
                  <c:v>4</c:v>
                </c:pt>
                <c:pt idx="1">
                  <c:v>9</c:v>
                </c:pt>
                <c:pt idx="2">
                  <c:v>14</c:v>
                </c:pt>
                <c:pt idx="3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44-4BE5-AA3B-BD6EFD9E8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5024032"/>
        <c:axId val="1185000320"/>
      </c:scatterChart>
      <c:valAx>
        <c:axId val="118502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000320"/>
        <c:crosses val="autoZero"/>
        <c:crossBetween val="midCat"/>
      </c:valAx>
      <c:valAx>
        <c:axId val="118500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02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</a:t>
            </a:r>
            <a:r>
              <a:rPr lang="en-US" baseline="0"/>
              <a:t> to Occupancy Rates</a:t>
            </a:r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36148916116870877"/>
          <c:y val="4.31432973805855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'1 - First Best-Fit Line'!$J$4:$J$247</c:f>
              <c:numCache>
                <c:formatCode>General</c:formatCode>
                <c:ptCount val="244"/>
                <c:pt idx="0">
                  <c:v>148</c:v>
                </c:pt>
                <c:pt idx="1">
                  <c:v>133</c:v>
                </c:pt>
                <c:pt idx="2">
                  <c:v>372</c:v>
                </c:pt>
                <c:pt idx="3">
                  <c:v>302</c:v>
                </c:pt>
                <c:pt idx="4">
                  <c:v>429</c:v>
                </c:pt>
                <c:pt idx="5">
                  <c:v>380</c:v>
                </c:pt>
                <c:pt idx="6">
                  <c:v>374</c:v>
                </c:pt>
                <c:pt idx="7">
                  <c:v>386</c:v>
                </c:pt>
                <c:pt idx="8">
                  <c:v>212</c:v>
                </c:pt>
                <c:pt idx="9">
                  <c:v>969</c:v>
                </c:pt>
                <c:pt idx="10">
                  <c:v>885</c:v>
                </c:pt>
                <c:pt idx="11">
                  <c:v>287</c:v>
                </c:pt>
                <c:pt idx="12">
                  <c:v>206</c:v>
                </c:pt>
                <c:pt idx="13">
                  <c:v>462</c:v>
                </c:pt>
                <c:pt idx="14">
                  <c:v>389</c:v>
                </c:pt>
                <c:pt idx="15">
                  <c:v>678</c:v>
                </c:pt>
                <c:pt idx="16">
                  <c:v>163</c:v>
                </c:pt>
                <c:pt idx="17">
                  <c:v>374</c:v>
                </c:pt>
                <c:pt idx="18">
                  <c:v>444</c:v>
                </c:pt>
                <c:pt idx="19">
                  <c:v>426</c:v>
                </c:pt>
                <c:pt idx="20">
                  <c:v>332</c:v>
                </c:pt>
                <c:pt idx="21">
                  <c:v>430</c:v>
                </c:pt>
                <c:pt idx="22">
                  <c:v>662</c:v>
                </c:pt>
                <c:pt idx="23">
                  <c:v>186</c:v>
                </c:pt>
                <c:pt idx="24">
                  <c:v>696</c:v>
                </c:pt>
                <c:pt idx="25">
                  <c:v>182</c:v>
                </c:pt>
                <c:pt idx="26">
                  <c:v>241</c:v>
                </c:pt>
                <c:pt idx="27">
                  <c:v>363</c:v>
                </c:pt>
                <c:pt idx="28">
                  <c:v>301</c:v>
                </c:pt>
                <c:pt idx="29">
                  <c:v>212</c:v>
                </c:pt>
                <c:pt idx="30">
                  <c:v>340</c:v>
                </c:pt>
                <c:pt idx="31">
                  <c:v>266</c:v>
                </c:pt>
                <c:pt idx="32">
                  <c:v>442</c:v>
                </c:pt>
                <c:pt idx="33">
                  <c:v>354</c:v>
                </c:pt>
                <c:pt idx="34">
                  <c:v>123</c:v>
                </c:pt>
                <c:pt idx="35">
                  <c:v>377</c:v>
                </c:pt>
                <c:pt idx="36">
                  <c:v>318</c:v>
                </c:pt>
                <c:pt idx="37">
                  <c:v>198</c:v>
                </c:pt>
                <c:pt idx="38">
                  <c:v>149</c:v>
                </c:pt>
                <c:pt idx="39">
                  <c:v>210</c:v>
                </c:pt>
                <c:pt idx="40">
                  <c:v>187</c:v>
                </c:pt>
                <c:pt idx="41">
                  <c:v>225</c:v>
                </c:pt>
                <c:pt idx="42">
                  <c:v>123</c:v>
                </c:pt>
                <c:pt idx="43">
                  <c:v>263</c:v>
                </c:pt>
                <c:pt idx="44">
                  <c:v>238</c:v>
                </c:pt>
                <c:pt idx="45">
                  <c:v>146</c:v>
                </c:pt>
                <c:pt idx="46">
                  <c:v>349</c:v>
                </c:pt>
                <c:pt idx="47">
                  <c:v>147</c:v>
                </c:pt>
                <c:pt idx="48">
                  <c:v>151</c:v>
                </c:pt>
                <c:pt idx="49">
                  <c:v>429</c:v>
                </c:pt>
                <c:pt idx="50">
                  <c:v>441</c:v>
                </c:pt>
                <c:pt idx="51">
                  <c:v>144</c:v>
                </c:pt>
                <c:pt idx="52">
                  <c:v>136</c:v>
                </c:pt>
                <c:pt idx="53">
                  <c:v>305</c:v>
                </c:pt>
                <c:pt idx="54">
                  <c:v>425</c:v>
                </c:pt>
                <c:pt idx="55">
                  <c:v>176</c:v>
                </c:pt>
                <c:pt idx="56">
                  <c:v>169</c:v>
                </c:pt>
                <c:pt idx="57">
                  <c:v>207</c:v>
                </c:pt>
                <c:pt idx="58">
                  <c:v>244</c:v>
                </c:pt>
                <c:pt idx="59">
                  <c:v>536</c:v>
                </c:pt>
                <c:pt idx="60">
                  <c:v>476</c:v>
                </c:pt>
                <c:pt idx="61">
                  <c:v>360</c:v>
                </c:pt>
                <c:pt idx="62">
                  <c:v>1477</c:v>
                </c:pt>
                <c:pt idx="63">
                  <c:v>1265</c:v>
                </c:pt>
                <c:pt idx="64">
                  <c:v>328</c:v>
                </c:pt>
                <c:pt idx="65">
                  <c:v>246</c:v>
                </c:pt>
                <c:pt idx="66">
                  <c:v>325</c:v>
                </c:pt>
                <c:pt idx="67">
                  <c:v>94</c:v>
                </c:pt>
                <c:pt idx="68">
                  <c:v>428</c:v>
                </c:pt>
                <c:pt idx="69">
                  <c:v>188</c:v>
                </c:pt>
                <c:pt idx="70">
                  <c:v>274</c:v>
                </c:pt>
                <c:pt idx="71">
                  <c:v>860</c:v>
                </c:pt>
                <c:pt idx="72">
                  <c:v>729</c:v>
                </c:pt>
                <c:pt idx="73">
                  <c:v>174</c:v>
                </c:pt>
                <c:pt idx="74">
                  <c:v>308</c:v>
                </c:pt>
                <c:pt idx="75">
                  <c:v>308</c:v>
                </c:pt>
                <c:pt idx="76">
                  <c:v>342</c:v>
                </c:pt>
                <c:pt idx="77">
                  <c:v>229</c:v>
                </c:pt>
                <c:pt idx="78">
                  <c:v>392</c:v>
                </c:pt>
                <c:pt idx="79">
                  <c:v>322</c:v>
                </c:pt>
                <c:pt idx="80">
                  <c:v>257</c:v>
                </c:pt>
                <c:pt idx="81">
                  <c:v>286</c:v>
                </c:pt>
                <c:pt idx="82">
                  <c:v>180</c:v>
                </c:pt>
                <c:pt idx="83">
                  <c:v>230</c:v>
                </c:pt>
                <c:pt idx="84">
                  <c:v>221</c:v>
                </c:pt>
                <c:pt idx="85">
                  <c:v>316</c:v>
                </c:pt>
                <c:pt idx="86">
                  <c:v>245</c:v>
                </c:pt>
                <c:pt idx="87">
                  <c:v>266</c:v>
                </c:pt>
                <c:pt idx="88">
                  <c:v>325</c:v>
                </c:pt>
                <c:pt idx="89">
                  <c:v>393</c:v>
                </c:pt>
                <c:pt idx="90">
                  <c:v>256</c:v>
                </c:pt>
                <c:pt idx="91">
                  <c:v>184</c:v>
                </c:pt>
                <c:pt idx="92">
                  <c:v>427</c:v>
                </c:pt>
                <c:pt idx="93">
                  <c:v>418</c:v>
                </c:pt>
                <c:pt idx="94">
                  <c:v>219</c:v>
                </c:pt>
                <c:pt idx="95">
                  <c:v>220</c:v>
                </c:pt>
                <c:pt idx="96">
                  <c:v>481</c:v>
                </c:pt>
                <c:pt idx="97">
                  <c:v>280</c:v>
                </c:pt>
                <c:pt idx="98">
                  <c:v>568</c:v>
                </c:pt>
                <c:pt idx="99">
                  <c:v>318</c:v>
                </c:pt>
                <c:pt idx="100">
                  <c:v>556</c:v>
                </c:pt>
                <c:pt idx="101">
                  <c:v>538</c:v>
                </c:pt>
                <c:pt idx="102">
                  <c:v>318</c:v>
                </c:pt>
                <c:pt idx="103">
                  <c:v>680</c:v>
                </c:pt>
                <c:pt idx="104">
                  <c:v>202</c:v>
                </c:pt>
                <c:pt idx="105">
                  <c:v>579</c:v>
                </c:pt>
                <c:pt idx="106">
                  <c:v>524</c:v>
                </c:pt>
                <c:pt idx="107">
                  <c:v>560</c:v>
                </c:pt>
                <c:pt idx="108">
                  <c:v>362</c:v>
                </c:pt>
                <c:pt idx="109">
                  <c:v>417</c:v>
                </c:pt>
                <c:pt idx="110">
                  <c:v>474</c:v>
                </c:pt>
                <c:pt idx="111">
                  <c:v>146</c:v>
                </c:pt>
                <c:pt idx="112">
                  <c:v>312</c:v>
                </c:pt>
                <c:pt idx="113">
                  <c:v>491</c:v>
                </c:pt>
                <c:pt idx="114">
                  <c:v>204</c:v>
                </c:pt>
                <c:pt idx="115">
                  <c:v>245</c:v>
                </c:pt>
                <c:pt idx="116">
                  <c:v>197</c:v>
                </c:pt>
                <c:pt idx="117">
                  <c:v>195</c:v>
                </c:pt>
                <c:pt idx="118">
                  <c:v>124</c:v>
                </c:pt>
                <c:pt idx="119">
                  <c:v>156</c:v>
                </c:pt>
                <c:pt idx="120">
                  <c:v>256</c:v>
                </c:pt>
                <c:pt idx="121">
                  <c:v>284</c:v>
                </c:pt>
                <c:pt idx="122">
                  <c:v>128</c:v>
                </c:pt>
                <c:pt idx="123">
                  <c:v>337</c:v>
                </c:pt>
                <c:pt idx="124">
                  <c:v>139</c:v>
                </c:pt>
                <c:pt idx="125">
                  <c:v>240</c:v>
                </c:pt>
                <c:pt idx="126">
                  <c:v>249</c:v>
                </c:pt>
                <c:pt idx="127">
                  <c:v>107</c:v>
                </c:pt>
                <c:pt idx="128">
                  <c:v>147</c:v>
                </c:pt>
                <c:pt idx="129">
                  <c:v>246</c:v>
                </c:pt>
                <c:pt idx="130">
                  <c:v>169</c:v>
                </c:pt>
                <c:pt idx="131">
                  <c:v>174</c:v>
                </c:pt>
                <c:pt idx="132">
                  <c:v>203</c:v>
                </c:pt>
                <c:pt idx="133">
                  <c:v>240</c:v>
                </c:pt>
                <c:pt idx="134">
                  <c:v>389</c:v>
                </c:pt>
                <c:pt idx="135">
                  <c:v>312</c:v>
                </c:pt>
                <c:pt idx="136">
                  <c:v>111</c:v>
                </c:pt>
                <c:pt idx="137">
                  <c:v>169</c:v>
                </c:pt>
                <c:pt idx="138">
                  <c:v>201</c:v>
                </c:pt>
                <c:pt idx="139">
                  <c:v>242</c:v>
                </c:pt>
                <c:pt idx="140">
                  <c:v>158</c:v>
                </c:pt>
                <c:pt idx="141">
                  <c:v>246</c:v>
                </c:pt>
                <c:pt idx="142">
                  <c:v>207</c:v>
                </c:pt>
                <c:pt idx="143">
                  <c:v>224</c:v>
                </c:pt>
                <c:pt idx="144">
                  <c:v>139</c:v>
                </c:pt>
                <c:pt idx="145">
                  <c:v>325</c:v>
                </c:pt>
                <c:pt idx="146">
                  <c:v>283</c:v>
                </c:pt>
                <c:pt idx="147">
                  <c:v>192</c:v>
                </c:pt>
                <c:pt idx="148">
                  <c:v>307</c:v>
                </c:pt>
                <c:pt idx="149">
                  <c:v>180</c:v>
                </c:pt>
                <c:pt idx="150">
                  <c:v>260</c:v>
                </c:pt>
                <c:pt idx="151">
                  <c:v>232</c:v>
                </c:pt>
                <c:pt idx="152">
                  <c:v>292</c:v>
                </c:pt>
                <c:pt idx="153">
                  <c:v>169</c:v>
                </c:pt>
                <c:pt idx="154">
                  <c:v>189</c:v>
                </c:pt>
                <c:pt idx="155">
                  <c:v>289</c:v>
                </c:pt>
                <c:pt idx="156">
                  <c:v>239</c:v>
                </c:pt>
                <c:pt idx="157">
                  <c:v>278</c:v>
                </c:pt>
                <c:pt idx="158">
                  <c:v>183</c:v>
                </c:pt>
                <c:pt idx="159">
                  <c:v>237</c:v>
                </c:pt>
                <c:pt idx="160">
                  <c:v>297</c:v>
                </c:pt>
                <c:pt idx="161">
                  <c:v>360</c:v>
                </c:pt>
                <c:pt idx="162">
                  <c:v>209</c:v>
                </c:pt>
                <c:pt idx="163">
                  <c:v>265</c:v>
                </c:pt>
                <c:pt idx="164">
                  <c:v>435</c:v>
                </c:pt>
                <c:pt idx="165">
                  <c:v>487</c:v>
                </c:pt>
                <c:pt idx="166">
                  <c:v>231</c:v>
                </c:pt>
                <c:pt idx="167">
                  <c:v>199</c:v>
                </c:pt>
                <c:pt idx="168">
                  <c:v>490</c:v>
                </c:pt>
                <c:pt idx="169">
                  <c:v>538</c:v>
                </c:pt>
                <c:pt idx="170">
                  <c:v>288</c:v>
                </c:pt>
                <c:pt idx="171">
                  <c:v>415</c:v>
                </c:pt>
                <c:pt idx="172">
                  <c:v>387</c:v>
                </c:pt>
                <c:pt idx="173">
                  <c:v>575</c:v>
                </c:pt>
                <c:pt idx="174">
                  <c:v>228</c:v>
                </c:pt>
                <c:pt idx="175">
                  <c:v>337</c:v>
                </c:pt>
                <c:pt idx="176">
                  <c:v>154</c:v>
                </c:pt>
                <c:pt idx="177">
                  <c:v>432</c:v>
                </c:pt>
                <c:pt idx="178">
                  <c:v>104</c:v>
                </c:pt>
                <c:pt idx="179">
                  <c:v>200</c:v>
                </c:pt>
                <c:pt idx="180">
                  <c:v>428</c:v>
                </c:pt>
                <c:pt idx="181">
                  <c:v>576</c:v>
                </c:pt>
                <c:pt idx="182">
                  <c:v>560</c:v>
                </c:pt>
                <c:pt idx="183">
                  <c:v>288</c:v>
                </c:pt>
                <c:pt idx="184">
                  <c:v>373</c:v>
                </c:pt>
                <c:pt idx="185">
                  <c:v>420</c:v>
                </c:pt>
                <c:pt idx="186">
                  <c:v>593</c:v>
                </c:pt>
                <c:pt idx="187">
                  <c:v>436</c:v>
                </c:pt>
                <c:pt idx="188">
                  <c:v>426</c:v>
                </c:pt>
                <c:pt idx="189">
                  <c:v>142</c:v>
                </c:pt>
                <c:pt idx="190">
                  <c:v>621</c:v>
                </c:pt>
                <c:pt idx="191">
                  <c:v>535</c:v>
                </c:pt>
                <c:pt idx="192">
                  <c:v>196</c:v>
                </c:pt>
                <c:pt idx="193">
                  <c:v>294</c:v>
                </c:pt>
                <c:pt idx="194">
                  <c:v>471</c:v>
                </c:pt>
                <c:pt idx="195">
                  <c:v>620</c:v>
                </c:pt>
                <c:pt idx="196">
                  <c:v>235</c:v>
                </c:pt>
                <c:pt idx="197">
                  <c:v>284</c:v>
                </c:pt>
                <c:pt idx="198">
                  <c:v>355</c:v>
                </c:pt>
                <c:pt idx="199">
                  <c:v>436</c:v>
                </c:pt>
                <c:pt idx="200">
                  <c:v>141</c:v>
                </c:pt>
                <c:pt idx="201">
                  <c:v>250</c:v>
                </c:pt>
                <c:pt idx="202">
                  <c:v>443</c:v>
                </c:pt>
                <c:pt idx="203">
                  <c:v>343</c:v>
                </c:pt>
                <c:pt idx="204">
                  <c:v>739</c:v>
                </c:pt>
                <c:pt idx="205">
                  <c:v>270</c:v>
                </c:pt>
                <c:pt idx="206">
                  <c:v>424</c:v>
                </c:pt>
                <c:pt idx="207">
                  <c:v>980</c:v>
                </c:pt>
                <c:pt idx="208">
                  <c:v>994</c:v>
                </c:pt>
                <c:pt idx="209">
                  <c:v>284</c:v>
                </c:pt>
                <c:pt idx="210">
                  <c:v>236</c:v>
                </c:pt>
                <c:pt idx="211">
                  <c:v>188</c:v>
                </c:pt>
                <c:pt idx="212">
                  <c:v>329</c:v>
                </c:pt>
                <c:pt idx="213">
                  <c:v>549</c:v>
                </c:pt>
                <c:pt idx="214">
                  <c:v>652</c:v>
                </c:pt>
                <c:pt idx="215">
                  <c:v>378</c:v>
                </c:pt>
                <c:pt idx="216">
                  <c:v>255</c:v>
                </c:pt>
                <c:pt idx="217">
                  <c:v>441</c:v>
                </c:pt>
                <c:pt idx="218">
                  <c:v>356</c:v>
                </c:pt>
                <c:pt idx="219">
                  <c:v>437</c:v>
                </c:pt>
                <c:pt idx="220">
                  <c:v>461</c:v>
                </c:pt>
                <c:pt idx="221">
                  <c:v>669</c:v>
                </c:pt>
                <c:pt idx="222">
                  <c:v>121</c:v>
                </c:pt>
                <c:pt idx="223">
                  <c:v>437</c:v>
                </c:pt>
                <c:pt idx="224">
                  <c:v>663</c:v>
                </c:pt>
                <c:pt idx="225">
                  <c:v>337</c:v>
                </c:pt>
                <c:pt idx="226">
                  <c:v>447</c:v>
                </c:pt>
                <c:pt idx="227">
                  <c:v>610</c:v>
                </c:pt>
                <c:pt idx="228">
                  <c:v>302</c:v>
                </c:pt>
                <c:pt idx="229">
                  <c:v>213</c:v>
                </c:pt>
                <c:pt idx="230">
                  <c:v>364</c:v>
                </c:pt>
                <c:pt idx="231">
                  <c:v>251</c:v>
                </c:pt>
                <c:pt idx="232">
                  <c:v>343</c:v>
                </c:pt>
                <c:pt idx="233">
                  <c:v>125</c:v>
                </c:pt>
                <c:pt idx="234">
                  <c:v>251</c:v>
                </c:pt>
                <c:pt idx="235">
                  <c:v>404</c:v>
                </c:pt>
                <c:pt idx="236">
                  <c:v>161</c:v>
                </c:pt>
                <c:pt idx="237">
                  <c:v>408</c:v>
                </c:pt>
                <c:pt idx="238">
                  <c:v>284</c:v>
                </c:pt>
                <c:pt idx="239">
                  <c:v>443</c:v>
                </c:pt>
                <c:pt idx="240">
                  <c:v>718</c:v>
                </c:pt>
                <c:pt idx="241">
                  <c:v>478</c:v>
                </c:pt>
                <c:pt idx="242">
                  <c:v>533</c:v>
                </c:pt>
                <c:pt idx="243">
                  <c:v>566</c:v>
                </c:pt>
              </c:numCache>
            </c:numRef>
          </c:xVal>
          <c:yVal>
            <c:numRef>
              <c:f>'1 - First Best-Fit Line'!$K$4:$K$247</c:f>
              <c:numCache>
                <c:formatCode>0.00</c:formatCode>
                <c:ptCount val="244"/>
                <c:pt idx="0">
                  <c:v>0.16159999999999999</c:v>
                </c:pt>
                <c:pt idx="1">
                  <c:v>0.34789999999999999</c:v>
                </c:pt>
                <c:pt idx="2">
                  <c:v>0.39729999999999999</c:v>
                </c:pt>
                <c:pt idx="3">
                  <c:v>0.3644</c:v>
                </c:pt>
                <c:pt idx="4">
                  <c:v>0.41099999999999998</c:v>
                </c:pt>
                <c:pt idx="5">
                  <c:v>0.41099999999999998</c:v>
                </c:pt>
                <c:pt idx="6">
                  <c:v>0.52600000000000002</c:v>
                </c:pt>
                <c:pt idx="7">
                  <c:v>0.43290000000000001</c:v>
                </c:pt>
                <c:pt idx="8">
                  <c:v>0.69589999999999996</c:v>
                </c:pt>
                <c:pt idx="9">
                  <c:v>0.1096</c:v>
                </c:pt>
                <c:pt idx="10">
                  <c:v>0.22470000000000001</c:v>
                </c:pt>
                <c:pt idx="11">
                  <c:v>0.21920000000000001</c:v>
                </c:pt>
                <c:pt idx="12">
                  <c:v>0.39179999999999998</c:v>
                </c:pt>
                <c:pt idx="13">
                  <c:v>0.53700000000000003</c:v>
                </c:pt>
                <c:pt idx="14">
                  <c:v>0.51229999999999998</c:v>
                </c:pt>
                <c:pt idx="15">
                  <c:v>0.36159999999999998</c:v>
                </c:pt>
                <c:pt idx="16">
                  <c:v>0.84379999999999999</c:v>
                </c:pt>
                <c:pt idx="17">
                  <c:v>0.91510000000000002</c:v>
                </c:pt>
                <c:pt idx="18">
                  <c:v>0.43009999999999998</c:v>
                </c:pt>
                <c:pt idx="19">
                  <c:v>0.48220000000000002</c:v>
                </c:pt>
                <c:pt idx="20">
                  <c:v>0.4904</c:v>
                </c:pt>
                <c:pt idx="21">
                  <c:v>0.52329999999999999</c:v>
                </c:pt>
                <c:pt idx="22">
                  <c:v>0.44929999999999998</c:v>
                </c:pt>
                <c:pt idx="23">
                  <c:v>0.6603</c:v>
                </c:pt>
                <c:pt idx="24">
                  <c:v>0.48770000000000002</c:v>
                </c:pt>
                <c:pt idx="25">
                  <c:v>0.43840000000000001</c:v>
                </c:pt>
                <c:pt idx="26">
                  <c:v>0.53149999999999997</c:v>
                </c:pt>
                <c:pt idx="27">
                  <c:v>0.13969999999999999</c:v>
                </c:pt>
                <c:pt idx="28">
                  <c:v>0.46850000000000003</c:v>
                </c:pt>
                <c:pt idx="29">
                  <c:v>0.50139999999999996</c:v>
                </c:pt>
                <c:pt idx="30">
                  <c:v>0.30680000000000002</c:v>
                </c:pt>
                <c:pt idx="31">
                  <c:v>0.52049999999999996</c:v>
                </c:pt>
                <c:pt idx="32">
                  <c:v>0.1288</c:v>
                </c:pt>
                <c:pt idx="33">
                  <c:v>0.24110000000000001</c:v>
                </c:pt>
                <c:pt idx="34">
                  <c:v>0.4521</c:v>
                </c:pt>
                <c:pt idx="35">
                  <c:v>0.47949999999999998</c:v>
                </c:pt>
                <c:pt idx="36">
                  <c:v>0.2712</c:v>
                </c:pt>
                <c:pt idx="37">
                  <c:v>0.43009999999999998</c:v>
                </c:pt>
                <c:pt idx="38">
                  <c:v>0.56710000000000005</c:v>
                </c:pt>
                <c:pt idx="39">
                  <c:v>0.32050000000000001</c:v>
                </c:pt>
                <c:pt idx="40">
                  <c:v>0.44929999999999998</c:v>
                </c:pt>
                <c:pt idx="41">
                  <c:v>0.50960000000000005</c:v>
                </c:pt>
                <c:pt idx="42">
                  <c:v>0.72050000000000003</c:v>
                </c:pt>
                <c:pt idx="43">
                  <c:v>0.49590000000000001</c:v>
                </c:pt>
                <c:pt idx="44">
                  <c:v>0.44929999999999998</c:v>
                </c:pt>
                <c:pt idx="45">
                  <c:v>0.53149999999999997</c:v>
                </c:pt>
                <c:pt idx="46">
                  <c:v>0.1507</c:v>
                </c:pt>
                <c:pt idx="47">
                  <c:v>0.6</c:v>
                </c:pt>
                <c:pt idx="48">
                  <c:v>0.52600000000000002</c:v>
                </c:pt>
                <c:pt idx="49">
                  <c:v>0.21099999999999999</c:v>
                </c:pt>
                <c:pt idx="50">
                  <c:v>0.33150000000000002</c:v>
                </c:pt>
                <c:pt idx="51">
                  <c:v>0.32879999999999998</c:v>
                </c:pt>
                <c:pt idx="52">
                  <c:v>0.61919999999999997</c:v>
                </c:pt>
                <c:pt idx="53">
                  <c:v>0.2712</c:v>
                </c:pt>
                <c:pt idx="54">
                  <c:v>0.32879999999999998</c:v>
                </c:pt>
                <c:pt idx="55">
                  <c:v>0.41370000000000001</c:v>
                </c:pt>
                <c:pt idx="56">
                  <c:v>0.47949999999999998</c:v>
                </c:pt>
                <c:pt idx="57">
                  <c:v>0.63009999999999999</c:v>
                </c:pt>
                <c:pt idx="58">
                  <c:v>0.90410000000000001</c:v>
                </c:pt>
                <c:pt idx="59">
                  <c:v>0.54249999999999998</c:v>
                </c:pt>
                <c:pt idx="60">
                  <c:v>7.9500000000000001E-2</c:v>
                </c:pt>
                <c:pt idx="61">
                  <c:v>0.55069999999999997</c:v>
                </c:pt>
                <c:pt idx="62">
                  <c:v>0.69320000000000004</c:v>
                </c:pt>
                <c:pt idx="63">
                  <c:v>0.71509999999999996</c:v>
                </c:pt>
                <c:pt idx="64">
                  <c:v>0.52049999999999996</c:v>
                </c:pt>
                <c:pt idx="65">
                  <c:v>0.15890000000000001</c:v>
                </c:pt>
                <c:pt idx="66">
                  <c:v>0.54520000000000002</c:v>
                </c:pt>
                <c:pt idx="67">
                  <c:v>0.47949999999999998</c:v>
                </c:pt>
                <c:pt idx="68">
                  <c:v>0.58630000000000004</c:v>
                </c:pt>
                <c:pt idx="69">
                  <c:v>0.67949999999999999</c:v>
                </c:pt>
                <c:pt idx="70">
                  <c:v>0.57809999999999995</c:v>
                </c:pt>
                <c:pt idx="71">
                  <c:v>0.41099999999999998</c:v>
                </c:pt>
                <c:pt idx="72">
                  <c:v>0.68220000000000003</c:v>
                </c:pt>
                <c:pt idx="73">
                  <c:v>0.82469999999999999</c:v>
                </c:pt>
                <c:pt idx="74">
                  <c:v>0.21640000000000001</c:v>
                </c:pt>
                <c:pt idx="75">
                  <c:v>0.6</c:v>
                </c:pt>
                <c:pt idx="76">
                  <c:v>0.39179999999999998</c:v>
                </c:pt>
                <c:pt idx="77">
                  <c:v>0.58899999999999997</c:v>
                </c:pt>
                <c:pt idx="78">
                  <c:v>0.29320000000000002</c:v>
                </c:pt>
                <c:pt idx="79">
                  <c:v>0.2712</c:v>
                </c:pt>
                <c:pt idx="80">
                  <c:v>0.55069999999999997</c:v>
                </c:pt>
                <c:pt idx="81">
                  <c:v>0.4521</c:v>
                </c:pt>
                <c:pt idx="82">
                  <c:v>0.51780000000000004</c:v>
                </c:pt>
                <c:pt idx="83">
                  <c:v>0.52049999999999996</c:v>
                </c:pt>
                <c:pt idx="84">
                  <c:v>0.63009999999999999</c:v>
                </c:pt>
                <c:pt idx="85">
                  <c:v>0.36990000000000001</c:v>
                </c:pt>
                <c:pt idx="86">
                  <c:v>0.56989999999999996</c:v>
                </c:pt>
                <c:pt idx="87">
                  <c:v>0.41920000000000002</c:v>
                </c:pt>
                <c:pt idx="88">
                  <c:v>0.45479999999999998</c:v>
                </c:pt>
                <c:pt idx="89">
                  <c:v>0.62190000000000001</c:v>
                </c:pt>
                <c:pt idx="90">
                  <c:v>0.70960000000000001</c:v>
                </c:pt>
                <c:pt idx="91">
                  <c:v>0.30959999999999999</c:v>
                </c:pt>
                <c:pt idx="92">
                  <c:v>0.24110000000000001</c:v>
                </c:pt>
                <c:pt idx="93">
                  <c:v>4.6600000000000003E-2</c:v>
                </c:pt>
                <c:pt idx="94">
                  <c:v>0.63560000000000005</c:v>
                </c:pt>
                <c:pt idx="95">
                  <c:v>0.43009999999999998</c:v>
                </c:pt>
                <c:pt idx="96">
                  <c:v>0.38080000000000003</c:v>
                </c:pt>
                <c:pt idx="97">
                  <c:v>0.45750000000000002</c:v>
                </c:pt>
                <c:pt idx="98">
                  <c:v>0.189</c:v>
                </c:pt>
                <c:pt idx="99">
                  <c:v>0.29039999999999999</c:v>
                </c:pt>
                <c:pt idx="100">
                  <c:v>0.29859999999999998</c:v>
                </c:pt>
                <c:pt idx="101">
                  <c:v>0.58079999999999998</c:v>
                </c:pt>
                <c:pt idx="102">
                  <c:v>0.39179999999999998</c:v>
                </c:pt>
                <c:pt idx="103">
                  <c:v>0.38629999999999998</c:v>
                </c:pt>
                <c:pt idx="104">
                  <c:v>0.48770000000000002</c:v>
                </c:pt>
                <c:pt idx="105">
                  <c:v>0.41099999999999998</c:v>
                </c:pt>
                <c:pt idx="106">
                  <c:v>0.50409999999999999</c:v>
                </c:pt>
                <c:pt idx="107">
                  <c:v>0.2767</c:v>
                </c:pt>
                <c:pt idx="108">
                  <c:v>0.32879999999999998</c:v>
                </c:pt>
                <c:pt idx="109">
                  <c:v>0.53149999999999997</c:v>
                </c:pt>
                <c:pt idx="110">
                  <c:v>0.4274</c:v>
                </c:pt>
                <c:pt idx="111">
                  <c:v>0.24110000000000001</c:v>
                </c:pt>
                <c:pt idx="112">
                  <c:v>0.41099999999999998</c:v>
                </c:pt>
                <c:pt idx="113">
                  <c:v>0.39729999999999999</c:v>
                </c:pt>
                <c:pt idx="114">
                  <c:v>0.79730000000000001</c:v>
                </c:pt>
                <c:pt idx="115">
                  <c:v>0.68769999999999998</c:v>
                </c:pt>
                <c:pt idx="116">
                  <c:v>0.58899999999999997</c:v>
                </c:pt>
                <c:pt idx="117">
                  <c:v>0.61919999999999997</c:v>
                </c:pt>
                <c:pt idx="118">
                  <c:v>0.45479999999999998</c:v>
                </c:pt>
                <c:pt idx="119">
                  <c:v>0.48770000000000002</c:v>
                </c:pt>
                <c:pt idx="120">
                  <c:v>0.47949999999999998</c:v>
                </c:pt>
                <c:pt idx="121">
                  <c:v>0.49320000000000003</c:v>
                </c:pt>
                <c:pt idx="122">
                  <c:v>0.36159999999999998</c:v>
                </c:pt>
                <c:pt idx="123">
                  <c:v>0.4219</c:v>
                </c:pt>
                <c:pt idx="124">
                  <c:v>0.74250000000000005</c:v>
                </c:pt>
                <c:pt idx="125">
                  <c:v>0.36990000000000001</c:v>
                </c:pt>
                <c:pt idx="126">
                  <c:v>0.44109999999999999</c:v>
                </c:pt>
                <c:pt idx="127">
                  <c:v>0.47949999999999998</c:v>
                </c:pt>
                <c:pt idx="128">
                  <c:v>0.41370000000000001</c:v>
                </c:pt>
                <c:pt idx="129">
                  <c:v>0.44379999999999997</c:v>
                </c:pt>
                <c:pt idx="130">
                  <c:v>0.61919999999999997</c:v>
                </c:pt>
                <c:pt idx="131">
                  <c:v>0.54790000000000005</c:v>
                </c:pt>
                <c:pt idx="132">
                  <c:v>0.2712</c:v>
                </c:pt>
                <c:pt idx="133">
                  <c:v>0.76160000000000005</c:v>
                </c:pt>
                <c:pt idx="134">
                  <c:v>0.51229999999999998</c:v>
                </c:pt>
                <c:pt idx="135">
                  <c:v>0.60819999999999996</c:v>
                </c:pt>
                <c:pt idx="136">
                  <c:v>0.61099999999999999</c:v>
                </c:pt>
                <c:pt idx="137">
                  <c:v>0.30680000000000002</c:v>
                </c:pt>
                <c:pt idx="138">
                  <c:v>0.52329999999999999</c:v>
                </c:pt>
                <c:pt idx="139">
                  <c:v>0.48220000000000002</c:v>
                </c:pt>
                <c:pt idx="140">
                  <c:v>0.22189999999999999</c:v>
                </c:pt>
                <c:pt idx="141">
                  <c:v>0.38900000000000001</c:v>
                </c:pt>
                <c:pt idx="142">
                  <c:v>0.41639999999999999</c:v>
                </c:pt>
                <c:pt idx="143">
                  <c:v>0.4849</c:v>
                </c:pt>
                <c:pt idx="144">
                  <c:v>0.55069999999999997</c:v>
                </c:pt>
                <c:pt idx="145">
                  <c:v>0.81640000000000001</c:v>
                </c:pt>
                <c:pt idx="146">
                  <c:v>0.29320000000000002</c:v>
                </c:pt>
                <c:pt idx="147">
                  <c:v>0.50139999999999996</c:v>
                </c:pt>
                <c:pt idx="148">
                  <c:v>0.3014</c:v>
                </c:pt>
                <c:pt idx="149">
                  <c:v>0.34250000000000003</c:v>
                </c:pt>
                <c:pt idx="150">
                  <c:v>0.6</c:v>
                </c:pt>
                <c:pt idx="151">
                  <c:v>0.49859999999999999</c:v>
                </c:pt>
                <c:pt idx="152">
                  <c:v>0.63839999999999997</c:v>
                </c:pt>
                <c:pt idx="153">
                  <c:v>0.29039999999999999</c:v>
                </c:pt>
                <c:pt idx="154">
                  <c:v>0.53969999999999996</c:v>
                </c:pt>
                <c:pt idx="155">
                  <c:v>0.27950000000000003</c:v>
                </c:pt>
                <c:pt idx="156">
                  <c:v>0.67669999999999997</c:v>
                </c:pt>
                <c:pt idx="157">
                  <c:v>0.38900000000000001</c:v>
                </c:pt>
                <c:pt idx="158">
                  <c:v>0.57530000000000003</c:v>
                </c:pt>
                <c:pt idx="159">
                  <c:v>0.31230000000000002</c:v>
                </c:pt>
                <c:pt idx="160">
                  <c:v>0.4521</c:v>
                </c:pt>
                <c:pt idx="161">
                  <c:v>0.53149999999999997</c:v>
                </c:pt>
                <c:pt idx="162">
                  <c:v>0.53969999999999996</c:v>
                </c:pt>
                <c:pt idx="163">
                  <c:v>0.4027</c:v>
                </c:pt>
                <c:pt idx="164">
                  <c:v>0.4</c:v>
                </c:pt>
                <c:pt idx="165">
                  <c:v>0.43009999999999998</c:v>
                </c:pt>
                <c:pt idx="166">
                  <c:v>0.4027</c:v>
                </c:pt>
                <c:pt idx="167">
                  <c:v>0.31230000000000002</c:v>
                </c:pt>
                <c:pt idx="168">
                  <c:v>0.2301</c:v>
                </c:pt>
                <c:pt idx="169">
                  <c:v>0.6</c:v>
                </c:pt>
                <c:pt idx="170">
                  <c:v>0.2329</c:v>
                </c:pt>
                <c:pt idx="171">
                  <c:v>0.40820000000000001</c:v>
                </c:pt>
                <c:pt idx="172">
                  <c:v>0.32600000000000001</c:v>
                </c:pt>
                <c:pt idx="173">
                  <c:v>0.38900000000000001</c:v>
                </c:pt>
                <c:pt idx="174">
                  <c:v>0.52049999999999996</c:v>
                </c:pt>
                <c:pt idx="175">
                  <c:v>0.46300000000000002</c:v>
                </c:pt>
                <c:pt idx="176">
                  <c:v>0.67949999999999999</c:v>
                </c:pt>
                <c:pt idx="177">
                  <c:v>0.68220000000000003</c:v>
                </c:pt>
                <c:pt idx="178">
                  <c:v>0.56989999999999996</c:v>
                </c:pt>
                <c:pt idx="179">
                  <c:v>0.86850000000000005</c:v>
                </c:pt>
                <c:pt idx="180">
                  <c:v>0.52329999999999999</c:v>
                </c:pt>
                <c:pt idx="181">
                  <c:v>0.46029999999999999</c:v>
                </c:pt>
                <c:pt idx="182">
                  <c:v>0.35339999999999999</c:v>
                </c:pt>
                <c:pt idx="183">
                  <c:v>0.49859999999999999</c:v>
                </c:pt>
                <c:pt idx="184">
                  <c:v>0.5151</c:v>
                </c:pt>
                <c:pt idx="185">
                  <c:v>0.87119999999999997</c:v>
                </c:pt>
                <c:pt idx="186">
                  <c:v>0.50680000000000003</c:v>
                </c:pt>
                <c:pt idx="187">
                  <c:v>0.28220000000000001</c:v>
                </c:pt>
                <c:pt idx="188">
                  <c:v>0.54249999999999998</c:v>
                </c:pt>
                <c:pt idx="189">
                  <c:v>8.2199999999999995E-2</c:v>
                </c:pt>
                <c:pt idx="190">
                  <c:v>0.34789999999999999</c:v>
                </c:pt>
                <c:pt idx="191">
                  <c:v>0.47670000000000001</c:v>
                </c:pt>
                <c:pt idx="192">
                  <c:v>0.77810000000000001</c:v>
                </c:pt>
                <c:pt idx="193">
                  <c:v>0.39729999999999999</c:v>
                </c:pt>
                <c:pt idx="194">
                  <c:v>0.6</c:v>
                </c:pt>
                <c:pt idx="195">
                  <c:v>0.29320000000000002</c:v>
                </c:pt>
                <c:pt idx="196">
                  <c:v>0.6411</c:v>
                </c:pt>
                <c:pt idx="197">
                  <c:v>0.50409999999999999</c:v>
                </c:pt>
                <c:pt idx="198">
                  <c:v>0.4027</c:v>
                </c:pt>
                <c:pt idx="199">
                  <c:v>0.50680000000000003</c:v>
                </c:pt>
                <c:pt idx="200">
                  <c:v>0.54790000000000005</c:v>
                </c:pt>
                <c:pt idx="201">
                  <c:v>0.36990000000000001</c:v>
                </c:pt>
                <c:pt idx="202">
                  <c:v>0.2356</c:v>
                </c:pt>
                <c:pt idx="203">
                  <c:v>0.58079999999999998</c:v>
                </c:pt>
                <c:pt idx="204">
                  <c:v>1.9199999999999998E-2</c:v>
                </c:pt>
                <c:pt idx="205">
                  <c:v>0.46850000000000003</c:v>
                </c:pt>
                <c:pt idx="206">
                  <c:v>0.34250000000000003</c:v>
                </c:pt>
                <c:pt idx="207">
                  <c:v>0.2712</c:v>
                </c:pt>
                <c:pt idx="208">
                  <c:v>0.43009999999999998</c:v>
                </c:pt>
                <c:pt idx="209">
                  <c:v>0.60550000000000004</c:v>
                </c:pt>
                <c:pt idx="210">
                  <c:v>0.56710000000000005</c:v>
                </c:pt>
                <c:pt idx="211">
                  <c:v>0.61919999999999997</c:v>
                </c:pt>
                <c:pt idx="212">
                  <c:v>0.70409999999999995</c:v>
                </c:pt>
                <c:pt idx="213">
                  <c:v>0.44379999999999997</c:v>
                </c:pt>
                <c:pt idx="214">
                  <c:v>0.4466</c:v>
                </c:pt>
                <c:pt idx="215">
                  <c:v>0.4219</c:v>
                </c:pt>
                <c:pt idx="216">
                  <c:v>0.59179999999999999</c:v>
                </c:pt>
                <c:pt idx="217">
                  <c:v>0.5726</c:v>
                </c:pt>
                <c:pt idx="218">
                  <c:v>0.42470000000000002</c:v>
                </c:pt>
                <c:pt idx="219">
                  <c:v>7.9500000000000001E-2</c:v>
                </c:pt>
                <c:pt idx="220">
                  <c:v>0.31780000000000003</c:v>
                </c:pt>
                <c:pt idx="221">
                  <c:v>0.31230000000000002</c:v>
                </c:pt>
                <c:pt idx="222">
                  <c:v>0.39729999999999999</c:v>
                </c:pt>
                <c:pt idx="223">
                  <c:v>0.61099999999999999</c:v>
                </c:pt>
                <c:pt idx="224">
                  <c:v>0.2329</c:v>
                </c:pt>
                <c:pt idx="225">
                  <c:v>0.50680000000000003</c:v>
                </c:pt>
                <c:pt idx="226">
                  <c:v>0.61639999999999995</c:v>
                </c:pt>
                <c:pt idx="227">
                  <c:v>0.1014</c:v>
                </c:pt>
                <c:pt idx="228">
                  <c:v>0.31509999999999999</c:v>
                </c:pt>
                <c:pt idx="229">
                  <c:v>0.65210000000000001</c:v>
                </c:pt>
                <c:pt idx="230">
                  <c:v>0.51229999999999998</c:v>
                </c:pt>
                <c:pt idx="231">
                  <c:v>0.62739999999999996</c:v>
                </c:pt>
                <c:pt idx="232">
                  <c:v>0.39729999999999999</c:v>
                </c:pt>
                <c:pt idx="233">
                  <c:v>0.37530000000000002</c:v>
                </c:pt>
                <c:pt idx="234">
                  <c:v>0.3342</c:v>
                </c:pt>
                <c:pt idx="235">
                  <c:v>0.36159999999999998</c:v>
                </c:pt>
                <c:pt idx="236">
                  <c:v>0.26579999999999998</c:v>
                </c:pt>
                <c:pt idx="237">
                  <c:v>0.38629999999999998</c:v>
                </c:pt>
                <c:pt idx="238">
                  <c:v>0.31509999999999999</c:v>
                </c:pt>
                <c:pt idx="239">
                  <c:v>0.55620000000000003</c:v>
                </c:pt>
                <c:pt idx="240">
                  <c:v>0.44929999999999998</c:v>
                </c:pt>
                <c:pt idx="241">
                  <c:v>0.31780000000000003</c:v>
                </c:pt>
                <c:pt idx="242">
                  <c:v>0.51229999999999998</c:v>
                </c:pt>
                <c:pt idx="243">
                  <c:v>0.36990000000000001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80-45CD-8852-E3AC4633E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4983744"/>
        <c:axId val="1735002016"/>
      </c:scatterChart>
      <c:valAx>
        <c:axId val="1734983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5002016"/>
        <c:crosses val="autoZero"/>
        <c:crossBetween val="midCat"/>
      </c:valAx>
      <c:valAx>
        <c:axId val="173500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983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Normalized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'2 - Normalized Data and Model'!$N$4:$N$247</c:f>
              <c:numCache>
                <c:formatCode>General</c:formatCode>
                <c:ptCount val="244"/>
                <c:pt idx="0">
                  <c:v>0.79743589743589749</c:v>
                </c:pt>
                <c:pt idx="1">
                  <c:v>0.56315789473684219</c:v>
                </c:pt>
                <c:pt idx="2">
                  <c:v>0.52071713147410359</c:v>
                </c:pt>
                <c:pt idx="3">
                  <c:v>0.37943661971830989</c:v>
                </c:pt>
                <c:pt idx="4">
                  <c:v>0.52020202020202022</c:v>
                </c:pt>
                <c:pt idx="5">
                  <c:v>0.42072072072072075</c:v>
                </c:pt>
                <c:pt idx="6">
                  <c:v>0.42036199095022619</c:v>
                </c:pt>
                <c:pt idx="7">
                  <c:v>0.69944903581267226</c:v>
                </c:pt>
                <c:pt idx="8">
                  <c:v>0.30994035785288276</c:v>
                </c:pt>
                <c:pt idx="9">
                  <c:v>0.58993288590604032</c:v>
                </c:pt>
                <c:pt idx="10">
                  <c:v>0.50030840400925214</c:v>
                </c:pt>
                <c:pt idx="11">
                  <c:v>0.38932038834951455</c:v>
                </c:pt>
                <c:pt idx="12">
                  <c:v>0.5</c:v>
                </c:pt>
                <c:pt idx="13">
                  <c:v>0.40943396226415096</c:v>
                </c:pt>
                <c:pt idx="14">
                  <c:v>0.39985528219971056</c:v>
                </c:pt>
                <c:pt idx="15">
                  <c:v>0.65936000000000006</c:v>
                </c:pt>
                <c:pt idx="16">
                  <c:v>0.25064935064935068</c:v>
                </c:pt>
                <c:pt idx="17">
                  <c:v>0.30000000000000004</c:v>
                </c:pt>
                <c:pt idx="18">
                  <c:v>0.62067796610169501</c:v>
                </c:pt>
                <c:pt idx="19">
                  <c:v>0.48918918918918919</c:v>
                </c:pt>
                <c:pt idx="20">
                  <c:v>0.55034965034965044</c:v>
                </c:pt>
                <c:pt idx="21">
                  <c:v>0.54065573770491804</c:v>
                </c:pt>
                <c:pt idx="22">
                  <c:v>0.64984126984126989</c:v>
                </c:pt>
                <c:pt idx="23">
                  <c:v>0.30000000000000004</c:v>
                </c:pt>
                <c:pt idx="24">
                  <c:v>0.53911111111111121</c:v>
                </c:pt>
                <c:pt idx="25">
                  <c:v>0.52553191489361706</c:v>
                </c:pt>
                <c:pt idx="26">
                  <c:v>0.46721311475409844</c:v>
                </c:pt>
                <c:pt idx="27">
                  <c:v>0.83086419753086416</c:v>
                </c:pt>
                <c:pt idx="28">
                  <c:v>0.56046511627906981</c:v>
                </c:pt>
                <c:pt idx="29">
                  <c:v>0.46030534351145036</c:v>
                </c:pt>
                <c:pt idx="30">
                  <c:v>0.62115384615384617</c:v>
                </c:pt>
                <c:pt idx="31">
                  <c:v>0.59863013698630141</c:v>
                </c:pt>
                <c:pt idx="32">
                  <c:v>0.79921259842519687</c:v>
                </c:pt>
                <c:pt idx="33">
                  <c:v>0.67854671280276824</c:v>
                </c:pt>
                <c:pt idx="34">
                  <c:v>0.3666666666666667</c:v>
                </c:pt>
                <c:pt idx="35">
                  <c:v>0.62052401746724895</c:v>
                </c:pt>
                <c:pt idx="36">
                  <c:v>0.74</c:v>
                </c:pt>
                <c:pt idx="37">
                  <c:v>0.60909090909090902</c:v>
                </c:pt>
                <c:pt idx="38">
                  <c:v>0.39677419354838717</c:v>
                </c:pt>
                <c:pt idx="39">
                  <c:v>0.58842105263157907</c:v>
                </c:pt>
                <c:pt idx="40">
                  <c:v>0.40163934426229508</c:v>
                </c:pt>
                <c:pt idx="41">
                  <c:v>0.44649681528662422</c:v>
                </c:pt>
                <c:pt idx="42">
                  <c:v>0.46363636363636362</c:v>
                </c:pt>
                <c:pt idx="43">
                  <c:v>0.39779179810725551</c:v>
                </c:pt>
                <c:pt idx="44">
                  <c:v>0.43777777777777782</c:v>
                </c:pt>
                <c:pt idx="45">
                  <c:v>0.36845637583892621</c:v>
                </c:pt>
                <c:pt idx="46">
                  <c:v>0.71123595505617987</c:v>
                </c:pt>
                <c:pt idx="47">
                  <c:v>0.43103448275862077</c:v>
                </c:pt>
                <c:pt idx="48">
                  <c:v>0.46470588235294119</c:v>
                </c:pt>
                <c:pt idx="49">
                  <c:v>0.68761061946902657</c:v>
                </c:pt>
                <c:pt idx="50">
                  <c:v>0.60778443113772462</c:v>
                </c:pt>
                <c:pt idx="51">
                  <c:v>0.47938144329896915</c:v>
                </c:pt>
                <c:pt idx="52">
                  <c:v>0.35792349726775963</c:v>
                </c:pt>
                <c:pt idx="53">
                  <c:v>0.8087248322147651</c:v>
                </c:pt>
                <c:pt idx="54">
                  <c:v>0.779863481228669</c:v>
                </c:pt>
                <c:pt idx="55">
                  <c:v>0.62173913043478257</c:v>
                </c:pt>
                <c:pt idx="56">
                  <c:v>0.38121212121212122</c:v>
                </c:pt>
                <c:pt idx="57">
                  <c:v>0.5295302013422819</c:v>
                </c:pt>
                <c:pt idx="58">
                  <c:v>0.21069182389937108</c:v>
                </c:pt>
                <c:pt idx="59">
                  <c:v>0.41007751937984493</c:v>
                </c:pt>
                <c:pt idx="60">
                  <c:v>0.9</c:v>
                </c:pt>
                <c:pt idx="61">
                  <c:v>0.38936170212765953</c:v>
                </c:pt>
                <c:pt idx="62">
                  <c:v>0.59000000000000008</c:v>
                </c:pt>
                <c:pt idx="63">
                  <c:v>0.38990662516674079</c:v>
                </c:pt>
                <c:pt idx="64">
                  <c:v>0.40833333333333333</c:v>
                </c:pt>
                <c:pt idx="65">
                  <c:v>0.39913043478260868</c:v>
                </c:pt>
                <c:pt idx="66">
                  <c:v>0.38148148148148153</c:v>
                </c:pt>
                <c:pt idx="67">
                  <c:v>0.36875000000000002</c:v>
                </c:pt>
                <c:pt idx="68">
                  <c:v>0.43015873015873018</c:v>
                </c:pt>
                <c:pt idx="69">
                  <c:v>0.3194690265486726</c:v>
                </c:pt>
                <c:pt idx="70">
                  <c:v>0.42124352331606219</c:v>
                </c:pt>
                <c:pt idx="71">
                  <c:v>0.51042524005486967</c:v>
                </c:pt>
                <c:pt idx="72">
                  <c:v>0.2502645502645503</c:v>
                </c:pt>
                <c:pt idx="73">
                  <c:v>0.16956521739130437</c:v>
                </c:pt>
                <c:pt idx="74">
                  <c:v>0.67142857142857137</c:v>
                </c:pt>
                <c:pt idx="75">
                  <c:v>0.56197183098591552</c:v>
                </c:pt>
                <c:pt idx="76">
                  <c:v>0.4188811188811189</c:v>
                </c:pt>
                <c:pt idx="77">
                  <c:v>0.53984063745019928</c:v>
                </c:pt>
                <c:pt idx="78">
                  <c:v>0.52941176470588236</c:v>
                </c:pt>
                <c:pt idx="79">
                  <c:v>0.65</c:v>
                </c:pt>
                <c:pt idx="80">
                  <c:v>0.34070796460176994</c:v>
                </c:pt>
                <c:pt idx="81">
                  <c:v>0.55000000000000004</c:v>
                </c:pt>
                <c:pt idx="82">
                  <c:v>0.49036144578313257</c:v>
                </c:pt>
                <c:pt idx="83">
                  <c:v>0.56060606060606066</c:v>
                </c:pt>
                <c:pt idx="84">
                  <c:v>0.19117647058823531</c:v>
                </c:pt>
                <c:pt idx="85">
                  <c:v>0.53106796116504862</c:v>
                </c:pt>
                <c:pt idx="86">
                  <c:v>0.45041322314049592</c:v>
                </c:pt>
                <c:pt idx="87">
                  <c:v>0.45878787878787886</c:v>
                </c:pt>
                <c:pt idx="88">
                  <c:v>0.49856630824372761</c:v>
                </c:pt>
                <c:pt idx="89">
                  <c:v>0.50902255639097749</c:v>
                </c:pt>
                <c:pt idx="90">
                  <c:v>0.3523489932885906</c:v>
                </c:pt>
                <c:pt idx="91">
                  <c:v>0.64095238095238094</c:v>
                </c:pt>
                <c:pt idx="92">
                  <c:v>0.70961098398169342</c:v>
                </c:pt>
                <c:pt idx="93">
                  <c:v>0.76069651741293531</c:v>
                </c:pt>
                <c:pt idx="94">
                  <c:v>0.33002114164904867</c:v>
                </c:pt>
                <c:pt idx="95">
                  <c:v>0.60138248847926268</c:v>
                </c:pt>
                <c:pt idx="96">
                  <c:v>0.73963133640553003</c:v>
                </c:pt>
                <c:pt idx="97">
                  <c:v>0.37035573122529653</c:v>
                </c:pt>
                <c:pt idx="98">
                  <c:v>0.53028391167192435</c:v>
                </c:pt>
                <c:pt idx="99">
                  <c:v>0.53030303030303039</c:v>
                </c:pt>
                <c:pt idx="100">
                  <c:v>0.5598425196850394</c:v>
                </c:pt>
                <c:pt idx="101">
                  <c:v>0.40990099009900993</c:v>
                </c:pt>
                <c:pt idx="102">
                  <c:v>0.51019108280254777</c:v>
                </c:pt>
                <c:pt idx="103">
                  <c:v>0.63965244865718796</c:v>
                </c:pt>
                <c:pt idx="104">
                  <c:v>0.47894736842105268</c:v>
                </c:pt>
                <c:pt idx="105">
                  <c:v>0.66023738872403559</c:v>
                </c:pt>
                <c:pt idx="106">
                  <c:v>0.74070796460176991</c:v>
                </c:pt>
                <c:pt idx="107">
                  <c:v>0.5299465240641712</c:v>
                </c:pt>
                <c:pt idx="108">
                  <c:v>0.65965665236051507</c:v>
                </c:pt>
                <c:pt idx="109">
                  <c:v>0.27894736842105267</c:v>
                </c:pt>
                <c:pt idx="110">
                  <c:v>0.43975903614457834</c:v>
                </c:pt>
                <c:pt idx="111">
                  <c:v>0.51935483870967747</c:v>
                </c:pt>
                <c:pt idx="112">
                  <c:v>0.55905292479108637</c:v>
                </c:pt>
                <c:pt idx="113">
                  <c:v>0.53055555555555556</c:v>
                </c:pt>
                <c:pt idx="114">
                  <c:v>0.21171171171171171</c:v>
                </c:pt>
                <c:pt idx="115">
                  <c:v>0.15964912280701754</c:v>
                </c:pt>
                <c:pt idx="116">
                  <c:v>0.44639175257731956</c:v>
                </c:pt>
                <c:pt idx="117">
                  <c:v>0.47948717948717956</c:v>
                </c:pt>
                <c:pt idx="118">
                  <c:v>0.52424242424242429</c:v>
                </c:pt>
                <c:pt idx="119">
                  <c:v>0.61250000000000004</c:v>
                </c:pt>
                <c:pt idx="120">
                  <c:v>0.66216216216216217</c:v>
                </c:pt>
                <c:pt idx="121">
                  <c:v>0.55181347150259075</c:v>
                </c:pt>
                <c:pt idx="122">
                  <c:v>0.58571428571428574</c:v>
                </c:pt>
                <c:pt idx="123">
                  <c:v>0.49024390243902438</c:v>
                </c:pt>
                <c:pt idx="124">
                  <c:v>0.34888888888888892</c:v>
                </c:pt>
                <c:pt idx="125">
                  <c:v>0.64054054054054055</c:v>
                </c:pt>
                <c:pt idx="126">
                  <c:v>0.53851851851851851</c:v>
                </c:pt>
                <c:pt idx="127">
                  <c:v>0.38421052631578945</c:v>
                </c:pt>
                <c:pt idx="128">
                  <c:v>0.42164948453608253</c:v>
                </c:pt>
                <c:pt idx="129">
                  <c:v>0.52978723404255323</c:v>
                </c:pt>
                <c:pt idx="130">
                  <c:v>0.14800000000000002</c:v>
                </c:pt>
                <c:pt idx="131">
                  <c:v>0.44162162162162166</c:v>
                </c:pt>
                <c:pt idx="132">
                  <c:v>0.51052631578947372</c:v>
                </c:pt>
                <c:pt idx="133">
                  <c:v>0.24171428571428571</c:v>
                </c:pt>
                <c:pt idx="134">
                  <c:v>0.45035128805620606</c:v>
                </c:pt>
                <c:pt idx="135">
                  <c:v>0.47171717171717176</c:v>
                </c:pt>
                <c:pt idx="136">
                  <c:v>0.25163398692810457</c:v>
                </c:pt>
                <c:pt idx="137">
                  <c:v>0.54571428571428571</c:v>
                </c:pt>
                <c:pt idx="138">
                  <c:v>0.57204968944099377</c:v>
                </c:pt>
                <c:pt idx="139">
                  <c:v>0.44181818181818189</c:v>
                </c:pt>
                <c:pt idx="140">
                  <c:v>0.64339622641509431</c:v>
                </c:pt>
                <c:pt idx="141">
                  <c:v>0.62235294117647066</c:v>
                </c:pt>
                <c:pt idx="142">
                  <c:v>0.50245398773006145</c:v>
                </c:pt>
                <c:pt idx="143">
                  <c:v>0.44854771784232361</c:v>
                </c:pt>
                <c:pt idx="144">
                  <c:v>0.55454545454545456</c:v>
                </c:pt>
                <c:pt idx="145">
                  <c:v>0.26024653312788903</c:v>
                </c:pt>
                <c:pt idx="146">
                  <c:v>0.71772151898734182</c:v>
                </c:pt>
                <c:pt idx="147">
                  <c:v>0.34258064516129033</c:v>
                </c:pt>
                <c:pt idx="148">
                  <c:v>0.61099476439790579</c:v>
                </c:pt>
                <c:pt idx="149">
                  <c:v>0.52352941176470591</c:v>
                </c:pt>
                <c:pt idx="150">
                  <c:v>0.44782608695652171</c:v>
                </c:pt>
                <c:pt idx="151">
                  <c:v>0.61052631578947369</c:v>
                </c:pt>
                <c:pt idx="152">
                  <c:v>0.60841121495327111</c:v>
                </c:pt>
                <c:pt idx="153">
                  <c:v>0.68105263157894735</c:v>
                </c:pt>
                <c:pt idx="154">
                  <c:v>0.38993288590604025</c:v>
                </c:pt>
                <c:pt idx="155">
                  <c:v>0.74785276073619633</c:v>
                </c:pt>
                <c:pt idx="156">
                  <c:v>0.43975903614457834</c:v>
                </c:pt>
                <c:pt idx="157">
                  <c:v>0.63962264150943393</c:v>
                </c:pt>
                <c:pt idx="158">
                  <c:v>0.54064171122994653</c:v>
                </c:pt>
                <c:pt idx="159">
                  <c:v>0.47791411042944787</c:v>
                </c:pt>
                <c:pt idx="160">
                  <c:v>0.41823204419889504</c:v>
                </c:pt>
                <c:pt idx="161">
                  <c:v>0.64873646209386282</c:v>
                </c:pt>
                <c:pt idx="162">
                  <c:v>0.39022082018927451</c:v>
                </c:pt>
                <c:pt idx="163">
                  <c:v>0.45064935064935063</c:v>
                </c:pt>
                <c:pt idx="164">
                  <c:v>0.73859649122807014</c:v>
                </c:pt>
                <c:pt idx="165">
                  <c:v>0.53034482758620693</c:v>
                </c:pt>
                <c:pt idx="166">
                  <c:v>0.37019867549668872</c:v>
                </c:pt>
                <c:pt idx="167">
                  <c:v>0.67062937062937067</c:v>
                </c:pt>
                <c:pt idx="168">
                  <c:v>0.7204081632653061</c:v>
                </c:pt>
                <c:pt idx="169">
                  <c:v>0.5501607717041801</c:v>
                </c:pt>
                <c:pt idx="170">
                  <c:v>0.62890365448504992</c:v>
                </c:pt>
                <c:pt idx="171">
                  <c:v>0.49032967032967034</c:v>
                </c:pt>
                <c:pt idx="172">
                  <c:v>0.48132678132678142</c:v>
                </c:pt>
                <c:pt idx="173">
                  <c:v>0.58100470957613826</c:v>
                </c:pt>
                <c:pt idx="174">
                  <c:v>0.41137724550898203</c:v>
                </c:pt>
                <c:pt idx="175">
                  <c:v>0.57058823529411762</c:v>
                </c:pt>
                <c:pt idx="176">
                  <c:v>0.1</c:v>
                </c:pt>
                <c:pt idx="177">
                  <c:v>0.31931034482758625</c:v>
                </c:pt>
                <c:pt idx="178">
                  <c:v>0.40222222222222226</c:v>
                </c:pt>
                <c:pt idx="179">
                  <c:v>0.21022727272727276</c:v>
                </c:pt>
                <c:pt idx="180">
                  <c:v>0.42000000000000004</c:v>
                </c:pt>
                <c:pt idx="181">
                  <c:v>0.56008119079837615</c:v>
                </c:pt>
                <c:pt idx="182">
                  <c:v>0.69092872570194386</c:v>
                </c:pt>
                <c:pt idx="183">
                  <c:v>0.36967984934086628</c:v>
                </c:pt>
                <c:pt idx="184">
                  <c:v>0.44038461538461537</c:v>
                </c:pt>
                <c:pt idx="185">
                  <c:v>0.28037135278514591</c:v>
                </c:pt>
                <c:pt idx="186">
                  <c:v>0.44031413612565451</c:v>
                </c:pt>
                <c:pt idx="187">
                  <c:v>0.60965250965250961</c:v>
                </c:pt>
                <c:pt idx="188">
                  <c:v>0.48918918918918919</c:v>
                </c:pt>
                <c:pt idx="189">
                  <c:v>0.77027027027027029</c:v>
                </c:pt>
                <c:pt idx="190">
                  <c:v>0.53042998897464166</c:v>
                </c:pt>
                <c:pt idx="191">
                  <c:v>0.4701674277016743</c:v>
                </c:pt>
                <c:pt idx="192">
                  <c:v>0.17034277198211625</c:v>
                </c:pt>
                <c:pt idx="193">
                  <c:v>0.4390243902439025</c:v>
                </c:pt>
                <c:pt idx="194">
                  <c:v>0.480449141347424</c:v>
                </c:pt>
                <c:pt idx="195">
                  <c:v>0.71041292639138243</c:v>
                </c:pt>
                <c:pt idx="196">
                  <c:v>0.41876606683804629</c:v>
                </c:pt>
                <c:pt idx="197">
                  <c:v>0.64857142857142858</c:v>
                </c:pt>
                <c:pt idx="198">
                  <c:v>0.39038737446197991</c:v>
                </c:pt>
                <c:pt idx="199">
                  <c:v>0.47014925373134331</c:v>
                </c:pt>
                <c:pt idx="200">
                  <c:v>0.21111111111111111</c:v>
                </c:pt>
                <c:pt idx="201">
                  <c:v>0.52967359050445106</c:v>
                </c:pt>
                <c:pt idx="202">
                  <c:v>0.6293680297397769</c:v>
                </c:pt>
                <c:pt idx="203">
                  <c:v>0.37007299270072991</c:v>
                </c:pt>
                <c:pt idx="204">
                  <c:v>0.82926315789473692</c:v>
                </c:pt>
                <c:pt idx="205">
                  <c:v>0.46856368563685635</c:v>
                </c:pt>
                <c:pt idx="206">
                  <c:v>0.55128205128205132</c:v>
                </c:pt>
                <c:pt idx="207">
                  <c:v>0.67014314928425356</c:v>
                </c:pt>
                <c:pt idx="208">
                  <c:v>0.55048543689320395</c:v>
                </c:pt>
                <c:pt idx="209">
                  <c:v>0.4810526315789474</c:v>
                </c:pt>
                <c:pt idx="210">
                  <c:v>0.34888888888888892</c:v>
                </c:pt>
                <c:pt idx="211">
                  <c:v>0.30904522613065327</c:v>
                </c:pt>
                <c:pt idx="212">
                  <c:v>0.27226277372262775</c:v>
                </c:pt>
                <c:pt idx="213">
                  <c:v>0.41959798994974873</c:v>
                </c:pt>
                <c:pt idx="214">
                  <c:v>0.47016949152542376</c:v>
                </c:pt>
                <c:pt idx="215">
                  <c:v>0.44029850746268662</c:v>
                </c:pt>
                <c:pt idx="216">
                  <c:v>0.25938697318007664</c:v>
                </c:pt>
                <c:pt idx="217">
                  <c:v>0.40115473441108551</c:v>
                </c:pt>
                <c:pt idx="218">
                  <c:v>0.67016574585635358</c:v>
                </c:pt>
                <c:pt idx="219">
                  <c:v>0.75964912280701746</c:v>
                </c:pt>
                <c:pt idx="220">
                  <c:v>0.65970695970695969</c:v>
                </c:pt>
                <c:pt idx="221">
                  <c:v>0.7009331259720063</c:v>
                </c:pt>
                <c:pt idx="222">
                  <c:v>0.5580645161290323</c:v>
                </c:pt>
                <c:pt idx="223">
                  <c:v>0.29032258064516131</c:v>
                </c:pt>
                <c:pt idx="224">
                  <c:v>0.65983086680761105</c:v>
                </c:pt>
                <c:pt idx="225">
                  <c:v>0.38088888888888894</c:v>
                </c:pt>
                <c:pt idx="226">
                  <c:v>0.40034129692832765</c:v>
                </c:pt>
                <c:pt idx="227">
                  <c:v>0.84018691588785044</c:v>
                </c:pt>
                <c:pt idx="228">
                  <c:v>0.30891719745222934</c:v>
                </c:pt>
                <c:pt idx="229">
                  <c:v>0.31118012422360253</c:v>
                </c:pt>
                <c:pt idx="230">
                  <c:v>0.53045685279187826</c:v>
                </c:pt>
                <c:pt idx="231">
                  <c:v>0.38940092165898621</c:v>
                </c:pt>
                <c:pt idx="232">
                  <c:v>0.53032490974729241</c:v>
                </c:pt>
                <c:pt idx="233">
                  <c:v>0.58387096774193548</c:v>
                </c:pt>
                <c:pt idx="234">
                  <c:v>0.36051873198847262</c:v>
                </c:pt>
                <c:pt idx="235">
                  <c:v>0.61037974683544305</c:v>
                </c:pt>
                <c:pt idx="236">
                  <c:v>0.28929577464788736</c:v>
                </c:pt>
                <c:pt idx="237">
                  <c:v>0.62989247311827956</c:v>
                </c:pt>
                <c:pt idx="238">
                  <c:v>0.32068965517241377</c:v>
                </c:pt>
                <c:pt idx="239">
                  <c:v>0.33034055727554179</c:v>
                </c:pt>
                <c:pt idx="240">
                  <c:v>0.66</c:v>
                </c:pt>
                <c:pt idx="241">
                  <c:v>0.54960422163588396</c:v>
                </c:pt>
                <c:pt idx="242">
                  <c:v>0.50067453625632385</c:v>
                </c:pt>
                <c:pt idx="243">
                  <c:v>0.51019108280254777</c:v>
                </c:pt>
              </c:numCache>
            </c:numRef>
          </c:xVal>
          <c:yVal>
            <c:numRef>
              <c:f>'2 - Normalized Data and Model'!$O$4:$O$247</c:f>
              <c:numCache>
                <c:formatCode>0.00</c:formatCode>
                <c:ptCount val="244"/>
                <c:pt idx="0">
                  <c:v>0.16159999999999999</c:v>
                </c:pt>
                <c:pt idx="1">
                  <c:v>0.34789999999999999</c:v>
                </c:pt>
                <c:pt idx="2">
                  <c:v>0.39729999999999999</c:v>
                </c:pt>
                <c:pt idx="3">
                  <c:v>0.3644</c:v>
                </c:pt>
                <c:pt idx="4">
                  <c:v>0.41099999999999998</c:v>
                </c:pt>
                <c:pt idx="5">
                  <c:v>0.41099999999999998</c:v>
                </c:pt>
                <c:pt idx="6">
                  <c:v>0.52600000000000002</c:v>
                </c:pt>
                <c:pt idx="7">
                  <c:v>0.43290000000000001</c:v>
                </c:pt>
                <c:pt idx="8">
                  <c:v>0.69589999999999996</c:v>
                </c:pt>
                <c:pt idx="9">
                  <c:v>0.1096</c:v>
                </c:pt>
                <c:pt idx="10">
                  <c:v>0.22470000000000001</c:v>
                </c:pt>
                <c:pt idx="11">
                  <c:v>0.21920000000000001</c:v>
                </c:pt>
                <c:pt idx="12">
                  <c:v>0.39179999999999998</c:v>
                </c:pt>
                <c:pt idx="13">
                  <c:v>0.53700000000000003</c:v>
                </c:pt>
                <c:pt idx="14">
                  <c:v>0.51229999999999998</c:v>
                </c:pt>
                <c:pt idx="15">
                  <c:v>0.36159999999999998</c:v>
                </c:pt>
                <c:pt idx="16">
                  <c:v>0.84379999999999999</c:v>
                </c:pt>
                <c:pt idx="17">
                  <c:v>0.91510000000000002</c:v>
                </c:pt>
                <c:pt idx="18">
                  <c:v>0.43009999999999998</c:v>
                </c:pt>
                <c:pt idx="19">
                  <c:v>0.48220000000000002</c:v>
                </c:pt>
                <c:pt idx="20">
                  <c:v>0.4904</c:v>
                </c:pt>
                <c:pt idx="21">
                  <c:v>0.52329999999999999</c:v>
                </c:pt>
                <c:pt idx="22">
                  <c:v>0.44929999999999998</c:v>
                </c:pt>
                <c:pt idx="23">
                  <c:v>0.6603</c:v>
                </c:pt>
                <c:pt idx="24">
                  <c:v>0.48770000000000002</c:v>
                </c:pt>
                <c:pt idx="25">
                  <c:v>0.43840000000000001</c:v>
                </c:pt>
                <c:pt idx="26">
                  <c:v>0.53149999999999997</c:v>
                </c:pt>
                <c:pt idx="27">
                  <c:v>0.13969999999999999</c:v>
                </c:pt>
                <c:pt idx="28">
                  <c:v>0.46850000000000003</c:v>
                </c:pt>
                <c:pt idx="29">
                  <c:v>0.50139999999999996</c:v>
                </c:pt>
                <c:pt idx="30">
                  <c:v>0.30680000000000002</c:v>
                </c:pt>
                <c:pt idx="31">
                  <c:v>0.52049999999999996</c:v>
                </c:pt>
                <c:pt idx="32">
                  <c:v>0.1288</c:v>
                </c:pt>
                <c:pt idx="33">
                  <c:v>0.24110000000000001</c:v>
                </c:pt>
                <c:pt idx="34">
                  <c:v>0.4521</c:v>
                </c:pt>
                <c:pt idx="35">
                  <c:v>0.47949999999999998</c:v>
                </c:pt>
                <c:pt idx="36">
                  <c:v>0.2712</c:v>
                </c:pt>
                <c:pt idx="37">
                  <c:v>0.43009999999999998</c:v>
                </c:pt>
                <c:pt idx="38">
                  <c:v>0.56710000000000005</c:v>
                </c:pt>
                <c:pt idx="39">
                  <c:v>0.32050000000000001</c:v>
                </c:pt>
                <c:pt idx="40">
                  <c:v>0.44929999999999998</c:v>
                </c:pt>
                <c:pt idx="41">
                  <c:v>0.50960000000000005</c:v>
                </c:pt>
                <c:pt idx="42">
                  <c:v>0.72050000000000003</c:v>
                </c:pt>
                <c:pt idx="43">
                  <c:v>0.49590000000000001</c:v>
                </c:pt>
                <c:pt idx="44">
                  <c:v>0.44929999999999998</c:v>
                </c:pt>
                <c:pt idx="45">
                  <c:v>0.53149999999999997</c:v>
                </c:pt>
                <c:pt idx="46">
                  <c:v>0.1507</c:v>
                </c:pt>
                <c:pt idx="47">
                  <c:v>0.6</c:v>
                </c:pt>
                <c:pt idx="48">
                  <c:v>0.52600000000000002</c:v>
                </c:pt>
                <c:pt idx="49">
                  <c:v>0.21099999999999999</c:v>
                </c:pt>
                <c:pt idx="50">
                  <c:v>0.33150000000000002</c:v>
                </c:pt>
                <c:pt idx="51">
                  <c:v>0.32879999999999998</c:v>
                </c:pt>
                <c:pt idx="52">
                  <c:v>0.61919999999999997</c:v>
                </c:pt>
                <c:pt idx="53">
                  <c:v>0.2712</c:v>
                </c:pt>
                <c:pt idx="54">
                  <c:v>0.32879999999999998</c:v>
                </c:pt>
                <c:pt idx="55">
                  <c:v>0.41370000000000001</c:v>
                </c:pt>
                <c:pt idx="56">
                  <c:v>0.47949999999999998</c:v>
                </c:pt>
                <c:pt idx="57">
                  <c:v>0.63009999999999999</c:v>
                </c:pt>
                <c:pt idx="58">
                  <c:v>0.90410000000000001</c:v>
                </c:pt>
                <c:pt idx="59">
                  <c:v>0.54249999999999998</c:v>
                </c:pt>
                <c:pt idx="60">
                  <c:v>7.9500000000000001E-2</c:v>
                </c:pt>
                <c:pt idx="61">
                  <c:v>0.55069999999999997</c:v>
                </c:pt>
                <c:pt idx="62">
                  <c:v>0.69320000000000004</c:v>
                </c:pt>
                <c:pt idx="63">
                  <c:v>0.71509999999999996</c:v>
                </c:pt>
                <c:pt idx="64">
                  <c:v>0.52049999999999996</c:v>
                </c:pt>
                <c:pt idx="65">
                  <c:v>0.15890000000000001</c:v>
                </c:pt>
                <c:pt idx="66">
                  <c:v>0.54520000000000002</c:v>
                </c:pt>
                <c:pt idx="67">
                  <c:v>0.47949999999999998</c:v>
                </c:pt>
                <c:pt idx="68">
                  <c:v>0.58630000000000004</c:v>
                </c:pt>
                <c:pt idx="69">
                  <c:v>0.67949999999999999</c:v>
                </c:pt>
                <c:pt idx="70">
                  <c:v>0.57809999999999995</c:v>
                </c:pt>
                <c:pt idx="71">
                  <c:v>0.41099999999999998</c:v>
                </c:pt>
                <c:pt idx="72">
                  <c:v>0.68220000000000003</c:v>
                </c:pt>
                <c:pt idx="73">
                  <c:v>0.82469999999999999</c:v>
                </c:pt>
                <c:pt idx="74">
                  <c:v>0.21640000000000001</c:v>
                </c:pt>
                <c:pt idx="75">
                  <c:v>0.6</c:v>
                </c:pt>
                <c:pt idx="76">
                  <c:v>0.39179999999999998</c:v>
                </c:pt>
                <c:pt idx="77">
                  <c:v>0.58899999999999997</c:v>
                </c:pt>
                <c:pt idx="78">
                  <c:v>0.29320000000000002</c:v>
                </c:pt>
                <c:pt idx="79">
                  <c:v>0.2712</c:v>
                </c:pt>
                <c:pt idx="80">
                  <c:v>0.55069999999999997</c:v>
                </c:pt>
                <c:pt idx="81">
                  <c:v>0.4521</c:v>
                </c:pt>
                <c:pt idx="82">
                  <c:v>0.51780000000000004</c:v>
                </c:pt>
                <c:pt idx="83">
                  <c:v>0.52049999999999996</c:v>
                </c:pt>
                <c:pt idx="84">
                  <c:v>0.63009999999999999</c:v>
                </c:pt>
                <c:pt idx="85">
                  <c:v>0.36990000000000001</c:v>
                </c:pt>
                <c:pt idx="86">
                  <c:v>0.56989999999999996</c:v>
                </c:pt>
                <c:pt idx="87">
                  <c:v>0.41920000000000002</c:v>
                </c:pt>
                <c:pt idx="88">
                  <c:v>0.45479999999999998</c:v>
                </c:pt>
                <c:pt idx="89">
                  <c:v>0.62190000000000001</c:v>
                </c:pt>
                <c:pt idx="90">
                  <c:v>0.70960000000000001</c:v>
                </c:pt>
                <c:pt idx="91">
                  <c:v>0.30959999999999999</c:v>
                </c:pt>
                <c:pt idx="92">
                  <c:v>0.24110000000000001</c:v>
                </c:pt>
                <c:pt idx="93">
                  <c:v>4.6600000000000003E-2</c:v>
                </c:pt>
                <c:pt idx="94">
                  <c:v>0.63560000000000005</c:v>
                </c:pt>
                <c:pt idx="95">
                  <c:v>0.43009999999999998</c:v>
                </c:pt>
                <c:pt idx="96">
                  <c:v>0.38080000000000003</c:v>
                </c:pt>
                <c:pt idx="97">
                  <c:v>0.45750000000000002</c:v>
                </c:pt>
                <c:pt idx="98">
                  <c:v>0.189</c:v>
                </c:pt>
                <c:pt idx="99">
                  <c:v>0.29039999999999999</c:v>
                </c:pt>
                <c:pt idx="100">
                  <c:v>0.29859999999999998</c:v>
                </c:pt>
                <c:pt idx="101">
                  <c:v>0.58079999999999998</c:v>
                </c:pt>
                <c:pt idx="102">
                  <c:v>0.39179999999999998</c:v>
                </c:pt>
                <c:pt idx="103">
                  <c:v>0.38629999999999998</c:v>
                </c:pt>
                <c:pt idx="104">
                  <c:v>0.48770000000000002</c:v>
                </c:pt>
                <c:pt idx="105">
                  <c:v>0.41099999999999998</c:v>
                </c:pt>
                <c:pt idx="106">
                  <c:v>0.50409999999999999</c:v>
                </c:pt>
                <c:pt idx="107">
                  <c:v>0.2767</c:v>
                </c:pt>
                <c:pt idx="108">
                  <c:v>0.32879999999999998</c:v>
                </c:pt>
                <c:pt idx="109">
                  <c:v>0.53149999999999997</c:v>
                </c:pt>
                <c:pt idx="110">
                  <c:v>0.4274</c:v>
                </c:pt>
                <c:pt idx="111">
                  <c:v>0.24110000000000001</c:v>
                </c:pt>
                <c:pt idx="112">
                  <c:v>0.41099999999999998</c:v>
                </c:pt>
                <c:pt idx="113">
                  <c:v>0.39729999999999999</c:v>
                </c:pt>
                <c:pt idx="114">
                  <c:v>0.79730000000000001</c:v>
                </c:pt>
                <c:pt idx="115">
                  <c:v>0.68769999999999998</c:v>
                </c:pt>
                <c:pt idx="116">
                  <c:v>0.58899999999999997</c:v>
                </c:pt>
                <c:pt idx="117">
                  <c:v>0.61919999999999997</c:v>
                </c:pt>
                <c:pt idx="118">
                  <c:v>0.45479999999999998</c:v>
                </c:pt>
                <c:pt idx="119">
                  <c:v>0.48770000000000002</c:v>
                </c:pt>
                <c:pt idx="120">
                  <c:v>0.47949999999999998</c:v>
                </c:pt>
                <c:pt idx="121">
                  <c:v>0.49320000000000003</c:v>
                </c:pt>
                <c:pt idx="122">
                  <c:v>0.36159999999999998</c:v>
                </c:pt>
                <c:pt idx="123">
                  <c:v>0.4219</c:v>
                </c:pt>
                <c:pt idx="124">
                  <c:v>0.74250000000000005</c:v>
                </c:pt>
                <c:pt idx="125">
                  <c:v>0.36990000000000001</c:v>
                </c:pt>
                <c:pt idx="126">
                  <c:v>0.44109999999999999</c:v>
                </c:pt>
                <c:pt idx="127">
                  <c:v>0.47949999999999998</c:v>
                </c:pt>
                <c:pt idx="128">
                  <c:v>0.41370000000000001</c:v>
                </c:pt>
                <c:pt idx="129">
                  <c:v>0.44379999999999997</c:v>
                </c:pt>
                <c:pt idx="130">
                  <c:v>0.61919999999999997</c:v>
                </c:pt>
                <c:pt idx="131">
                  <c:v>0.54790000000000005</c:v>
                </c:pt>
                <c:pt idx="132">
                  <c:v>0.2712</c:v>
                </c:pt>
                <c:pt idx="133">
                  <c:v>0.76160000000000005</c:v>
                </c:pt>
                <c:pt idx="134">
                  <c:v>0.51229999999999998</c:v>
                </c:pt>
                <c:pt idx="135">
                  <c:v>0.60819999999999996</c:v>
                </c:pt>
                <c:pt idx="136">
                  <c:v>0.61099999999999999</c:v>
                </c:pt>
                <c:pt idx="137">
                  <c:v>0.30680000000000002</c:v>
                </c:pt>
                <c:pt idx="138">
                  <c:v>0.52329999999999999</c:v>
                </c:pt>
                <c:pt idx="139">
                  <c:v>0.48220000000000002</c:v>
                </c:pt>
                <c:pt idx="140">
                  <c:v>0.22189999999999999</c:v>
                </c:pt>
                <c:pt idx="141">
                  <c:v>0.38900000000000001</c:v>
                </c:pt>
                <c:pt idx="142">
                  <c:v>0.41639999999999999</c:v>
                </c:pt>
                <c:pt idx="143">
                  <c:v>0.4849</c:v>
                </c:pt>
                <c:pt idx="144">
                  <c:v>0.55069999999999997</c:v>
                </c:pt>
                <c:pt idx="145">
                  <c:v>0.81640000000000001</c:v>
                </c:pt>
                <c:pt idx="146">
                  <c:v>0.29320000000000002</c:v>
                </c:pt>
                <c:pt idx="147">
                  <c:v>0.50139999999999996</c:v>
                </c:pt>
                <c:pt idx="148">
                  <c:v>0.3014</c:v>
                </c:pt>
                <c:pt idx="149">
                  <c:v>0.34250000000000003</c:v>
                </c:pt>
                <c:pt idx="150">
                  <c:v>0.6</c:v>
                </c:pt>
                <c:pt idx="151">
                  <c:v>0.49859999999999999</c:v>
                </c:pt>
                <c:pt idx="152">
                  <c:v>0.63839999999999997</c:v>
                </c:pt>
                <c:pt idx="153">
                  <c:v>0.29039999999999999</c:v>
                </c:pt>
                <c:pt idx="154">
                  <c:v>0.53969999999999996</c:v>
                </c:pt>
                <c:pt idx="155">
                  <c:v>0.27950000000000003</c:v>
                </c:pt>
                <c:pt idx="156">
                  <c:v>0.67669999999999997</c:v>
                </c:pt>
                <c:pt idx="157">
                  <c:v>0.38900000000000001</c:v>
                </c:pt>
                <c:pt idx="158">
                  <c:v>0.57530000000000003</c:v>
                </c:pt>
                <c:pt idx="159">
                  <c:v>0.31230000000000002</c:v>
                </c:pt>
                <c:pt idx="160">
                  <c:v>0.4521</c:v>
                </c:pt>
                <c:pt idx="161">
                  <c:v>0.53149999999999997</c:v>
                </c:pt>
                <c:pt idx="162">
                  <c:v>0.53969999999999996</c:v>
                </c:pt>
                <c:pt idx="163">
                  <c:v>0.4027</c:v>
                </c:pt>
                <c:pt idx="164">
                  <c:v>0.4</c:v>
                </c:pt>
                <c:pt idx="165">
                  <c:v>0.43009999999999998</c:v>
                </c:pt>
                <c:pt idx="166">
                  <c:v>0.4027</c:v>
                </c:pt>
                <c:pt idx="167">
                  <c:v>0.31230000000000002</c:v>
                </c:pt>
                <c:pt idx="168">
                  <c:v>0.2301</c:v>
                </c:pt>
                <c:pt idx="169">
                  <c:v>0.6</c:v>
                </c:pt>
                <c:pt idx="170">
                  <c:v>0.2329</c:v>
                </c:pt>
                <c:pt idx="171">
                  <c:v>0.40820000000000001</c:v>
                </c:pt>
                <c:pt idx="172">
                  <c:v>0.32600000000000001</c:v>
                </c:pt>
                <c:pt idx="173">
                  <c:v>0.38900000000000001</c:v>
                </c:pt>
                <c:pt idx="174">
                  <c:v>0.52049999999999996</c:v>
                </c:pt>
                <c:pt idx="175">
                  <c:v>0.46300000000000002</c:v>
                </c:pt>
                <c:pt idx="176">
                  <c:v>0.67949999999999999</c:v>
                </c:pt>
                <c:pt idx="177">
                  <c:v>0.68220000000000003</c:v>
                </c:pt>
                <c:pt idx="178">
                  <c:v>0.56989999999999996</c:v>
                </c:pt>
                <c:pt idx="179">
                  <c:v>0.86850000000000005</c:v>
                </c:pt>
                <c:pt idx="180">
                  <c:v>0.52329999999999999</c:v>
                </c:pt>
                <c:pt idx="181">
                  <c:v>0.46029999999999999</c:v>
                </c:pt>
                <c:pt idx="182">
                  <c:v>0.35339999999999999</c:v>
                </c:pt>
                <c:pt idx="183">
                  <c:v>0.49859999999999999</c:v>
                </c:pt>
                <c:pt idx="184">
                  <c:v>0.5151</c:v>
                </c:pt>
                <c:pt idx="185">
                  <c:v>0.87119999999999997</c:v>
                </c:pt>
                <c:pt idx="186">
                  <c:v>0.50680000000000003</c:v>
                </c:pt>
                <c:pt idx="187">
                  <c:v>0.28220000000000001</c:v>
                </c:pt>
                <c:pt idx="188">
                  <c:v>0.54249999999999998</c:v>
                </c:pt>
                <c:pt idx="189">
                  <c:v>8.2199999999999995E-2</c:v>
                </c:pt>
                <c:pt idx="190">
                  <c:v>0.34789999999999999</c:v>
                </c:pt>
                <c:pt idx="191">
                  <c:v>0.47670000000000001</c:v>
                </c:pt>
                <c:pt idx="192">
                  <c:v>0.77810000000000001</c:v>
                </c:pt>
                <c:pt idx="193">
                  <c:v>0.39729999999999999</c:v>
                </c:pt>
                <c:pt idx="194">
                  <c:v>0.6</c:v>
                </c:pt>
                <c:pt idx="195">
                  <c:v>0.29320000000000002</c:v>
                </c:pt>
                <c:pt idx="196">
                  <c:v>0.6411</c:v>
                </c:pt>
                <c:pt idx="197">
                  <c:v>0.50409999999999999</c:v>
                </c:pt>
                <c:pt idx="198">
                  <c:v>0.4027</c:v>
                </c:pt>
                <c:pt idx="199">
                  <c:v>0.50680000000000003</c:v>
                </c:pt>
                <c:pt idx="200">
                  <c:v>0.54790000000000005</c:v>
                </c:pt>
                <c:pt idx="201">
                  <c:v>0.36990000000000001</c:v>
                </c:pt>
                <c:pt idx="202">
                  <c:v>0.2356</c:v>
                </c:pt>
                <c:pt idx="203">
                  <c:v>0.58079999999999998</c:v>
                </c:pt>
                <c:pt idx="204">
                  <c:v>1.9199999999999998E-2</c:v>
                </c:pt>
                <c:pt idx="205">
                  <c:v>0.46850000000000003</c:v>
                </c:pt>
                <c:pt idx="206">
                  <c:v>0.34250000000000003</c:v>
                </c:pt>
                <c:pt idx="207">
                  <c:v>0.2712</c:v>
                </c:pt>
                <c:pt idx="208">
                  <c:v>0.43009999999999998</c:v>
                </c:pt>
                <c:pt idx="209">
                  <c:v>0.60550000000000004</c:v>
                </c:pt>
                <c:pt idx="210">
                  <c:v>0.56710000000000005</c:v>
                </c:pt>
                <c:pt idx="211">
                  <c:v>0.61919999999999997</c:v>
                </c:pt>
                <c:pt idx="212">
                  <c:v>0.70409999999999995</c:v>
                </c:pt>
                <c:pt idx="213">
                  <c:v>0.44379999999999997</c:v>
                </c:pt>
                <c:pt idx="214">
                  <c:v>0.4466</c:v>
                </c:pt>
                <c:pt idx="215">
                  <c:v>0.4219</c:v>
                </c:pt>
                <c:pt idx="216">
                  <c:v>0.59179999999999999</c:v>
                </c:pt>
                <c:pt idx="217">
                  <c:v>0.5726</c:v>
                </c:pt>
                <c:pt idx="218">
                  <c:v>0.42470000000000002</c:v>
                </c:pt>
                <c:pt idx="219">
                  <c:v>7.9500000000000001E-2</c:v>
                </c:pt>
                <c:pt idx="220">
                  <c:v>0.31780000000000003</c:v>
                </c:pt>
                <c:pt idx="221">
                  <c:v>0.31230000000000002</c:v>
                </c:pt>
                <c:pt idx="222">
                  <c:v>0.39729999999999999</c:v>
                </c:pt>
                <c:pt idx="223">
                  <c:v>0.61099999999999999</c:v>
                </c:pt>
                <c:pt idx="224">
                  <c:v>0.2329</c:v>
                </c:pt>
                <c:pt idx="225">
                  <c:v>0.50680000000000003</c:v>
                </c:pt>
                <c:pt idx="226">
                  <c:v>0.61639999999999995</c:v>
                </c:pt>
                <c:pt idx="227">
                  <c:v>0.1014</c:v>
                </c:pt>
                <c:pt idx="228">
                  <c:v>0.31509999999999999</c:v>
                </c:pt>
                <c:pt idx="229">
                  <c:v>0.65210000000000001</c:v>
                </c:pt>
                <c:pt idx="230">
                  <c:v>0.51229999999999998</c:v>
                </c:pt>
                <c:pt idx="231">
                  <c:v>0.62739999999999996</c:v>
                </c:pt>
                <c:pt idx="232">
                  <c:v>0.39729999999999999</c:v>
                </c:pt>
                <c:pt idx="233">
                  <c:v>0.37530000000000002</c:v>
                </c:pt>
                <c:pt idx="234">
                  <c:v>0.3342</c:v>
                </c:pt>
                <c:pt idx="235">
                  <c:v>0.36159999999999998</c:v>
                </c:pt>
                <c:pt idx="236">
                  <c:v>0.26579999999999998</c:v>
                </c:pt>
                <c:pt idx="237">
                  <c:v>0.38629999999999998</c:v>
                </c:pt>
                <c:pt idx="238">
                  <c:v>0.31509999999999999</c:v>
                </c:pt>
                <c:pt idx="239">
                  <c:v>0.55620000000000003</c:v>
                </c:pt>
                <c:pt idx="240">
                  <c:v>0.44929999999999998</c:v>
                </c:pt>
                <c:pt idx="241">
                  <c:v>0.31780000000000003</c:v>
                </c:pt>
                <c:pt idx="242">
                  <c:v>0.51229999999999998</c:v>
                </c:pt>
                <c:pt idx="243">
                  <c:v>0.36990000000000001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E7-445B-A17C-E6D1AAC49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859167"/>
        <c:axId val="1174616431"/>
      </c:scatterChart>
      <c:valAx>
        <c:axId val="1123859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4616431"/>
        <c:crosses val="autoZero"/>
        <c:crossBetween val="midCat"/>
      </c:valAx>
      <c:valAx>
        <c:axId val="1174616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38591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'7- Ranking'!$AH$3</c:f>
              <c:strCache>
                <c:ptCount val="1"/>
                <c:pt idx="0">
                  <c:v>Count of Top Prospects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'7- Ranking'!$AG$4:$AG$6</c:f>
              <c:strCache>
                <c:ptCount val="3"/>
                <c:pt idx="0">
                  <c:v>Model Assumptions</c:v>
                </c:pt>
                <c:pt idx="1">
                  <c:v>Max Values</c:v>
                </c:pt>
                <c:pt idx="2">
                  <c:v>Min Values</c:v>
                </c:pt>
              </c:strCache>
            </c:strRef>
          </c:cat>
          <c:val>
            <c:numRef>
              <c:f>'7- Ranking'!$AH$4:$AH$6</c:f>
              <c:numCache>
                <c:formatCode>General</c:formatCode>
                <c:ptCount val="3"/>
                <c:pt idx="0">
                  <c:v>16</c:v>
                </c:pt>
                <c:pt idx="1">
                  <c:v>9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0C-426D-8246-27E27D25D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13566144"/>
        <c:axId val="1113561984"/>
      </c:barChart>
      <c:catAx>
        <c:axId val="1113566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3561984"/>
        <c:crosses val="autoZero"/>
        <c:auto val="1"/>
        <c:lblAlgn val="ctr"/>
        <c:lblOffset val="100"/>
        <c:noMultiLvlLbl val="0"/>
      </c:catAx>
      <c:valAx>
        <c:axId val="1113561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35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Profits After Conversion (Millions)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'7- Ranking'!$AH$7</c:f>
              <c:strCache>
                <c:ptCount val="1"/>
                <c:pt idx="0">
                  <c:v>Profits After Conversion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'7- Ranking'!$AG$8:$AG$10</c:f>
              <c:strCache>
                <c:ptCount val="3"/>
                <c:pt idx="0">
                  <c:v>Model Assumptions </c:v>
                </c:pt>
                <c:pt idx="1">
                  <c:v>Max Values</c:v>
                </c:pt>
                <c:pt idx="2">
                  <c:v>Min Values</c:v>
                </c:pt>
              </c:strCache>
            </c:strRef>
          </c:cat>
          <c:val>
            <c:numRef>
              <c:f>'7- Ranking'!$AH$8:$AH$10</c:f>
              <c:numCache>
                <c:formatCode>General</c:formatCode>
                <c:ptCount val="3"/>
                <c:pt idx="0">
                  <c:v>1.1599999999999999</c:v>
                </c:pt>
                <c:pt idx="1">
                  <c:v>0.33</c:v>
                </c:pt>
                <c:pt idx="2">
                  <c:v>1.92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F8-45A5-B6B3-722901564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13592352"/>
        <c:axId val="1113599424"/>
      </c:barChart>
      <c:catAx>
        <c:axId val="1113592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3599424"/>
        <c:crosses val="autoZero"/>
        <c:auto val="1"/>
        <c:lblAlgn val="ctr"/>
        <c:lblOffset val="100"/>
        <c:noMultiLvlLbl val="0"/>
      </c:catAx>
      <c:valAx>
        <c:axId val="111359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359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176212</xdr:colOff>
      <xdr:row>0</xdr:row>
      <xdr:rowOff>19050</xdr:rowOff>
    </xdr:from>
    <xdr:to>
      <xdr:col>11</xdr:col>
      <xdr:colOff>633412</xdr:colOff>
      <xdr:row>13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A05614-1444-49C4-87FA-C2EA61513E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285750</xdr:colOff>
      <xdr:row>14</xdr:row>
      <xdr:rowOff>95250</xdr:rowOff>
    </xdr:from>
    <xdr:to>
      <xdr:col>12</xdr:col>
      <xdr:colOff>57150</xdr:colOff>
      <xdr:row>28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0B6309-56B4-453E-A68C-7D8406416C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44450</xdr:colOff>
      <xdr:row>6</xdr:row>
      <xdr:rowOff>133350</xdr:rowOff>
    </xdr:from>
    <xdr:to>
      <xdr:col>20</xdr:col>
      <xdr:colOff>177800</xdr:colOff>
      <xdr:row>26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59DCC8-C4DF-42A5-8FEB-7B768CDAE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831850</xdr:colOff>
      <xdr:row>7</xdr:row>
      <xdr:rowOff>76200</xdr:rowOff>
    </xdr:from>
    <xdr:to>
      <xdr:col>16</xdr:col>
      <xdr:colOff>2025650</xdr:colOff>
      <xdr:row>20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4A4A48-D70F-47AA-97B0-3B411ACE89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20412</xdr:colOff>
      <xdr:row>3</xdr:row>
      <xdr:rowOff>27224</xdr:rowOff>
    </xdr:from>
    <xdr:to>
      <xdr:col>39</xdr:col>
      <xdr:colOff>27215</xdr:colOff>
      <xdr:row>16</xdr:row>
      <xdr:rowOff>190501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59859A-DC12-497F-8DCF-CC14C6B58B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1694089</xdr:colOff>
      <xdr:row>18</xdr:row>
      <xdr:rowOff>40821</xdr:rowOff>
    </xdr:from>
    <xdr:to>
      <xdr:col>38</xdr:col>
      <xdr:colOff>802821</xdr:colOff>
      <xdr:row>31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B691B5-309D-4445-A829-8F6CEF4480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08B9E-7A92-47EA-8089-315A79287D87}">
  <dimension ref="A1:E18"/>
  <sheetViews>
    <sheetView workbookViewId="0">
      <selection activeCell="A12" sqref="A12"/>
    </sheetView>
  </sheetViews>
  <sheetFormatPr defaultRowHeight="15.75"/>
  <cols>
    <col min="2" max="2" width="19.625" bestFit="1" customWidth="1"/>
    <col min="3" max="3" width="23.625" bestFit="1" customWidth="1"/>
    <col min="4" max="4" width="20" bestFit="1" customWidth="1"/>
    <col min="5" max="5" width="24.5" bestFit="1" customWidth="1"/>
  </cols>
  <sheetData>
    <row r="1" spans="1:5">
      <c r="B1" t="s">
        <v>481</v>
      </c>
      <c r="C1" t="s">
        <v>482</v>
      </c>
      <c r="D1" t="s">
        <v>483</v>
      </c>
      <c r="E1" t="s">
        <v>484</v>
      </c>
    </row>
    <row r="2" spans="1:5">
      <c r="A2" t="s">
        <v>478</v>
      </c>
      <c r="B2">
        <v>5</v>
      </c>
      <c r="C2">
        <v>5</v>
      </c>
      <c r="D2">
        <v>5</v>
      </c>
      <c r="E2">
        <v>5</v>
      </c>
    </row>
    <row r="3" spans="1:5">
      <c r="A3" t="s">
        <v>479</v>
      </c>
      <c r="B3">
        <v>5</v>
      </c>
      <c r="C3">
        <v>5</v>
      </c>
      <c r="D3">
        <v>5</v>
      </c>
      <c r="E3">
        <v>5</v>
      </c>
    </row>
    <row r="4" spans="1:5">
      <c r="A4" t="s">
        <v>480</v>
      </c>
      <c r="B4">
        <v>5</v>
      </c>
      <c r="C4">
        <v>5</v>
      </c>
      <c r="D4">
        <v>5</v>
      </c>
      <c r="E4">
        <v>5</v>
      </c>
    </row>
    <row r="15" spans="1:5">
      <c r="B15" t="s">
        <v>485</v>
      </c>
      <c r="C15" t="s">
        <v>486</v>
      </c>
      <c r="D15" t="s">
        <v>487</v>
      </c>
      <c r="E15" t="s">
        <v>488</v>
      </c>
    </row>
    <row r="16" spans="1:5">
      <c r="A16" t="s">
        <v>478</v>
      </c>
      <c r="B16">
        <v>5</v>
      </c>
      <c r="C16">
        <v>10</v>
      </c>
      <c r="D16">
        <v>15</v>
      </c>
      <c r="E16">
        <v>20</v>
      </c>
    </row>
    <row r="17" spans="1:5">
      <c r="A17" t="s">
        <v>479</v>
      </c>
      <c r="B17">
        <v>6</v>
      </c>
      <c r="C17">
        <v>11</v>
      </c>
      <c r="D17">
        <v>16</v>
      </c>
      <c r="E17">
        <v>21</v>
      </c>
    </row>
    <row r="18" spans="1:5">
      <c r="A18" t="s">
        <v>480</v>
      </c>
      <c r="B18">
        <v>4</v>
      </c>
      <c r="C18">
        <v>9</v>
      </c>
      <c r="D18">
        <v>14</v>
      </c>
      <c r="E18">
        <v>19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0AA5E-D025-47C7-A734-0F926F14B0F6}">
  <sheetPr codeName="Sheet1"/>
  <dimension ref="A1:P247"/>
  <sheetViews>
    <sheetView workbookViewId="0">
      <selection activeCell="I4" sqref="I4"/>
    </sheetView>
  </sheetViews>
  <sheetFormatPr defaultColWidth="11" defaultRowHeight="15.75"/>
  <cols>
    <col min="1" max="1" width="22.125" customWidth="1"/>
    <col min="3" max="3" width="38.5" customWidth="1"/>
    <col min="4" max="4" width="26.125" customWidth="1"/>
    <col min="5" max="5" width="20.875" customWidth="1"/>
    <col min="6" max="6" width="18.125" customWidth="1"/>
    <col min="7" max="7" width="39.125" style="4" customWidth="1"/>
    <col min="8" max="8" width="21.5" customWidth="1"/>
    <col min="9" max="9" width="25.625" customWidth="1"/>
    <col min="10" max="10" width="16.5" bestFit="1" customWidth="1"/>
    <col min="11" max="11" width="24.5" style="12" bestFit="1" customWidth="1"/>
    <col min="12" max="12" width="24.5" customWidth="1"/>
    <col min="13" max="13" width="14.375" bestFit="1" customWidth="1"/>
    <col min="14" max="14" width="11.875" bestFit="1" customWidth="1"/>
    <col min="15" max="15" width="12.125" bestFit="1" customWidth="1"/>
    <col min="16" max="16" width="27.5" bestFit="1" customWidth="1"/>
  </cols>
  <sheetData>
    <row r="1" spans="1:16">
      <c r="B1" t="s">
        <v>0</v>
      </c>
      <c r="C1" s="1" t="s">
        <v>1</v>
      </c>
      <c r="D1" s="2" t="s">
        <v>523</v>
      </c>
      <c r="J1" t="s">
        <v>522</v>
      </c>
      <c r="M1" t="s">
        <v>521</v>
      </c>
      <c r="N1" s="102" cm="1">
        <f t="array" ref="N1:O5">LINEST(K4:K247,J4:J247,TRUE,TRUE)</f>
        <v>-1.5211991490006831E-4</v>
      </c>
      <c r="O1" s="102">
        <v>0.50845512164958995</v>
      </c>
      <c r="P1" t="s">
        <v>520</v>
      </c>
    </row>
    <row r="2" spans="1:16">
      <c r="E2" t="s">
        <v>11</v>
      </c>
      <c r="F2" s="107">
        <f>36/37</f>
        <v>0.97297297297297303</v>
      </c>
      <c r="G2" s="13" t="s">
        <v>519</v>
      </c>
      <c r="H2" t="s">
        <v>13</v>
      </c>
      <c r="J2" t="s">
        <v>518</v>
      </c>
      <c r="K2" s="12" t="s">
        <v>517</v>
      </c>
      <c r="M2" s="106" t="s">
        <v>516</v>
      </c>
      <c r="N2" s="102">
        <v>5.3686214294869875E-5</v>
      </c>
      <c r="O2" s="102">
        <v>2.1194318471135926E-2</v>
      </c>
      <c r="P2" s="106" t="s">
        <v>516</v>
      </c>
    </row>
    <row r="3" spans="1:16" s="103" customFormat="1">
      <c r="A3" s="24" t="s">
        <v>27</v>
      </c>
      <c r="B3" s="24" t="s">
        <v>28</v>
      </c>
      <c r="C3" s="24" t="s">
        <v>29</v>
      </c>
      <c r="D3" s="24" t="s">
        <v>30</v>
      </c>
      <c r="E3" s="24" t="s">
        <v>31</v>
      </c>
      <c r="F3" s="24" t="s">
        <v>32</v>
      </c>
      <c r="G3" s="2" t="s">
        <v>33</v>
      </c>
      <c r="H3" s="24" t="s">
        <v>515</v>
      </c>
      <c r="I3" s="24" t="s">
        <v>514</v>
      </c>
      <c r="J3" s="24" t="s">
        <v>513</v>
      </c>
      <c r="K3" s="26" t="s">
        <v>35</v>
      </c>
      <c r="L3" s="24" t="s">
        <v>512</v>
      </c>
      <c r="M3" s="105" t="s">
        <v>511</v>
      </c>
      <c r="N3" s="104">
        <v>3.2111210684866623E-2</v>
      </c>
      <c r="O3" s="104">
        <v>0.16138241361011854</v>
      </c>
      <c r="P3" s="103" t="s">
        <v>510</v>
      </c>
    </row>
    <row r="4" spans="1:16">
      <c r="A4" s="100" t="s">
        <v>96</v>
      </c>
      <c r="B4" s="100" t="s">
        <v>97</v>
      </c>
      <c r="C4" s="100" t="s">
        <v>98</v>
      </c>
      <c r="D4" s="100">
        <v>2</v>
      </c>
      <c r="E4" s="100">
        <v>1060</v>
      </c>
      <c r="F4" s="99">
        <v>0.16159999999999999</v>
      </c>
      <c r="G4" s="101">
        <f>E4*12*F4</f>
        <v>2055.5520000000001</v>
      </c>
      <c r="H4" s="100">
        <v>114</v>
      </c>
      <c r="I4" s="100">
        <v>153</v>
      </c>
      <c r="J4" s="100">
        <v>148</v>
      </c>
      <c r="K4" s="99">
        <v>0.16159999999999999</v>
      </c>
      <c r="L4" s="99">
        <f>(J4*$N$1)+$O$1</f>
        <v>0.48594137424437983</v>
      </c>
      <c r="M4" t="s">
        <v>509</v>
      </c>
      <c r="N4" s="102">
        <v>8.0287250679247233</v>
      </c>
      <c r="O4" s="102">
        <v>242</v>
      </c>
      <c r="P4" t="s">
        <v>508</v>
      </c>
    </row>
    <row r="5" spans="1:16">
      <c r="A5" s="100" t="s">
        <v>99</v>
      </c>
      <c r="B5" s="100" t="s">
        <v>100</v>
      </c>
      <c r="C5" s="100" t="s">
        <v>98</v>
      </c>
      <c r="D5" s="100">
        <v>2</v>
      </c>
      <c r="E5" s="100">
        <v>1200</v>
      </c>
      <c r="F5" s="99">
        <v>0.34789999999999999</v>
      </c>
      <c r="G5" s="101">
        <f>E5*12*F5</f>
        <v>5009.76</v>
      </c>
      <c r="H5" s="100">
        <v>111</v>
      </c>
      <c r="I5" s="100">
        <v>149</v>
      </c>
      <c r="J5" s="100">
        <v>133</v>
      </c>
      <c r="K5" s="99">
        <v>0.34789999999999999</v>
      </c>
      <c r="L5" s="99">
        <f>(J5*$N$1)+$O$1</f>
        <v>0.48822317296788087</v>
      </c>
      <c r="M5" t="s">
        <v>507</v>
      </c>
      <c r="N5" s="102">
        <v>0.20910239119138474</v>
      </c>
      <c r="O5" s="102">
        <v>6.3027165882758247</v>
      </c>
      <c r="P5" t="s">
        <v>506</v>
      </c>
    </row>
    <row r="6" spans="1:16">
      <c r="A6" s="100" t="s">
        <v>101</v>
      </c>
      <c r="B6" s="100" t="s">
        <v>102</v>
      </c>
      <c r="C6" s="100" t="s">
        <v>98</v>
      </c>
      <c r="D6" s="100">
        <v>1</v>
      </c>
      <c r="E6" s="100">
        <v>3300</v>
      </c>
      <c r="F6" s="99">
        <v>0.39729999999999999</v>
      </c>
      <c r="G6" s="101">
        <f>E6*12*F6</f>
        <v>15733.08</v>
      </c>
      <c r="H6" s="100">
        <v>108</v>
      </c>
      <c r="I6" s="100">
        <v>610</v>
      </c>
      <c r="J6" s="100">
        <v>372</v>
      </c>
      <c r="K6" s="99">
        <v>0.39729999999999999</v>
      </c>
      <c r="L6" s="99">
        <f>(J6*$N$1)+$O$1</f>
        <v>0.45186651330676453</v>
      </c>
    </row>
    <row r="7" spans="1:16">
      <c r="A7" s="100" t="s">
        <v>103</v>
      </c>
      <c r="B7" s="100" t="s">
        <v>104</v>
      </c>
      <c r="C7" s="100" t="s">
        <v>98</v>
      </c>
      <c r="D7" s="100">
        <v>1</v>
      </c>
      <c r="E7" s="100">
        <v>1400</v>
      </c>
      <c r="F7" s="99">
        <v>0.3644</v>
      </c>
      <c r="G7" s="101">
        <f>E7*12*F7</f>
        <v>6121.92</v>
      </c>
      <c r="H7" s="100">
        <v>178</v>
      </c>
      <c r="I7" s="100">
        <v>533</v>
      </c>
      <c r="J7" s="100">
        <v>302</v>
      </c>
      <c r="K7" s="99">
        <v>0.3644</v>
      </c>
      <c r="L7" s="99">
        <f>(J7*$N$1)+$O$1</f>
        <v>0.4625149073497693</v>
      </c>
    </row>
    <row r="8" spans="1:16">
      <c r="A8" s="100" t="s">
        <v>105</v>
      </c>
      <c r="B8" s="100" t="s">
        <v>104</v>
      </c>
      <c r="C8" s="100" t="s">
        <v>98</v>
      </c>
      <c r="D8" s="100">
        <v>2</v>
      </c>
      <c r="E8" s="100">
        <v>2000</v>
      </c>
      <c r="F8" s="99">
        <v>0.41099999999999998</v>
      </c>
      <c r="G8" s="101">
        <f>E8*12*F8</f>
        <v>9864</v>
      </c>
      <c r="H8" s="100">
        <v>221</v>
      </c>
      <c r="I8" s="100">
        <v>617</v>
      </c>
      <c r="J8" s="100">
        <v>429</v>
      </c>
      <c r="K8" s="99">
        <v>0.41099999999999998</v>
      </c>
      <c r="L8" s="99">
        <f>(J8*$N$1)+$O$1</f>
        <v>0.44319567815746064</v>
      </c>
    </row>
    <row r="9" spans="1:16">
      <c r="A9" s="100" t="s">
        <v>106</v>
      </c>
      <c r="B9" s="100" t="s">
        <v>104</v>
      </c>
      <c r="C9" s="100" t="s">
        <v>107</v>
      </c>
      <c r="D9" s="100">
        <v>1</v>
      </c>
      <c r="E9" s="100">
        <v>1600</v>
      </c>
      <c r="F9" s="99">
        <v>0.41099999999999998</v>
      </c>
      <c r="G9" s="101">
        <f>E9*12*F9</f>
        <v>7891.2</v>
      </c>
      <c r="H9" s="100">
        <v>202</v>
      </c>
      <c r="I9" s="100">
        <v>646</v>
      </c>
      <c r="J9" s="100">
        <v>380</v>
      </c>
      <c r="K9" s="99">
        <v>0.41099999999999998</v>
      </c>
      <c r="L9" s="99">
        <f>(J9*$N$1)+$O$1</f>
        <v>0.45064955398756401</v>
      </c>
    </row>
    <row r="10" spans="1:16">
      <c r="A10" s="100" t="s">
        <v>108</v>
      </c>
      <c r="B10" s="100" t="s">
        <v>104</v>
      </c>
      <c r="C10" s="100" t="s">
        <v>107</v>
      </c>
      <c r="D10" s="100">
        <v>2</v>
      </c>
      <c r="E10" s="100">
        <v>2800</v>
      </c>
      <c r="F10" s="99">
        <v>0.52600000000000002</v>
      </c>
      <c r="G10" s="101">
        <f>E10*12*F10</f>
        <v>17673.600000000002</v>
      </c>
      <c r="H10" s="100">
        <v>197</v>
      </c>
      <c r="I10" s="100">
        <v>639</v>
      </c>
      <c r="J10" s="100">
        <v>374</v>
      </c>
      <c r="K10" s="99">
        <v>0.52600000000000002</v>
      </c>
      <c r="L10" s="99">
        <f>(J10*$N$1)+$O$1</f>
        <v>0.45156227347696443</v>
      </c>
    </row>
    <row r="11" spans="1:16">
      <c r="A11" s="100" t="s">
        <v>109</v>
      </c>
      <c r="B11" s="100" t="s">
        <v>110</v>
      </c>
      <c r="C11" s="100" t="s">
        <v>98</v>
      </c>
      <c r="D11" s="100">
        <v>1</v>
      </c>
      <c r="E11" s="100">
        <v>1100</v>
      </c>
      <c r="F11" s="99">
        <v>0.43290000000000001</v>
      </c>
      <c r="G11" s="101">
        <f>E11*12*F11</f>
        <v>5714.28</v>
      </c>
      <c r="H11" s="100">
        <v>114</v>
      </c>
      <c r="I11" s="100">
        <v>477</v>
      </c>
      <c r="J11" s="100">
        <v>386</v>
      </c>
      <c r="K11" s="99">
        <v>0.43290000000000001</v>
      </c>
      <c r="L11" s="99">
        <f>(J11*$N$1)+$O$1</f>
        <v>0.4497368344981636</v>
      </c>
    </row>
    <row r="12" spans="1:16">
      <c r="A12" s="100" t="s">
        <v>111</v>
      </c>
      <c r="B12" s="100" t="s">
        <v>110</v>
      </c>
      <c r="C12" s="100" t="s">
        <v>98</v>
      </c>
      <c r="D12" s="100">
        <v>2</v>
      </c>
      <c r="E12" s="100">
        <v>1900</v>
      </c>
      <c r="F12" s="99">
        <v>0.69589999999999996</v>
      </c>
      <c r="G12" s="101">
        <f>E12*12*F12</f>
        <v>15866.519999999999</v>
      </c>
      <c r="H12" s="100">
        <v>80</v>
      </c>
      <c r="I12" s="100">
        <v>583</v>
      </c>
      <c r="J12" s="100">
        <v>212</v>
      </c>
      <c r="K12" s="99">
        <v>0.69589999999999996</v>
      </c>
      <c r="L12" s="99">
        <f>(J12*$N$1)+$O$1</f>
        <v>0.47620569969077547</v>
      </c>
    </row>
    <row r="13" spans="1:16">
      <c r="A13" s="100" t="s">
        <v>112</v>
      </c>
      <c r="B13" s="100" t="s">
        <v>110</v>
      </c>
      <c r="C13" s="100" t="s">
        <v>107</v>
      </c>
      <c r="D13" s="100">
        <v>1</v>
      </c>
      <c r="E13" s="100">
        <v>1800</v>
      </c>
      <c r="F13" s="99">
        <v>0.1096</v>
      </c>
      <c r="G13" s="101">
        <f>E13*12*F13</f>
        <v>2367.36</v>
      </c>
      <c r="H13" s="100">
        <v>239</v>
      </c>
      <c r="I13" s="100">
        <v>1431</v>
      </c>
      <c r="J13" s="100">
        <v>969</v>
      </c>
      <c r="K13" s="99">
        <v>0.1096</v>
      </c>
      <c r="L13" s="99">
        <f>(J13*$N$1)+$O$1</f>
        <v>0.36105092411142375</v>
      </c>
    </row>
    <row r="14" spans="1:16">
      <c r="A14" s="100" t="s">
        <v>113</v>
      </c>
      <c r="B14" s="100" t="s">
        <v>110</v>
      </c>
      <c r="C14" s="100" t="s">
        <v>107</v>
      </c>
      <c r="D14" s="100">
        <v>2</v>
      </c>
      <c r="E14" s="100">
        <v>3200</v>
      </c>
      <c r="F14" s="99">
        <v>0.22470000000000001</v>
      </c>
      <c r="G14" s="101">
        <f>E14*12*F14</f>
        <v>8628.48</v>
      </c>
      <c r="H14" s="100">
        <v>236</v>
      </c>
      <c r="I14" s="100">
        <v>1533</v>
      </c>
      <c r="J14" s="100">
        <v>885</v>
      </c>
      <c r="K14" s="99">
        <v>0.22470000000000001</v>
      </c>
      <c r="L14" s="99">
        <f>(J14*$N$1)+$O$1</f>
        <v>0.37382899696302951</v>
      </c>
    </row>
    <row r="15" spans="1:16">
      <c r="A15" s="100" t="s">
        <v>114</v>
      </c>
      <c r="B15" s="100" t="s">
        <v>115</v>
      </c>
      <c r="C15" s="100" t="s">
        <v>98</v>
      </c>
      <c r="D15" s="100">
        <v>1</v>
      </c>
      <c r="E15" s="100">
        <v>1000</v>
      </c>
      <c r="F15" s="99">
        <v>0.21920000000000001</v>
      </c>
      <c r="G15" s="101">
        <f>E15*12*F15</f>
        <v>2630.4</v>
      </c>
      <c r="H15" s="100">
        <v>138</v>
      </c>
      <c r="I15" s="100">
        <v>550</v>
      </c>
      <c r="J15" s="100">
        <v>287</v>
      </c>
      <c r="K15" s="99">
        <v>0.21920000000000001</v>
      </c>
      <c r="L15" s="99">
        <f>(J15*$N$1)+$O$1</f>
        <v>0.46479670607327034</v>
      </c>
    </row>
    <row r="16" spans="1:16">
      <c r="A16" s="100" t="s">
        <v>116</v>
      </c>
      <c r="B16" s="100" t="s">
        <v>100</v>
      </c>
      <c r="C16" s="100" t="s">
        <v>107</v>
      </c>
      <c r="D16" s="100">
        <v>1</v>
      </c>
      <c r="E16" s="100">
        <v>1000</v>
      </c>
      <c r="F16" s="99">
        <v>0.39179999999999998</v>
      </c>
      <c r="G16" s="101">
        <f>E16*12*F16</f>
        <v>4701.5999999999995</v>
      </c>
      <c r="H16" s="100">
        <v>116</v>
      </c>
      <c r="I16" s="100">
        <v>296</v>
      </c>
      <c r="J16" s="100">
        <v>206</v>
      </c>
      <c r="K16" s="99">
        <v>0.39179999999999998</v>
      </c>
      <c r="L16" s="99">
        <f>(J16*$N$1)+$O$1</f>
        <v>0.47711841918017589</v>
      </c>
    </row>
    <row r="17" spans="1:12">
      <c r="A17" s="100" t="s">
        <v>117</v>
      </c>
      <c r="B17" s="100" t="s">
        <v>115</v>
      </c>
      <c r="C17" s="100" t="s">
        <v>98</v>
      </c>
      <c r="D17" s="100">
        <v>2</v>
      </c>
      <c r="E17" s="100">
        <v>1300</v>
      </c>
      <c r="F17" s="99">
        <v>0.53700000000000003</v>
      </c>
      <c r="G17" s="101">
        <f>E17*12*F17</f>
        <v>8377.2000000000007</v>
      </c>
      <c r="H17" s="100">
        <v>175</v>
      </c>
      <c r="I17" s="100">
        <v>917</v>
      </c>
      <c r="J17" s="100">
        <v>462</v>
      </c>
      <c r="K17" s="99">
        <v>0.53700000000000003</v>
      </c>
      <c r="L17" s="99">
        <f>(J17*$N$1)+$O$1</f>
        <v>0.43817572096575841</v>
      </c>
    </row>
    <row r="18" spans="1:12">
      <c r="A18" s="100" t="s">
        <v>118</v>
      </c>
      <c r="B18" s="100" t="s">
        <v>115</v>
      </c>
      <c r="C18" s="100" t="s">
        <v>107</v>
      </c>
      <c r="D18" s="100">
        <v>1</v>
      </c>
      <c r="E18" s="100">
        <v>1200</v>
      </c>
      <c r="F18" s="99">
        <v>0.51229999999999998</v>
      </c>
      <c r="G18" s="101">
        <f>E18*12*F18</f>
        <v>7377.12</v>
      </c>
      <c r="H18" s="100">
        <v>130</v>
      </c>
      <c r="I18" s="100">
        <v>821</v>
      </c>
      <c r="J18" s="100">
        <v>389</v>
      </c>
      <c r="K18" s="99">
        <v>0.51229999999999998</v>
      </c>
      <c r="L18" s="99">
        <f>(J18*$N$1)+$O$1</f>
        <v>0.44928047475346339</v>
      </c>
    </row>
    <row r="19" spans="1:12">
      <c r="A19" s="100" t="s">
        <v>119</v>
      </c>
      <c r="B19" s="100" t="s">
        <v>115</v>
      </c>
      <c r="C19" s="100" t="s">
        <v>107</v>
      </c>
      <c r="D19" s="100">
        <v>2</v>
      </c>
      <c r="E19" s="100">
        <v>1600</v>
      </c>
      <c r="F19" s="99">
        <v>0.36159999999999998</v>
      </c>
      <c r="G19" s="101">
        <f>E19*12*F19</f>
        <v>6942.7199999999993</v>
      </c>
      <c r="H19" s="100">
        <v>241</v>
      </c>
      <c r="I19" s="100">
        <v>866</v>
      </c>
      <c r="J19" s="100">
        <v>678</v>
      </c>
      <c r="K19" s="99">
        <v>0.36159999999999998</v>
      </c>
      <c r="L19" s="99">
        <f>(J19*$N$1)+$O$1</f>
        <v>0.40531781934734362</v>
      </c>
    </row>
    <row r="20" spans="1:12">
      <c r="A20" s="100" t="s">
        <v>120</v>
      </c>
      <c r="B20" s="100" t="s">
        <v>121</v>
      </c>
      <c r="C20" s="100" t="s">
        <v>98</v>
      </c>
      <c r="D20" s="100">
        <v>1</v>
      </c>
      <c r="E20" s="100">
        <v>800</v>
      </c>
      <c r="F20" s="99">
        <v>0.84379999999999999</v>
      </c>
      <c r="G20" s="101">
        <f>E20*12*F20</f>
        <v>8100.48</v>
      </c>
      <c r="H20" s="100">
        <v>134</v>
      </c>
      <c r="I20" s="100">
        <v>288</v>
      </c>
      <c r="J20" s="100">
        <v>163</v>
      </c>
      <c r="K20" s="99">
        <v>0.84379999999999999</v>
      </c>
      <c r="L20" s="99">
        <f>(J20*$N$1)+$O$1</f>
        <v>0.48365957552087879</v>
      </c>
    </row>
    <row r="21" spans="1:12">
      <c r="A21" s="100" t="s">
        <v>122</v>
      </c>
      <c r="B21" s="100" t="s">
        <v>121</v>
      </c>
      <c r="C21" s="100" t="s">
        <v>98</v>
      </c>
      <c r="D21" s="100">
        <v>2</v>
      </c>
      <c r="E21" s="100">
        <v>1200</v>
      </c>
      <c r="F21" s="99">
        <v>0.91510000000000002</v>
      </c>
      <c r="G21" s="101">
        <f>E21*12*F21</f>
        <v>13177.44</v>
      </c>
      <c r="H21" s="100">
        <v>234</v>
      </c>
      <c r="I21" s="100">
        <v>794</v>
      </c>
      <c r="J21" s="100">
        <v>374</v>
      </c>
      <c r="K21" s="99">
        <v>0.91510000000000002</v>
      </c>
      <c r="L21" s="99">
        <f>(J21*$N$1)+$O$1</f>
        <v>0.45156227347696443</v>
      </c>
    </row>
    <row r="22" spans="1:12">
      <c r="A22" s="100" t="s">
        <v>123</v>
      </c>
      <c r="B22" s="100" t="s">
        <v>121</v>
      </c>
      <c r="C22" s="100" t="s">
        <v>107</v>
      </c>
      <c r="D22" s="100">
        <v>1</v>
      </c>
      <c r="E22" s="100">
        <v>900</v>
      </c>
      <c r="F22" s="99">
        <v>0.43009999999999998</v>
      </c>
      <c r="G22" s="101">
        <f>E22*12*F22</f>
        <v>4645.08</v>
      </c>
      <c r="H22" s="100">
        <v>252</v>
      </c>
      <c r="I22" s="100">
        <v>547</v>
      </c>
      <c r="J22" s="100">
        <v>444</v>
      </c>
      <c r="K22" s="99">
        <v>0.43009999999999998</v>
      </c>
      <c r="L22" s="99">
        <f>(J22*$N$1)+$O$1</f>
        <v>0.4409138794339596</v>
      </c>
    </row>
    <row r="23" spans="1:12">
      <c r="A23" s="100" t="s">
        <v>124</v>
      </c>
      <c r="B23" s="100" t="s">
        <v>121</v>
      </c>
      <c r="C23" s="100" t="s">
        <v>107</v>
      </c>
      <c r="D23" s="100">
        <v>2</v>
      </c>
      <c r="E23" s="100">
        <v>1100</v>
      </c>
      <c r="F23" s="99">
        <v>0.48220000000000002</v>
      </c>
      <c r="G23" s="101">
        <f>E23*12*F23</f>
        <v>6365.04</v>
      </c>
      <c r="H23" s="100">
        <v>246</v>
      </c>
      <c r="I23" s="100">
        <v>616</v>
      </c>
      <c r="J23" s="100">
        <v>426</v>
      </c>
      <c r="K23" s="99">
        <v>0.48220000000000002</v>
      </c>
      <c r="L23" s="99">
        <f>(J23*$N$1)+$O$1</f>
        <v>0.44365203790216085</v>
      </c>
    </row>
    <row r="24" spans="1:12">
      <c r="A24" s="100" t="s">
        <v>125</v>
      </c>
      <c r="B24" s="100" t="s">
        <v>126</v>
      </c>
      <c r="C24" s="100" t="s">
        <v>98</v>
      </c>
      <c r="D24" s="100">
        <v>1</v>
      </c>
      <c r="E24" s="100">
        <v>1000</v>
      </c>
      <c r="F24" s="99">
        <v>0.4904</v>
      </c>
      <c r="G24" s="101">
        <f>E24*12*F24</f>
        <v>5884.8</v>
      </c>
      <c r="H24" s="100">
        <v>171</v>
      </c>
      <c r="I24" s="100">
        <v>457</v>
      </c>
      <c r="J24" s="100">
        <v>332</v>
      </c>
      <c r="K24" s="99">
        <v>0.4904</v>
      </c>
      <c r="L24" s="99">
        <f>(J24*$N$1)+$O$1</f>
        <v>0.45795130990276728</v>
      </c>
    </row>
    <row r="25" spans="1:12">
      <c r="A25" s="100" t="s">
        <v>127</v>
      </c>
      <c r="B25" s="100" t="s">
        <v>126</v>
      </c>
      <c r="C25" s="100" t="s">
        <v>98</v>
      </c>
      <c r="D25" s="100">
        <v>2</v>
      </c>
      <c r="E25" s="100">
        <v>1400</v>
      </c>
      <c r="F25" s="99">
        <v>0.52329999999999999</v>
      </c>
      <c r="G25" s="101">
        <f>E25*12*F25</f>
        <v>8791.44</v>
      </c>
      <c r="H25" s="100">
        <v>262</v>
      </c>
      <c r="I25" s="100">
        <v>567</v>
      </c>
      <c r="J25" s="100">
        <v>430</v>
      </c>
      <c r="K25" s="99">
        <v>0.52329999999999999</v>
      </c>
      <c r="L25" s="99">
        <f>(J25*$N$1)+$O$1</f>
        <v>0.44304355824256059</v>
      </c>
    </row>
    <row r="26" spans="1:12">
      <c r="A26" s="100" t="s">
        <v>128</v>
      </c>
      <c r="B26" s="100" t="s">
        <v>126</v>
      </c>
      <c r="C26" s="100" t="s">
        <v>107</v>
      </c>
      <c r="D26" s="100">
        <v>1</v>
      </c>
      <c r="E26" s="100">
        <v>1500</v>
      </c>
      <c r="F26" s="99">
        <v>0.44929999999999998</v>
      </c>
      <c r="G26" s="101">
        <f>E26*12*F26</f>
        <v>8087.4</v>
      </c>
      <c r="H26" s="100">
        <v>229</v>
      </c>
      <c r="I26" s="100">
        <v>859</v>
      </c>
      <c r="J26" s="100">
        <v>662</v>
      </c>
      <c r="K26" s="99">
        <v>0.44929999999999998</v>
      </c>
      <c r="L26" s="99">
        <f>(J26*$N$1)+$O$1</f>
        <v>0.40775173798574471</v>
      </c>
    </row>
    <row r="27" spans="1:12">
      <c r="A27" s="100" t="s">
        <v>129</v>
      </c>
      <c r="B27" s="100" t="s">
        <v>100</v>
      </c>
      <c r="C27" s="100" t="s">
        <v>107</v>
      </c>
      <c r="D27" s="100">
        <v>2</v>
      </c>
      <c r="E27" s="100">
        <v>1300</v>
      </c>
      <c r="F27" s="99">
        <v>0.6603</v>
      </c>
      <c r="G27" s="101">
        <f>E27*12*F27</f>
        <v>10300.68</v>
      </c>
      <c r="H27" s="100">
        <v>136</v>
      </c>
      <c r="I27" s="100">
        <v>336</v>
      </c>
      <c r="J27" s="100">
        <v>186</v>
      </c>
      <c r="K27" s="99">
        <v>0.6603</v>
      </c>
      <c r="L27" s="99">
        <f>(J27*$N$1)+$O$1</f>
        <v>0.48016081747817724</v>
      </c>
    </row>
    <row r="28" spans="1:12">
      <c r="A28" s="100" t="s">
        <v>130</v>
      </c>
      <c r="B28" s="100" t="s">
        <v>126</v>
      </c>
      <c r="C28" s="100" t="s">
        <v>107</v>
      </c>
      <c r="D28" s="100">
        <v>2</v>
      </c>
      <c r="E28" s="100">
        <v>1600</v>
      </c>
      <c r="F28" s="99">
        <v>0.48770000000000002</v>
      </c>
      <c r="G28" s="101">
        <f>E28*12*F28</f>
        <v>9363.84</v>
      </c>
      <c r="H28" s="100">
        <v>449</v>
      </c>
      <c r="I28" s="100">
        <v>899</v>
      </c>
      <c r="J28" s="100">
        <v>696</v>
      </c>
      <c r="K28" s="99">
        <v>0.48770000000000002</v>
      </c>
      <c r="L28" s="99">
        <f>(J28*$N$1)+$O$1</f>
        <v>0.40257966087914243</v>
      </c>
    </row>
    <row r="29" spans="1:12">
      <c r="A29" s="100" t="s">
        <v>131</v>
      </c>
      <c r="B29" s="100" t="s">
        <v>132</v>
      </c>
      <c r="C29" s="100" t="s">
        <v>98</v>
      </c>
      <c r="D29" s="100">
        <v>1</v>
      </c>
      <c r="E29" s="100">
        <v>600</v>
      </c>
      <c r="F29" s="99">
        <v>0.43840000000000001</v>
      </c>
      <c r="G29" s="101">
        <f>E29*12*F29</f>
        <v>3156.48</v>
      </c>
      <c r="H29" s="100">
        <v>132</v>
      </c>
      <c r="I29" s="100">
        <v>226</v>
      </c>
      <c r="J29" s="100">
        <v>182</v>
      </c>
      <c r="K29" s="99">
        <v>0.43840000000000001</v>
      </c>
      <c r="L29" s="99">
        <f>(J29*$N$1)+$O$1</f>
        <v>0.4807692971377775</v>
      </c>
    </row>
    <row r="30" spans="1:12">
      <c r="A30" s="100" t="s">
        <v>133</v>
      </c>
      <c r="B30" s="100" t="s">
        <v>132</v>
      </c>
      <c r="C30" s="100" t="s">
        <v>98</v>
      </c>
      <c r="D30" s="100">
        <v>2</v>
      </c>
      <c r="E30" s="100">
        <v>800</v>
      </c>
      <c r="F30" s="99">
        <v>0.53149999999999997</v>
      </c>
      <c r="G30" s="101">
        <f>E30*12*F30</f>
        <v>5102.3999999999996</v>
      </c>
      <c r="H30" s="100">
        <v>157</v>
      </c>
      <c r="I30" s="100">
        <v>340</v>
      </c>
      <c r="J30" s="100">
        <v>241</v>
      </c>
      <c r="K30" s="99">
        <v>0.53149999999999997</v>
      </c>
      <c r="L30" s="99">
        <f>(J30*$N$1)+$O$1</f>
        <v>0.4717942221586735</v>
      </c>
    </row>
    <row r="31" spans="1:12">
      <c r="A31" s="100" t="s">
        <v>134</v>
      </c>
      <c r="B31" s="100" t="s">
        <v>132</v>
      </c>
      <c r="C31" s="100" t="s">
        <v>107</v>
      </c>
      <c r="D31" s="100">
        <v>1</v>
      </c>
      <c r="E31" s="100">
        <v>700</v>
      </c>
      <c r="F31" s="99">
        <v>0.13969999999999999</v>
      </c>
      <c r="G31" s="101">
        <f>E31*12*F31</f>
        <v>1173.48</v>
      </c>
      <c r="H31" s="100">
        <v>215</v>
      </c>
      <c r="I31" s="100">
        <v>377</v>
      </c>
      <c r="J31" s="100">
        <v>363</v>
      </c>
      <c r="K31" s="99">
        <v>0.13969999999999999</v>
      </c>
      <c r="L31" s="99">
        <f>(J31*$N$1)+$O$1</f>
        <v>0.45323559254086515</v>
      </c>
    </row>
    <row r="32" spans="1:12">
      <c r="A32" s="100" t="s">
        <v>135</v>
      </c>
      <c r="B32" s="100" t="s">
        <v>132</v>
      </c>
      <c r="C32" s="100" t="s">
        <v>107</v>
      </c>
      <c r="D32" s="100">
        <v>2</v>
      </c>
      <c r="E32" s="100">
        <v>1000</v>
      </c>
      <c r="F32" s="99">
        <v>0.46850000000000003</v>
      </c>
      <c r="G32" s="101">
        <f>E32*12*F32</f>
        <v>5622</v>
      </c>
      <c r="H32" s="100">
        <v>202</v>
      </c>
      <c r="I32" s="100">
        <v>374</v>
      </c>
      <c r="J32" s="100">
        <v>301</v>
      </c>
      <c r="K32" s="99">
        <v>0.46850000000000003</v>
      </c>
      <c r="L32" s="99">
        <f>(J32*$N$1)+$O$1</f>
        <v>0.46266702726466941</v>
      </c>
    </row>
    <row r="33" spans="1:12">
      <c r="A33" s="100" t="s">
        <v>136</v>
      </c>
      <c r="B33" s="100" t="s">
        <v>137</v>
      </c>
      <c r="C33" s="100" t="s">
        <v>98</v>
      </c>
      <c r="D33" s="100">
        <v>1</v>
      </c>
      <c r="E33" s="100">
        <v>700</v>
      </c>
      <c r="F33" s="99">
        <v>0.50139999999999996</v>
      </c>
      <c r="G33" s="101">
        <f>E33*12*F33</f>
        <v>4211.7599999999993</v>
      </c>
      <c r="H33" s="100">
        <v>94</v>
      </c>
      <c r="I33" s="100">
        <v>356</v>
      </c>
      <c r="J33" s="100">
        <v>212</v>
      </c>
      <c r="K33" s="99">
        <v>0.50139999999999996</v>
      </c>
      <c r="L33" s="99">
        <f>(J33*$N$1)+$O$1</f>
        <v>0.47620569969077547</v>
      </c>
    </row>
    <row r="34" spans="1:12">
      <c r="A34" s="100" t="s">
        <v>138</v>
      </c>
      <c r="B34" s="100" t="s">
        <v>137</v>
      </c>
      <c r="C34" s="100" t="s">
        <v>98</v>
      </c>
      <c r="D34" s="100">
        <v>2</v>
      </c>
      <c r="E34" s="100">
        <v>900</v>
      </c>
      <c r="F34" s="99">
        <v>0.30680000000000002</v>
      </c>
      <c r="G34" s="101">
        <f>E34*12*F34</f>
        <v>3313.44</v>
      </c>
      <c r="H34" s="100">
        <v>69</v>
      </c>
      <c r="I34" s="100">
        <v>485</v>
      </c>
      <c r="J34" s="100">
        <v>340</v>
      </c>
      <c r="K34" s="99">
        <v>0.30680000000000002</v>
      </c>
      <c r="L34" s="99">
        <f>(J34*$N$1)+$O$1</f>
        <v>0.45673435058356671</v>
      </c>
    </row>
    <row r="35" spans="1:12">
      <c r="A35" s="100" t="s">
        <v>139</v>
      </c>
      <c r="B35" s="100" t="s">
        <v>137</v>
      </c>
      <c r="C35" s="100" t="s">
        <v>107</v>
      </c>
      <c r="D35" s="100">
        <v>1</v>
      </c>
      <c r="E35" s="100">
        <v>1000</v>
      </c>
      <c r="F35" s="99">
        <v>0.52049999999999996</v>
      </c>
      <c r="G35" s="101">
        <f>E35*12*F35</f>
        <v>6246</v>
      </c>
      <c r="H35" s="100">
        <v>84</v>
      </c>
      <c r="I35" s="100">
        <v>376</v>
      </c>
      <c r="J35" s="100">
        <v>266</v>
      </c>
      <c r="K35" s="99">
        <v>0.52049999999999996</v>
      </c>
      <c r="L35" s="99">
        <f>(J35*$N$1)+$O$1</f>
        <v>0.46799122428617179</v>
      </c>
    </row>
    <row r="36" spans="1:12">
      <c r="A36" s="100" t="s">
        <v>140</v>
      </c>
      <c r="B36" s="100" t="s">
        <v>137</v>
      </c>
      <c r="C36" s="100" t="s">
        <v>107</v>
      </c>
      <c r="D36" s="100">
        <v>2</v>
      </c>
      <c r="E36" s="100">
        <v>1200</v>
      </c>
      <c r="F36" s="99">
        <v>0.1288</v>
      </c>
      <c r="G36" s="101">
        <f>E36*12*F36</f>
        <v>1854.72</v>
      </c>
      <c r="H36" s="100">
        <v>109</v>
      </c>
      <c r="I36" s="100">
        <v>490</v>
      </c>
      <c r="J36" s="100">
        <v>442</v>
      </c>
      <c r="K36" s="99">
        <v>0.1288</v>
      </c>
      <c r="L36" s="99">
        <f>(J36*$N$1)+$O$1</f>
        <v>0.44121811926375976</v>
      </c>
    </row>
    <row r="37" spans="1:12">
      <c r="A37" s="100" t="s">
        <v>141</v>
      </c>
      <c r="B37" s="100" t="s">
        <v>142</v>
      </c>
      <c r="C37" s="100" t="s">
        <v>98</v>
      </c>
      <c r="D37" s="100">
        <v>1</v>
      </c>
      <c r="E37" s="100">
        <v>1200</v>
      </c>
      <c r="F37" s="99">
        <v>0.24110000000000001</v>
      </c>
      <c r="G37" s="101">
        <f>E37*12*F37</f>
        <v>3471.84</v>
      </c>
      <c r="H37" s="100">
        <v>145</v>
      </c>
      <c r="I37" s="100">
        <v>434</v>
      </c>
      <c r="J37" s="100">
        <v>354</v>
      </c>
      <c r="K37" s="99">
        <v>0.24110000000000001</v>
      </c>
      <c r="L37" s="99">
        <f>(J37*$N$1)+$O$1</f>
        <v>0.45460467177496577</v>
      </c>
    </row>
    <row r="38" spans="1:12">
      <c r="A38" s="100" t="s">
        <v>143</v>
      </c>
      <c r="B38" s="100" t="s">
        <v>144</v>
      </c>
      <c r="C38" s="100" t="s">
        <v>98</v>
      </c>
      <c r="D38" s="100">
        <v>2</v>
      </c>
      <c r="E38" s="100">
        <v>920</v>
      </c>
      <c r="F38" s="99">
        <v>0.4521</v>
      </c>
      <c r="G38" s="101">
        <f>E38*12*F38</f>
        <v>4991.1840000000002</v>
      </c>
      <c r="H38" s="100">
        <v>111</v>
      </c>
      <c r="I38" s="100">
        <v>147</v>
      </c>
      <c r="J38" s="100">
        <v>123</v>
      </c>
      <c r="K38" s="99">
        <v>0.4521</v>
      </c>
      <c r="L38" s="99">
        <f>(J38*$N$1)+$O$1</f>
        <v>0.48974437211688154</v>
      </c>
    </row>
    <row r="39" spans="1:12">
      <c r="A39" s="100" t="s">
        <v>145</v>
      </c>
      <c r="B39" s="100" t="s">
        <v>142</v>
      </c>
      <c r="C39" s="100" t="s">
        <v>98</v>
      </c>
      <c r="D39" s="100">
        <v>2</v>
      </c>
      <c r="E39" s="100">
        <v>1300</v>
      </c>
      <c r="F39" s="99">
        <v>0.47949999999999998</v>
      </c>
      <c r="G39" s="101">
        <f>E39*12*F39</f>
        <v>7480.2</v>
      </c>
      <c r="H39" s="100">
        <v>228</v>
      </c>
      <c r="I39" s="100">
        <v>457</v>
      </c>
      <c r="J39" s="100">
        <v>377</v>
      </c>
      <c r="K39" s="99">
        <v>0.47949999999999998</v>
      </c>
      <c r="L39" s="99">
        <f>(J39*$N$1)+$O$1</f>
        <v>0.45110591373226416</v>
      </c>
    </row>
    <row r="40" spans="1:12">
      <c r="A40" s="100" t="s">
        <v>146</v>
      </c>
      <c r="B40" s="100" t="s">
        <v>142</v>
      </c>
      <c r="C40" s="100" t="s">
        <v>107</v>
      </c>
      <c r="D40" s="100">
        <v>1</v>
      </c>
      <c r="E40" s="100">
        <v>1100</v>
      </c>
      <c r="F40" s="99">
        <v>0.2712</v>
      </c>
      <c r="G40" s="101">
        <f>E40*12*F40</f>
        <v>3579.84</v>
      </c>
      <c r="H40" s="100">
        <v>90</v>
      </c>
      <c r="I40" s="100">
        <v>375</v>
      </c>
      <c r="J40" s="100">
        <v>318</v>
      </c>
      <c r="K40" s="99">
        <v>0.2712</v>
      </c>
      <c r="L40" s="99">
        <f>(J40*$N$1)+$O$1</f>
        <v>0.46008098871136821</v>
      </c>
    </row>
    <row r="41" spans="1:12">
      <c r="A41" s="100" t="s">
        <v>147</v>
      </c>
      <c r="B41" s="100" t="s">
        <v>142</v>
      </c>
      <c r="C41" s="100" t="s">
        <v>107</v>
      </c>
      <c r="D41" s="100">
        <v>2</v>
      </c>
      <c r="E41" s="100">
        <v>1200</v>
      </c>
      <c r="F41" s="99">
        <v>0.43009999999999998</v>
      </c>
      <c r="G41" s="101">
        <f>E41*12*F41</f>
        <v>6193.44</v>
      </c>
      <c r="H41" s="100">
        <v>128</v>
      </c>
      <c r="I41" s="100">
        <v>238</v>
      </c>
      <c r="J41" s="100">
        <v>198</v>
      </c>
      <c r="K41" s="99">
        <v>0.43009999999999998</v>
      </c>
      <c r="L41" s="99">
        <f>(J41*$N$1)+$O$1</f>
        <v>0.47833537849937641</v>
      </c>
    </row>
    <row r="42" spans="1:12">
      <c r="A42" s="100" t="s">
        <v>148</v>
      </c>
      <c r="B42" s="100" t="s">
        <v>149</v>
      </c>
      <c r="C42" s="100" t="s">
        <v>98</v>
      </c>
      <c r="D42" s="100">
        <v>1</v>
      </c>
      <c r="E42" s="100">
        <v>1300</v>
      </c>
      <c r="F42" s="99">
        <v>0.56710000000000005</v>
      </c>
      <c r="G42" s="101">
        <f>E42*12*F42</f>
        <v>8846.76</v>
      </c>
      <c r="H42" s="100">
        <v>126</v>
      </c>
      <c r="I42" s="100">
        <v>188</v>
      </c>
      <c r="J42" s="100">
        <v>149</v>
      </c>
      <c r="K42" s="99">
        <v>0.56710000000000005</v>
      </c>
      <c r="L42" s="99">
        <f>(J42*$N$1)+$O$1</f>
        <v>0.48578925432947978</v>
      </c>
    </row>
    <row r="43" spans="1:12">
      <c r="A43" s="100" t="s">
        <v>150</v>
      </c>
      <c r="B43" s="100" t="s">
        <v>149</v>
      </c>
      <c r="C43" s="100" t="s">
        <v>98</v>
      </c>
      <c r="D43" s="100">
        <v>2</v>
      </c>
      <c r="E43" s="100">
        <v>1700</v>
      </c>
      <c r="F43" s="99">
        <v>0.32050000000000001</v>
      </c>
      <c r="G43" s="101">
        <f>E43*12*F43</f>
        <v>6538.2</v>
      </c>
      <c r="H43" s="100">
        <v>152</v>
      </c>
      <c r="I43" s="100">
        <v>247</v>
      </c>
      <c r="J43" s="100">
        <v>210</v>
      </c>
      <c r="K43" s="99">
        <v>0.32050000000000001</v>
      </c>
      <c r="L43" s="99">
        <f>(J43*$N$1)+$O$1</f>
        <v>0.47650993952057563</v>
      </c>
    </row>
    <row r="44" spans="1:12">
      <c r="A44" s="100" t="s">
        <v>151</v>
      </c>
      <c r="B44" s="100" t="s">
        <v>149</v>
      </c>
      <c r="C44" s="100" t="s">
        <v>107</v>
      </c>
      <c r="D44" s="100">
        <v>1</v>
      </c>
      <c r="E44" s="100">
        <v>1200</v>
      </c>
      <c r="F44" s="99">
        <v>0.44929999999999998</v>
      </c>
      <c r="G44" s="101">
        <f>E44*12*F44</f>
        <v>6469.92</v>
      </c>
      <c r="H44" s="100">
        <v>141</v>
      </c>
      <c r="I44" s="100">
        <v>263</v>
      </c>
      <c r="J44" s="100">
        <v>187</v>
      </c>
      <c r="K44" s="99">
        <v>0.44929999999999998</v>
      </c>
      <c r="L44" s="99">
        <f>(J44*$N$1)+$O$1</f>
        <v>0.48000869756327719</v>
      </c>
    </row>
    <row r="45" spans="1:12">
      <c r="A45" s="100" t="s">
        <v>152</v>
      </c>
      <c r="B45" s="100" t="s">
        <v>149</v>
      </c>
      <c r="C45" s="100" t="s">
        <v>107</v>
      </c>
      <c r="D45" s="100">
        <v>2</v>
      </c>
      <c r="E45" s="100">
        <v>1900</v>
      </c>
      <c r="F45" s="99">
        <v>0.50960000000000005</v>
      </c>
      <c r="G45" s="101">
        <f>E45*12*F45</f>
        <v>11618.880000000001</v>
      </c>
      <c r="H45" s="100">
        <v>157</v>
      </c>
      <c r="I45" s="100">
        <v>314</v>
      </c>
      <c r="J45" s="100">
        <v>225</v>
      </c>
      <c r="K45" s="99">
        <v>0.50960000000000005</v>
      </c>
      <c r="L45" s="99">
        <f>(J45*$N$1)+$O$1</f>
        <v>0.47422814079707459</v>
      </c>
    </row>
    <row r="46" spans="1:12">
      <c r="A46" s="100" t="s">
        <v>153</v>
      </c>
      <c r="B46" s="100" t="s">
        <v>154</v>
      </c>
      <c r="C46" s="100" t="s">
        <v>98</v>
      </c>
      <c r="D46" s="100">
        <v>1</v>
      </c>
      <c r="E46" s="100">
        <v>1000</v>
      </c>
      <c r="F46" s="99">
        <v>0.72050000000000003</v>
      </c>
      <c r="G46" s="101">
        <f>E46*12*F46</f>
        <v>8646</v>
      </c>
      <c r="H46" s="100">
        <v>93</v>
      </c>
      <c r="I46" s="100">
        <v>159</v>
      </c>
      <c r="J46" s="100">
        <v>123</v>
      </c>
      <c r="K46" s="99">
        <v>0.72050000000000003</v>
      </c>
      <c r="L46" s="99">
        <f>(J46*$N$1)+$O$1</f>
        <v>0.48974437211688154</v>
      </c>
    </row>
    <row r="47" spans="1:12">
      <c r="A47" s="100" t="s">
        <v>155</v>
      </c>
      <c r="B47" s="100" t="s">
        <v>154</v>
      </c>
      <c r="C47" s="100" t="s">
        <v>98</v>
      </c>
      <c r="D47" s="100">
        <v>2</v>
      </c>
      <c r="E47" s="100">
        <v>1500</v>
      </c>
      <c r="F47" s="99">
        <v>0.49590000000000001</v>
      </c>
      <c r="G47" s="101">
        <f>E47*12*F47</f>
        <v>8926.2000000000007</v>
      </c>
      <c r="H47" s="100">
        <v>145</v>
      </c>
      <c r="I47" s="100">
        <v>462</v>
      </c>
      <c r="J47" s="100">
        <v>263</v>
      </c>
      <c r="K47" s="99">
        <v>0.49590000000000001</v>
      </c>
      <c r="L47" s="99">
        <f>(J47*$N$1)+$O$1</f>
        <v>0.468447584030872</v>
      </c>
    </row>
    <row r="48" spans="1:12">
      <c r="A48" s="100" t="s">
        <v>156</v>
      </c>
      <c r="B48" s="100" t="s">
        <v>154</v>
      </c>
      <c r="C48" s="100" t="s">
        <v>107</v>
      </c>
      <c r="D48" s="100">
        <v>1</v>
      </c>
      <c r="E48" s="100">
        <v>1300</v>
      </c>
      <c r="F48" s="99">
        <v>0.44929999999999998</v>
      </c>
      <c r="G48" s="101">
        <f>E48*12*F48</f>
        <v>7009.08</v>
      </c>
      <c r="H48" s="100">
        <v>181</v>
      </c>
      <c r="I48" s="100">
        <v>316</v>
      </c>
      <c r="J48" s="100">
        <v>238</v>
      </c>
      <c r="K48" s="99">
        <v>0.44929999999999998</v>
      </c>
      <c r="L48" s="99">
        <f>(J48*$N$1)+$O$1</f>
        <v>0.47225058190337371</v>
      </c>
    </row>
    <row r="49" spans="1:12">
      <c r="A49" s="100" t="s">
        <v>157</v>
      </c>
      <c r="B49" s="100" t="s">
        <v>144</v>
      </c>
      <c r="C49" s="100" t="s">
        <v>107</v>
      </c>
      <c r="D49" s="100">
        <v>1</v>
      </c>
      <c r="E49" s="100">
        <v>850</v>
      </c>
      <c r="F49" s="99">
        <v>0.53149999999999997</v>
      </c>
      <c r="G49" s="101">
        <f>E49*12*F49</f>
        <v>5421.2999999999993</v>
      </c>
      <c r="H49" s="100">
        <v>96</v>
      </c>
      <c r="I49" s="100">
        <v>245</v>
      </c>
      <c r="J49" s="100">
        <v>146</v>
      </c>
      <c r="K49" s="99">
        <v>0.53149999999999997</v>
      </c>
      <c r="L49" s="99">
        <f>(J49*$N$1)+$O$1</f>
        <v>0.48624561407417999</v>
      </c>
    </row>
    <row r="50" spans="1:12">
      <c r="A50" s="100" t="s">
        <v>158</v>
      </c>
      <c r="B50" s="100" t="s">
        <v>154</v>
      </c>
      <c r="C50" s="100" t="s">
        <v>107</v>
      </c>
      <c r="D50" s="100">
        <v>2</v>
      </c>
      <c r="E50" s="100">
        <v>1800</v>
      </c>
      <c r="F50" s="99">
        <v>0.1507</v>
      </c>
      <c r="G50" s="101">
        <f>E50*12*F50</f>
        <v>3255.12</v>
      </c>
      <c r="H50" s="100">
        <v>145</v>
      </c>
      <c r="I50" s="100">
        <v>412</v>
      </c>
      <c r="J50" s="100">
        <v>349</v>
      </c>
      <c r="K50" s="99">
        <v>0.1507</v>
      </c>
      <c r="L50" s="99">
        <f>(J50*$N$1)+$O$1</f>
        <v>0.45536527134946608</v>
      </c>
    </row>
    <row r="51" spans="1:12">
      <c r="A51" s="100" t="s">
        <v>159</v>
      </c>
      <c r="B51" s="100" t="s">
        <v>160</v>
      </c>
      <c r="C51" s="100" t="s">
        <v>98</v>
      </c>
      <c r="D51" s="100">
        <v>1</v>
      </c>
      <c r="E51" s="100">
        <v>1100</v>
      </c>
      <c r="F51" s="99">
        <v>0.6</v>
      </c>
      <c r="G51" s="101">
        <f>E51*12*F51</f>
        <v>7920</v>
      </c>
      <c r="H51" s="100">
        <v>99</v>
      </c>
      <c r="I51" s="100">
        <v>215</v>
      </c>
      <c r="J51" s="100">
        <v>147</v>
      </c>
      <c r="K51" s="99">
        <v>0.6</v>
      </c>
      <c r="L51" s="99">
        <f>(J51*$N$1)+$O$1</f>
        <v>0.48609349415927988</v>
      </c>
    </row>
    <row r="52" spans="1:12">
      <c r="A52" s="100" t="s">
        <v>161</v>
      </c>
      <c r="B52" s="100" t="s">
        <v>160</v>
      </c>
      <c r="C52" s="100" t="s">
        <v>98</v>
      </c>
      <c r="D52" s="100">
        <v>2</v>
      </c>
      <c r="E52" s="100">
        <v>1400</v>
      </c>
      <c r="F52" s="99">
        <v>0.52600000000000002</v>
      </c>
      <c r="G52" s="101">
        <f>E52*12*F52</f>
        <v>8836.8000000000011</v>
      </c>
      <c r="H52" s="100">
        <v>120</v>
      </c>
      <c r="I52" s="100">
        <v>188</v>
      </c>
      <c r="J52" s="100">
        <v>151</v>
      </c>
      <c r="K52" s="99">
        <v>0.52600000000000002</v>
      </c>
      <c r="L52" s="99">
        <f>(J52*$N$1)+$O$1</f>
        <v>0.48548501449967962</v>
      </c>
    </row>
    <row r="53" spans="1:12">
      <c r="A53" s="100" t="s">
        <v>162</v>
      </c>
      <c r="B53" s="100" t="s">
        <v>160</v>
      </c>
      <c r="C53" s="100" t="s">
        <v>107</v>
      </c>
      <c r="D53" s="100">
        <v>1</v>
      </c>
      <c r="E53" s="100">
        <v>1300</v>
      </c>
      <c r="F53" s="99">
        <v>0.21099999999999999</v>
      </c>
      <c r="G53" s="101">
        <f>E53*12*F53</f>
        <v>3291.6</v>
      </c>
      <c r="H53" s="100">
        <v>263</v>
      </c>
      <c r="I53" s="100">
        <v>489</v>
      </c>
      <c r="J53" s="100">
        <v>429</v>
      </c>
      <c r="K53" s="99">
        <v>0.21099999999999999</v>
      </c>
      <c r="L53" s="99">
        <f>(J53*$N$1)+$O$1</f>
        <v>0.44319567815746064</v>
      </c>
    </row>
    <row r="54" spans="1:12">
      <c r="A54" s="100" t="s">
        <v>163</v>
      </c>
      <c r="B54" s="100" t="s">
        <v>160</v>
      </c>
      <c r="C54" s="100" t="s">
        <v>107</v>
      </c>
      <c r="D54" s="100">
        <v>2</v>
      </c>
      <c r="E54" s="100">
        <v>1900</v>
      </c>
      <c r="F54" s="99">
        <v>0.33150000000000002</v>
      </c>
      <c r="G54" s="101">
        <f>E54*12*F54</f>
        <v>7558.2000000000007</v>
      </c>
      <c r="H54" s="100">
        <v>335</v>
      </c>
      <c r="I54" s="100">
        <v>502</v>
      </c>
      <c r="J54" s="100">
        <v>441</v>
      </c>
      <c r="K54" s="99">
        <v>0.33150000000000002</v>
      </c>
      <c r="L54" s="99">
        <f>(J54*$N$1)+$O$1</f>
        <v>0.44137023917865981</v>
      </c>
    </row>
    <row r="55" spans="1:12">
      <c r="A55" s="100" t="s">
        <v>164</v>
      </c>
      <c r="B55" s="100" t="s">
        <v>165</v>
      </c>
      <c r="C55" s="100" t="s">
        <v>98</v>
      </c>
      <c r="D55" s="100">
        <v>1</v>
      </c>
      <c r="E55" s="100">
        <v>900</v>
      </c>
      <c r="F55" s="99">
        <v>0.32879999999999998</v>
      </c>
      <c r="G55" s="101">
        <f>E55*12*F55</f>
        <v>3551.04</v>
      </c>
      <c r="H55" s="100">
        <v>98</v>
      </c>
      <c r="I55" s="100">
        <v>195</v>
      </c>
      <c r="J55" s="100">
        <v>144</v>
      </c>
      <c r="K55" s="99">
        <v>0.32879999999999998</v>
      </c>
      <c r="L55" s="99">
        <f>(J55*$N$1)+$O$1</f>
        <v>0.48654985390398009</v>
      </c>
    </row>
    <row r="56" spans="1:12">
      <c r="A56" s="100" t="s">
        <v>166</v>
      </c>
      <c r="B56" s="100" t="s">
        <v>165</v>
      </c>
      <c r="C56" s="100" t="s">
        <v>98</v>
      </c>
      <c r="D56" s="100">
        <v>2</v>
      </c>
      <c r="E56" s="100">
        <v>1400</v>
      </c>
      <c r="F56" s="99">
        <v>0.61919999999999997</v>
      </c>
      <c r="G56" s="101">
        <f>E56*12*F56</f>
        <v>10402.56</v>
      </c>
      <c r="H56" s="100">
        <v>77</v>
      </c>
      <c r="I56" s="100">
        <v>260</v>
      </c>
      <c r="J56" s="100">
        <v>136</v>
      </c>
      <c r="K56" s="99">
        <v>0.61919999999999997</v>
      </c>
      <c r="L56" s="99">
        <f>(J56*$N$1)+$O$1</f>
        <v>0.48776681322318066</v>
      </c>
    </row>
    <row r="57" spans="1:12">
      <c r="A57" s="100" t="s">
        <v>167</v>
      </c>
      <c r="B57" s="100" t="s">
        <v>165</v>
      </c>
      <c r="C57" s="100" t="s">
        <v>107</v>
      </c>
      <c r="D57" s="100">
        <v>1</v>
      </c>
      <c r="E57" s="100">
        <v>1400</v>
      </c>
      <c r="F57" s="99">
        <v>0.2712</v>
      </c>
      <c r="G57" s="101">
        <f>E57*12*F57</f>
        <v>4556.16</v>
      </c>
      <c r="H57" s="100">
        <v>173</v>
      </c>
      <c r="I57" s="100">
        <v>322</v>
      </c>
      <c r="J57" s="100">
        <v>305</v>
      </c>
      <c r="K57" s="99">
        <v>0.2712</v>
      </c>
      <c r="L57" s="99">
        <f>(J57*$N$1)+$O$1</f>
        <v>0.46205854760506909</v>
      </c>
    </row>
    <row r="58" spans="1:12">
      <c r="A58" s="100" t="s">
        <v>168</v>
      </c>
      <c r="B58" s="100" t="s">
        <v>165</v>
      </c>
      <c r="C58" s="100" t="s">
        <v>107</v>
      </c>
      <c r="D58" s="100">
        <v>2</v>
      </c>
      <c r="E58" s="100">
        <v>1700</v>
      </c>
      <c r="F58" s="99">
        <v>0.32879999999999998</v>
      </c>
      <c r="G58" s="101">
        <f>E58*12*F58</f>
        <v>6707.5199999999995</v>
      </c>
      <c r="H58" s="100">
        <v>176</v>
      </c>
      <c r="I58" s="100">
        <v>469</v>
      </c>
      <c r="J58" s="100">
        <v>425</v>
      </c>
      <c r="K58" s="99">
        <v>0.32879999999999998</v>
      </c>
      <c r="L58" s="99">
        <f>(J58*$N$1)+$O$1</f>
        <v>0.4438041578170609</v>
      </c>
    </row>
    <row r="59" spans="1:12">
      <c r="A59" s="100" t="s">
        <v>169</v>
      </c>
      <c r="B59" s="100" t="s">
        <v>170</v>
      </c>
      <c r="C59" s="100" t="s">
        <v>98</v>
      </c>
      <c r="D59" s="100">
        <v>1</v>
      </c>
      <c r="E59" s="100">
        <v>800</v>
      </c>
      <c r="F59" s="99">
        <v>0.41370000000000001</v>
      </c>
      <c r="G59" s="101">
        <f>E59*12*F59</f>
        <v>3971.52</v>
      </c>
      <c r="H59" s="100">
        <v>86</v>
      </c>
      <c r="I59" s="100">
        <v>224</v>
      </c>
      <c r="J59" s="100">
        <v>176</v>
      </c>
      <c r="K59" s="99">
        <v>0.41370000000000001</v>
      </c>
      <c r="L59" s="99">
        <f>(J59*$N$1)+$O$1</f>
        <v>0.48168201662717791</v>
      </c>
    </row>
    <row r="60" spans="1:12">
      <c r="A60" s="100" t="s">
        <v>171</v>
      </c>
      <c r="B60" s="100" t="s">
        <v>144</v>
      </c>
      <c r="C60" s="100" t="s">
        <v>107</v>
      </c>
      <c r="D60" s="100">
        <v>2</v>
      </c>
      <c r="E60" s="100">
        <v>900</v>
      </c>
      <c r="F60" s="99">
        <v>0.47949999999999998</v>
      </c>
      <c r="G60" s="101">
        <f>E60*12*F60</f>
        <v>5178.5999999999995</v>
      </c>
      <c r="H60" s="100">
        <v>111</v>
      </c>
      <c r="I60" s="100">
        <v>276</v>
      </c>
      <c r="J60" s="100">
        <v>169</v>
      </c>
      <c r="K60" s="99">
        <v>0.47949999999999998</v>
      </c>
      <c r="L60" s="99">
        <f>(J60*$N$1)+$O$1</f>
        <v>0.48274685603147838</v>
      </c>
    </row>
    <row r="61" spans="1:12">
      <c r="A61" s="100" t="s">
        <v>172</v>
      </c>
      <c r="B61" s="100" t="s">
        <v>170</v>
      </c>
      <c r="C61" s="100" t="s">
        <v>98</v>
      </c>
      <c r="D61" s="100">
        <v>2</v>
      </c>
      <c r="E61" s="100">
        <v>1300</v>
      </c>
      <c r="F61" s="99">
        <v>0.63009999999999999</v>
      </c>
      <c r="G61" s="101">
        <f>E61*12*F61</f>
        <v>9829.56</v>
      </c>
      <c r="H61" s="100">
        <v>127</v>
      </c>
      <c r="I61" s="100">
        <v>276</v>
      </c>
      <c r="J61" s="100">
        <v>207</v>
      </c>
      <c r="K61" s="99">
        <v>0.63009999999999999</v>
      </c>
      <c r="L61" s="99">
        <f>(J61*$N$1)+$O$1</f>
        <v>0.47696629926527578</v>
      </c>
    </row>
    <row r="62" spans="1:12">
      <c r="A62" s="100" t="s">
        <v>173</v>
      </c>
      <c r="B62" s="100" t="s">
        <v>170</v>
      </c>
      <c r="C62" s="100" t="s">
        <v>107</v>
      </c>
      <c r="D62" s="100">
        <v>1</v>
      </c>
      <c r="E62" s="100">
        <v>1400</v>
      </c>
      <c r="F62" s="99">
        <v>0.90410000000000001</v>
      </c>
      <c r="G62" s="101">
        <f>E62*12*F62</f>
        <v>15188.880000000001</v>
      </c>
      <c r="H62" s="100">
        <v>222</v>
      </c>
      <c r="I62" s="100">
        <v>381</v>
      </c>
      <c r="J62" s="100">
        <v>244</v>
      </c>
      <c r="K62" s="99">
        <v>0.90410000000000001</v>
      </c>
      <c r="L62" s="99">
        <f>(J62*$N$1)+$O$1</f>
        <v>0.4713378624139733</v>
      </c>
    </row>
    <row r="63" spans="1:12">
      <c r="A63" s="100" t="s">
        <v>174</v>
      </c>
      <c r="B63" s="100" t="s">
        <v>170</v>
      </c>
      <c r="C63" s="100" t="s">
        <v>107</v>
      </c>
      <c r="D63" s="100">
        <v>2</v>
      </c>
      <c r="E63" s="100">
        <v>1900</v>
      </c>
      <c r="F63" s="99">
        <v>0.54249999999999998</v>
      </c>
      <c r="G63" s="101">
        <f>E63*12*F63</f>
        <v>12369</v>
      </c>
      <c r="H63" s="100">
        <v>386</v>
      </c>
      <c r="I63" s="100">
        <v>773</v>
      </c>
      <c r="J63" s="100">
        <v>536</v>
      </c>
      <c r="K63" s="99">
        <v>0.54249999999999998</v>
      </c>
      <c r="L63" s="99">
        <f>(J63*$N$1)+$O$1</f>
        <v>0.42691884726315332</v>
      </c>
    </row>
    <row r="64" spans="1:12">
      <c r="A64" s="100" t="s">
        <v>175</v>
      </c>
      <c r="B64" s="100" t="s">
        <v>176</v>
      </c>
      <c r="C64" s="100" t="s">
        <v>98</v>
      </c>
      <c r="D64" s="100">
        <v>1</v>
      </c>
      <c r="E64" s="100">
        <v>1700</v>
      </c>
      <c r="F64" s="99">
        <v>7.9500000000000001E-2</v>
      </c>
      <c r="G64" s="101">
        <f>E64*12*F64</f>
        <v>1621.8</v>
      </c>
      <c r="H64" s="100">
        <v>136</v>
      </c>
      <c r="I64" s="100">
        <v>476</v>
      </c>
      <c r="J64" s="100">
        <v>476</v>
      </c>
      <c r="K64" s="99">
        <v>7.9500000000000001E-2</v>
      </c>
      <c r="L64" s="99">
        <f>(J64*$N$1)+$O$1</f>
        <v>0.43604604215715742</v>
      </c>
    </row>
    <row r="65" spans="1:12">
      <c r="A65" s="100" t="s">
        <v>177</v>
      </c>
      <c r="B65" s="100" t="s">
        <v>176</v>
      </c>
      <c r="C65" s="100" t="s">
        <v>98</v>
      </c>
      <c r="D65" s="100">
        <v>2</v>
      </c>
      <c r="E65" s="100">
        <v>2400</v>
      </c>
      <c r="F65" s="99">
        <v>0.55069999999999997</v>
      </c>
      <c r="G65" s="101">
        <f>E65*12*F65</f>
        <v>15860.16</v>
      </c>
      <c r="H65" s="100">
        <v>173</v>
      </c>
      <c r="I65" s="100">
        <v>690</v>
      </c>
      <c r="J65" s="100">
        <v>360</v>
      </c>
      <c r="K65" s="99">
        <v>0.55069999999999997</v>
      </c>
      <c r="L65" s="99">
        <f>(J65*$N$1)+$O$1</f>
        <v>0.45369195228556536</v>
      </c>
    </row>
    <row r="66" spans="1:12">
      <c r="A66" s="100" t="s">
        <v>178</v>
      </c>
      <c r="B66" s="100" t="s">
        <v>176</v>
      </c>
      <c r="C66" s="100" t="s">
        <v>107</v>
      </c>
      <c r="D66" s="100">
        <v>1</v>
      </c>
      <c r="E66" s="100">
        <v>2100</v>
      </c>
      <c r="F66" s="99">
        <v>0.69320000000000004</v>
      </c>
      <c r="G66" s="101">
        <f>E66*12*F66</f>
        <v>17468.64</v>
      </c>
      <c r="H66" s="100">
        <v>448</v>
      </c>
      <c r="I66" s="100">
        <v>2128</v>
      </c>
      <c r="J66" s="100">
        <v>1477</v>
      </c>
      <c r="K66" s="99">
        <v>0.69320000000000004</v>
      </c>
      <c r="L66" s="99">
        <f>(J66*$N$1)+$O$1</f>
        <v>0.28377400734218905</v>
      </c>
    </row>
    <row r="67" spans="1:12">
      <c r="A67" s="100" t="s">
        <v>179</v>
      </c>
      <c r="B67" s="100" t="s">
        <v>176</v>
      </c>
      <c r="C67" s="100" t="s">
        <v>107</v>
      </c>
      <c r="D67" s="100">
        <v>2</v>
      </c>
      <c r="E67" s="100">
        <v>3200</v>
      </c>
      <c r="F67" s="99">
        <v>0.71509999999999996</v>
      </c>
      <c r="G67" s="101">
        <f>E67*12*F67</f>
        <v>27459.84</v>
      </c>
      <c r="H67" s="100">
        <v>450</v>
      </c>
      <c r="I67" s="100">
        <v>2699</v>
      </c>
      <c r="J67" s="100">
        <v>1265</v>
      </c>
      <c r="K67" s="99">
        <v>0.71509999999999996</v>
      </c>
      <c r="L67" s="99">
        <f>(J67*$N$1)+$O$1</f>
        <v>0.31602342930100352</v>
      </c>
    </row>
    <row r="68" spans="1:12">
      <c r="A68" s="100" t="s">
        <v>180</v>
      </c>
      <c r="B68" s="100" t="s">
        <v>181</v>
      </c>
      <c r="C68" s="100" t="s">
        <v>98</v>
      </c>
      <c r="D68" s="100">
        <v>1</v>
      </c>
      <c r="E68" s="100">
        <v>1300</v>
      </c>
      <c r="F68" s="99">
        <v>0.52049999999999996</v>
      </c>
      <c r="G68" s="101">
        <f>E68*12*F68</f>
        <v>8119.7999999999993</v>
      </c>
      <c r="H68" s="100">
        <v>291</v>
      </c>
      <c r="I68" s="100">
        <v>387</v>
      </c>
      <c r="J68" s="100">
        <v>328</v>
      </c>
      <c r="K68" s="99">
        <v>0.52049999999999996</v>
      </c>
      <c r="L68" s="99">
        <f>(J68*$N$1)+$O$1</f>
        <v>0.45855978956236754</v>
      </c>
    </row>
    <row r="69" spans="1:12">
      <c r="A69" s="100" t="s">
        <v>182</v>
      </c>
      <c r="B69" s="100" t="s">
        <v>181</v>
      </c>
      <c r="C69" s="100" t="s">
        <v>98</v>
      </c>
      <c r="D69" s="100">
        <v>2</v>
      </c>
      <c r="E69" s="100">
        <v>1700</v>
      </c>
      <c r="F69" s="99">
        <v>0.15890000000000001</v>
      </c>
      <c r="G69" s="101">
        <f>E69*12*F69</f>
        <v>3241.5600000000004</v>
      </c>
      <c r="H69" s="100">
        <v>203</v>
      </c>
      <c r="I69" s="100">
        <v>318</v>
      </c>
      <c r="J69" s="100">
        <v>246</v>
      </c>
      <c r="K69" s="99">
        <v>0.15890000000000001</v>
      </c>
      <c r="L69" s="99">
        <f>(J69*$N$1)+$O$1</f>
        <v>0.47103362258417314</v>
      </c>
    </row>
    <row r="70" spans="1:12">
      <c r="A70" s="100" t="s">
        <v>183</v>
      </c>
      <c r="B70" s="100" t="s">
        <v>181</v>
      </c>
      <c r="C70" s="100" t="s">
        <v>107</v>
      </c>
      <c r="D70" s="100">
        <v>1</v>
      </c>
      <c r="E70" s="100">
        <v>1400</v>
      </c>
      <c r="F70" s="99">
        <v>0.54520000000000002</v>
      </c>
      <c r="G70" s="101">
        <f>E70*12*F70</f>
        <v>9159.36</v>
      </c>
      <c r="H70" s="100">
        <v>287</v>
      </c>
      <c r="I70" s="100">
        <v>395</v>
      </c>
      <c r="J70" s="100">
        <v>325</v>
      </c>
      <c r="K70" s="99">
        <v>0.54520000000000002</v>
      </c>
      <c r="L70" s="99">
        <f>(J70*$N$1)+$O$1</f>
        <v>0.45901614930706774</v>
      </c>
    </row>
    <row r="71" spans="1:12">
      <c r="A71" s="100" t="s">
        <v>184</v>
      </c>
      <c r="B71" s="100" t="s">
        <v>144</v>
      </c>
      <c r="C71" s="100" t="s">
        <v>98</v>
      </c>
      <c r="D71" s="100">
        <v>1</v>
      </c>
      <c r="E71" s="100">
        <v>750</v>
      </c>
      <c r="F71" s="99">
        <v>0.47949999999999998</v>
      </c>
      <c r="G71" s="101">
        <f>E71*12*F71</f>
        <v>4315.5</v>
      </c>
      <c r="H71" s="100">
        <v>51</v>
      </c>
      <c r="I71" s="100">
        <v>179</v>
      </c>
      <c r="J71" s="100">
        <v>94</v>
      </c>
      <c r="K71" s="99">
        <v>0.47949999999999998</v>
      </c>
      <c r="L71" s="99">
        <f>(J71*$N$1)+$O$1</f>
        <v>0.49415584964898351</v>
      </c>
    </row>
    <row r="72" spans="1:12">
      <c r="A72" s="100" t="s">
        <v>185</v>
      </c>
      <c r="B72" s="100" t="s">
        <v>181</v>
      </c>
      <c r="C72" s="100" t="s">
        <v>107</v>
      </c>
      <c r="D72" s="100">
        <v>2</v>
      </c>
      <c r="E72" s="100">
        <v>1900</v>
      </c>
      <c r="F72" s="99">
        <v>0.58630000000000004</v>
      </c>
      <c r="G72" s="101">
        <f>E72*12*F72</f>
        <v>13367.640000000001</v>
      </c>
      <c r="H72" s="100">
        <v>376</v>
      </c>
      <c r="I72" s="100">
        <v>502</v>
      </c>
      <c r="J72" s="100">
        <v>428</v>
      </c>
      <c r="K72" s="99">
        <v>0.58630000000000004</v>
      </c>
      <c r="L72" s="99">
        <f>(J72*$N$1)+$O$1</f>
        <v>0.44334779807236069</v>
      </c>
    </row>
    <row r="73" spans="1:12">
      <c r="A73" s="100" t="s">
        <v>186</v>
      </c>
      <c r="B73" s="100" t="s">
        <v>187</v>
      </c>
      <c r="C73" s="100" t="s">
        <v>98</v>
      </c>
      <c r="D73" s="100">
        <v>1</v>
      </c>
      <c r="E73" s="100">
        <v>1600</v>
      </c>
      <c r="F73" s="99">
        <v>0.67949999999999999</v>
      </c>
      <c r="G73" s="101">
        <f>E73*12*F73</f>
        <v>13046.4</v>
      </c>
      <c r="H73" s="100">
        <v>126</v>
      </c>
      <c r="I73" s="100">
        <v>352</v>
      </c>
      <c r="J73" s="100">
        <v>188</v>
      </c>
      <c r="K73" s="99">
        <v>0.67949999999999999</v>
      </c>
      <c r="L73" s="99">
        <f>(J73*$N$1)+$O$1</f>
        <v>0.47985657764837708</v>
      </c>
    </row>
    <row r="74" spans="1:12">
      <c r="A74" s="100" t="s">
        <v>188</v>
      </c>
      <c r="B74" s="100" t="s">
        <v>187</v>
      </c>
      <c r="C74" s="100" t="s">
        <v>98</v>
      </c>
      <c r="D74" s="100">
        <v>2</v>
      </c>
      <c r="E74" s="100">
        <v>2200</v>
      </c>
      <c r="F74" s="99">
        <v>0.57809999999999995</v>
      </c>
      <c r="G74" s="101">
        <f>E74*12*F74</f>
        <v>15261.839999999998</v>
      </c>
      <c r="H74" s="100">
        <v>119</v>
      </c>
      <c r="I74" s="100">
        <v>505</v>
      </c>
      <c r="J74" s="100">
        <v>274</v>
      </c>
      <c r="K74" s="99">
        <v>0.57809999999999995</v>
      </c>
      <c r="L74" s="99">
        <f>(J74*$N$1)+$O$1</f>
        <v>0.46677426496697122</v>
      </c>
    </row>
    <row r="75" spans="1:12">
      <c r="A75" s="100" t="s">
        <v>189</v>
      </c>
      <c r="B75" s="100" t="s">
        <v>187</v>
      </c>
      <c r="C75" s="100" t="s">
        <v>107</v>
      </c>
      <c r="D75" s="100">
        <v>1</v>
      </c>
      <c r="E75" s="100">
        <v>1500</v>
      </c>
      <c r="F75" s="99">
        <v>0.41099999999999998</v>
      </c>
      <c r="G75" s="101">
        <f>E75*12*F75</f>
        <v>7398</v>
      </c>
      <c r="H75" s="100">
        <v>486</v>
      </c>
      <c r="I75" s="100">
        <v>1215</v>
      </c>
      <c r="J75" s="100">
        <v>860</v>
      </c>
      <c r="K75" s="99">
        <v>0.41099999999999998</v>
      </c>
      <c r="L75" s="99">
        <f>(J75*$N$1)+$O$1</f>
        <v>0.37763199483553123</v>
      </c>
    </row>
    <row r="76" spans="1:12">
      <c r="A76" s="100" t="s">
        <v>190</v>
      </c>
      <c r="B76" s="100" t="s">
        <v>187</v>
      </c>
      <c r="C76" s="100" t="s">
        <v>107</v>
      </c>
      <c r="D76" s="100">
        <v>2</v>
      </c>
      <c r="E76" s="100">
        <v>2400</v>
      </c>
      <c r="F76" s="99">
        <v>0.68220000000000003</v>
      </c>
      <c r="G76" s="101">
        <f>E76*12*F76</f>
        <v>19647.36</v>
      </c>
      <c r="H76" s="100">
        <v>516</v>
      </c>
      <c r="I76" s="100">
        <v>1650</v>
      </c>
      <c r="J76" s="100">
        <v>729</v>
      </c>
      <c r="K76" s="99">
        <v>0.68220000000000003</v>
      </c>
      <c r="L76" s="99">
        <f>(J76*$N$1)+$O$1</f>
        <v>0.39755970368744015</v>
      </c>
    </row>
    <row r="77" spans="1:12">
      <c r="A77" s="100" t="s">
        <v>191</v>
      </c>
      <c r="B77" s="100" t="s">
        <v>192</v>
      </c>
      <c r="C77" s="100" t="s">
        <v>98</v>
      </c>
      <c r="D77" s="100">
        <v>1</v>
      </c>
      <c r="E77" s="100">
        <v>1600</v>
      </c>
      <c r="F77" s="99">
        <v>0.82469999999999999</v>
      </c>
      <c r="G77" s="101">
        <f>E77*12*F77</f>
        <v>15834.24</v>
      </c>
      <c r="H77" s="100">
        <v>160</v>
      </c>
      <c r="I77" s="100">
        <v>321</v>
      </c>
      <c r="J77" s="100">
        <v>174</v>
      </c>
      <c r="K77" s="99">
        <v>0.82469999999999999</v>
      </c>
      <c r="L77" s="99">
        <f>(J77*$N$1)+$O$1</f>
        <v>0.48198625645697807</v>
      </c>
    </row>
    <row r="78" spans="1:12">
      <c r="A78" s="100" t="s">
        <v>193</v>
      </c>
      <c r="B78" s="100" t="s">
        <v>192</v>
      </c>
      <c r="C78" s="100" t="s">
        <v>98</v>
      </c>
      <c r="D78" s="100">
        <v>2</v>
      </c>
      <c r="E78" s="100">
        <v>1900</v>
      </c>
      <c r="F78" s="99">
        <v>0.21640000000000001</v>
      </c>
      <c r="G78" s="101">
        <f>E78*12*F78</f>
        <v>4933.92</v>
      </c>
      <c r="H78" s="100">
        <v>168</v>
      </c>
      <c r="I78" s="100">
        <v>364</v>
      </c>
      <c r="J78" s="100">
        <v>308</v>
      </c>
      <c r="K78" s="99">
        <v>0.21640000000000001</v>
      </c>
      <c r="L78" s="99">
        <f>(J78*$N$1)+$O$1</f>
        <v>0.46160218786036888</v>
      </c>
    </row>
    <row r="79" spans="1:12">
      <c r="A79" s="100" t="s">
        <v>194</v>
      </c>
      <c r="B79" s="100" t="s">
        <v>192</v>
      </c>
      <c r="C79" s="100" t="s">
        <v>107</v>
      </c>
      <c r="D79" s="100">
        <v>1</v>
      </c>
      <c r="E79" s="100">
        <v>1400</v>
      </c>
      <c r="F79" s="99">
        <v>0.6</v>
      </c>
      <c r="G79" s="101">
        <f>E79*12*F79</f>
        <v>10080</v>
      </c>
      <c r="H79" s="100">
        <v>226</v>
      </c>
      <c r="I79" s="100">
        <v>368</v>
      </c>
      <c r="J79" s="100">
        <v>308</v>
      </c>
      <c r="K79" s="99">
        <v>0.6</v>
      </c>
      <c r="L79" s="99">
        <f>(J79*$N$1)+$O$1</f>
        <v>0.46160218786036888</v>
      </c>
    </row>
    <row r="80" spans="1:12">
      <c r="A80" s="100" t="s">
        <v>195</v>
      </c>
      <c r="B80" s="100" t="s">
        <v>192</v>
      </c>
      <c r="C80" s="100" t="s">
        <v>107</v>
      </c>
      <c r="D80" s="100">
        <v>2</v>
      </c>
      <c r="E80" s="100">
        <v>2000</v>
      </c>
      <c r="F80" s="99">
        <v>0.39179999999999998</v>
      </c>
      <c r="G80" s="101">
        <f>E80*12*F80</f>
        <v>9403.1999999999989</v>
      </c>
      <c r="H80" s="100">
        <v>285</v>
      </c>
      <c r="I80" s="100">
        <v>428</v>
      </c>
      <c r="J80" s="100">
        <v>342</v>
      </c>
      <c r="K80" s="99">
        <v>0.39179999999999998</v>
      </c>
      <c r="L80" s="99">
        <f>(J80*$N$1)+$O$1</f>
        <v>0.4564301107537666</v>
      </c>
    </row>
    <row r="81" spans="1:12">
      <c r="A81" s="100" t="s">
        <v>196</v>
      </c>
      <c r="B81" s="100" t="s">
        <v>197</v>
      </c>
      <c r="C81" s="100" t="s">
        <v>98</v>
      </c>
      <c r="D81" s="100">
        <v>1</v>
      </c>
      <c r="E81" s="100">
        <v>1000</v>
      </c>
      <c r="F81" s="99">
        <v>0.58899999999999997</v>
      </c>
      <c r="G81" s="101">
        <f>E81*12*F81</f>
        <v>7068</v>
      </c>
      <c r="H81" s="100">
        <v>91</v>
      </c>
      <c r="I81" s="100">
        <v>342</v>
      </c>
      <c r="J81" s="100">
        <v>229</v>
      </c>
      <c r="K81" s="99">
        <v>0.58899999999999997</v>
      </c>
      <c r="L81" s="99">
        <f>(J81*$N$1)+$O$1</f>
        <v>0.47361966113747428</v>
      </c>
    </row>
    <row r="82" spans="1:12">
      <c r="A82" s="100" t="s">
        <v>198</v>
      </c>
      <c r="B82" s="100" t="s">
        <v>199</v>
      </c>
      <c r="C82" s="100" t="s">
        <v>98</v>
      </c>
      <c r="D82" s="100">
        <v>2</v>
      </c>
      <c r="E82" s="100">
        <v>2500</v>
      </c>
      <c r="F82" s="99">
        <v>0.29320000000000002</v>
      </c>
      <c r="G82" s="101">
        <f>E82*12*F82</f>
        <v>8796</v>
      </c>
      <c r="H82" s="100">
        <v>173</v>
      </c>
      <c r="I82" s="100">
        <v>581</v>
      </c>
      <c r="J82" s="100">
        <v>392</v>
      </c>
      <c r="K82" s="99">
        <v>0.29320000000000002</v>
      </c>
      <c r="L82" s="99">
        <f>(J82*$N$1)+$O$1</f>
        <v>0.44882411500876318</v>
      </c>
    </row>
    <row r="83" spans="1:12">
      <c r="A83" s="100" t="s">
        <v>200</v>
      </c>
      <c r="B83" s="100" t="s">
        <v>197</v>
      </c>
      <c r="C83" s="100" t="s">
        <v>98</v>
      </c>
      <c r="D83" s="100">
        <v>2</v>
      </c>
      <c r="E83" s="100">
        <v>1400</v>
      </c>
      <c r="F83" s="99">
        <v>0.2712</v>
      </c>
      <c r="G83" s="101">
        <f>E83*12*F83</f>
        <v>4556.16</v>
      </c>
      <c r="H83" s="100">
        <v>168</v>
      </c>
      <c r="I83" s="100">
        <v>392</v>
      </c>
      <c r="J83" s="100">
        <v>322</v>
      </c>
      <c r="K83" s="99">
        <v>0.2712</v>
      </c>
      <c r="L83" s="99">
        <f>(J83*$N$1)+$O$1</f>
        <v>0.45947250905176795</v>
      </c>
    </row>
    <row r="84" spans="1:12">
      <c r="A84" s="100" t="s">
        <v>201</v>
      </c>
      <c r="B84" s="100" t="s">
        <v>197</v>
      </c>
      <c r="C84" s="100" t="s">
        <v>107</v>
      </c>
      <c r="D84" s="100">
        <v>1</v>
      </c>
      <c r="E84" s="100">
        <v>1300</v>
      </c>
      <c r="F84" s="99">
        <v>0.55069999999999997</v>
      </c>
      <c r="G84" s="101">
        <f>E84*12*F84</f>
        <v>8590.92</v>
      </c>
      <c r="H84" s="100">
        <v>155</v>
      </c>
      <c r="I84" s="100">
        <v>494</v>
      </c>
      <c r="J84" s="100">
        <v>257</v>
      </c>
      <c r="K84" s="99">
        <v>0.55069999999999997</v>
      </c>
      <c r="L84" s="99">
        <f>(J84*$N$1)+$O$1</f>
        <v>0.46936030352027236</v>
      </c>
    </row>
    <row r="85" spans="1:12">
      <c r="A85" s="100" t="s">
        <v>202</v>
      </c>
      <c r="B85" s="100" t="s">
        <v>197</v>
      </c>
      <c r="C85" s="100" t="s">
        <v>107</v>
      </c>
      <c r="D85" s="100">
        <v>2</v>
      </c>
      <c r="E85" s="100">
        <v>1800</v>
      </c>
      <c r="F85" s="99">
        <v>0.4521</v>
      </c>
      <c r="G85" s="101">
        <f>E85*12*F85</f>
        <v>9765.36</v>
      </c>
      <c r="H85" s="100">
        <v>151</v>
      </c>
      <c r="I85" s="100">
        <v>391</v>
      </c>
      <c r="J85" s="100">
        <v>286</v>
      </c>
      <c r="K85" s="99">
        <v>0.4521</v>
      </c>
      <c r="L85" s="99">
        <f>(J85*$N$1)+$O$1</f>
        <v>0.46494882598817039</v>
      </c>
    </row>
    <row r="86" spans="1:12">
      <c r="A86" s="100" t="s">
        <v>203</v>
      </c>
      <c r="B86" s="100" t="s">
        <v>204</v>
      </c>
      <c r="C86" s="100" t="s">
        <v>98</v>
      </c>
      <c r="D86" s="100">
        <v>1</v>
      </c>
      <c r="E86" s="100">
        <v>700</v>
      </c>
      <c r="F86" s="99">
        <v>0.51780000000000004</v>
      </c>
      <c r="G86" s="101">
        <f>E86*12*F86</f>
        <v>4349.5200000000004</v>
      </c>
      <c r="H86" s="100">
        <v>99</v>
      </c>
      <c r="I86" s="100">
        <v>265</v>
      </c>
      <c r="J86" s="100">
        <v>180</v>
      </c>
      <c r="K86" s="99">
        <v>0.51780000000000004</v>
      </c>
      <c r="L86" s="99">
        <f>(J86*$N$1)+$O$1</f>
        <v>0.48107353696757765</v>
      </c>
    </row>
    <row r="87" spans="1:12">
      <c r="A87" s="100" t="s">
        <v>205</v>
      </c>
      <c r="B87" s="100" t="s">
        <v>204</v>
      </c>
      <c r="C87" s="100" t="s">
        <v>98</v>
      </c>
      <c r="D87" s="100">
        <v>2</v>
      </c>
      <c r="E87" s="100">
        <v>900</v>
      </c>
      <c r="F87" s="99">
        <v>0.52049999999999996</v>
      </c>
      <c r="G87" s="101">
        <f>E87*12*F87</f>
        <v>5621.4</v>
      </c>
      <c r="H87" s="100">
        <v>154</v>
      </c>
      <c r="I87" s="100">
        <v>286</v>
      </c>
      <c r="J87" s="100">
        <v>230</v>
      </c>
      <c r="K87" s="99">
        <v>0.52049999999999996</v>
      </c>
      <c r="L87" s="99">
        <f>(J87*$N$1)+$O$1</f>
        <v>0.47346754122257423</v>
      </c>
    </row>
    <row r="88" spans="1:12">
      <c r="A88" s="100" t="s">
        <v>206</v>
      </c>
      <c r="B88" s="100" t="s">
        <v>204</v>
      </c>
      <c r="C88" s="100" t="s">
        <v>107</v>
      </c>
      <c r="D88" s="100">
        <v>1</v>
      </c>
      <c r="E88" s="100">
        <v>1000</v>
      </c>
      <c r="F88" s="99">
        <v>0.63009999999999999</v>
      </c>
      <c r="G88" s="101">
        <f>E88*12*F88</f>
        <v>7561.2</v>
      </c>
      <c r="H88" s="100">
        <v>190</v>
      </c>
      <c r="I88" s="100">
        <v>462</v>
      </c>
      <c r="J88" s="100">
        <v>221</v>
      </c>
      <c r="K88" s="99">
        <v>0.63009999999999999</v>
      </c>
      <c r="L88" s="99">
        <f>(J88*$N$1)+$O$1</f>
        <v>0.47483662045667485</v>
      </c>
    </row>
    <row r="89" spans="1:12">
      <c r="A89" s="100" t="s">
        <v>207</v>
      </c>
      <c r="B89" s="100" t="s">
        <v>204</v>
      </c>
      <c r="C89" s="100" t="s">
        <v>107</v>
      </c>
      <c r="D89" s="100">
        <v>2</v>
      </c>
      <c r="E89" s="100">
        <v>1200</v>
      </c>
      <c r="F89" s="99">
        <v>0.36990000000000001</v>
      </c>
      <c r="G89" s="101">
        <f>E89*12*F89</f>
        <v>5326.56</v>
      </c>
      <c r="H89" s="100">
        <v>205</v>
      </c>
      <c r="I89" s="100">
        <v>411</v>
      </c>
      <c r="J89" s="100">
        <v>316</v>
      </c>
      <c r="K89" s="99">
        <v>0.36990000000000001</v>
      </c>
      <c r="L89" s="99">
        <f>(J89*$N$1)+$O$1</f>
        <v>0.46038522854116837</v>
      </c>
    </row>
    <row r="90" spans="1:12">
      <c r="A90" s="100" t="s">
        <v>208</v>
      </c>
      <c r="B90" s="100" t="s">
        <v>209</v>
      </c>
      <c r="C90" s="100" t="s">
        <v>98</v>
      </c>
      <c r="D90" s="100">
        <v>1</v>
      </c>
      <c r="E90" s="100">
        <v>700</v>
      </c>
      <c r="F90" s="99">
        <v>0.56989999999999996</v>
      </c>
      <c r="G90" s="101">
        <f>E90*12*F90</f>
        <v>4787.16</v>
      </c>
      <c r="H90" s="100">
        <v>192</v>
      </c>
      <c r="I90" s="100">
        <v>313</v>
      </c>
      <c r="J90" s="100">
        <v>245</v>
      </c>
      <c r="K90" s="99">
        <v>0.56989999999999996</v>
      </c>
      <c r="L90" s="99">
        <f>(J90*$N$1)+$O$1</f>
        <v>0.47118574249907319</v>
      </c>
    </row>
    <row r="91" spans="1:12">
      <c r="A91" s="100" t="s">
        <v>210</v>
      </c>
      <c r="B91" s="100" t="s">
        <v>209</v>
      </c>
      <c r="C91" s="100" t="s">
        <v>98</v>
      </c>
      <c r="D91" s="100">
        <v>2</v>
      </c>
      <c r="E91" s="100">
        <v>1000</v>
      </c>
      <c r="F91" s="99">
        <v>0.41920000000000002</v>
      </c>
      <c r="G91" s="101">
        <f>E91*12*F91</f>
        <v>5030.4000000000005</v>
      </c>
      <c r="H91" s="100">
        <v>192</v>
      </c>
      <c r="I91" s="100">
        <v>357</v>
      </c>
      <c r="J91" s="100">
        <v>266</v>
      </c>
      <c r="K91" s="99">
        <v>0.41920000000000002</v>
      </c>
      <c r="L91" s="99">
        <f>(J91*$N$1)+$O$1</f>
        <v>0.46799122428617179</v>
      </c>
    </row>
    <row r="92" spans="1:12">
      <c r="A92" s="100" t="s">
        <v>211</v>
      </c>
      <c r="B92" s="100" t="s">
        <v>209</v>
      </c>
      <c r="C92" s="100" t="s">
        <v>107</v>
      </c>
      <c r="D92" s="100">
        <v>1</v>
      </c>
      <c r="E92" s="100">
        <v>800</v>
      </c>
      <c r="F92" s="99">
        <v>0.45479999999999998</v>
      </c>
      <c r="G92" s="101">
        <f>E92*12*F92</f>
        <v>4366.08</v>
      </c>
      <c r="H92" s="100">
        <v>186</v>
      </c>
      <c r="I92" s="100">
        <v>465</v>
      </c>
      <c r="J92" s="100">
        <v>325</v>
      </c>
      <c r="K92" s="99">
        <v>0.45479999999999998</v>
      </c>
      <c r="L92" s="99">
        <f>(J92*$N$1)+$O$1</f>
        <v>0.45901614930706774</v>
      </c>
    </row>
    <row r="93" spans="1:12">
      <c r="A93" s="100" t="s">
        <v>212</v>
      </c>
      <c r="B93" s="100" t="s">
        <v>199</v>
      </c>
      <c r="C93" s="100" t="s">
        <v>107</v>
      </c>
      <c r="D93" s="100">
        <v>1</v>
      </c>
      <c r="E93" s="100">
        <v>2500</v>
      </c>
      <c r="F93" s="99">
        <v>0.62190000000000001</v>
      </c>
      <c r="G93" s="101">
        <f>E93*12*F93</f>
        <v>18657</v>
      </c>
      <c r="H93" s="100">
        <v>189</v>
      </c>
      <c r="I93" s="100">
        <v>588</v>
      </c>
      <c r="J93" s="100">
        <v>393</v>
      </c>
      <c r="K93" s="99">
        <v>0.62190000000000001</v>
      </c>
      <c r="L93" s="99">
        <f>(J93*$N$1)+$O$1</f>
        <v>0.44867199509386313</v>
      </c>
    </row>
    <row r="94" spans="1:12">
      <c r="A94" s="100" t="s">
        <v>213</v>
      </c>
      <c r="B94" s="100" t="s">
        <v>209</v>
      </c>
      <c r="C94" s="100" t="s">
        <v>107</v>
      </c>
      <c r="D94" s="100">
        <v>2</v>
      </c>
      <c r="E94" s="100">
        <v>900</v>
      </c>
      <c r="F94" s="99">
        <v>0.70960000000000001</v>
      </c>
      <c r="G94" s="101">
        <f>E94*12*F94</f>
        <v>7663.68</v>
      </c>
      <c r="H94" s="100">
        <v>209</v>
      </c>
      <c r="I94" s="100">
        <v>358</v>
      </c>
      <c r="J94" s="100">
        <v>256</v>
      </c>
      <c r="K94" s="99">
        <v>0.70960000000000001</v>
      </c>
      <c r="L94" s="99">
        <f>(J94*$N$1)+$O$1</f>
        <v>0.46951242343517247</v>
      </c>
    </row>
    <row r="95" spans="1:12">
      <c r="A95" s="100" t="s">
        <v>214</v>
      </c>
      <c r="B95" s="100" t="s">
        <v>215</v>
      </c>
      <c r="C95" s="100" t="s">
        <v>98</v>
      </c>
      <c r="D95" s="100">
        <v>1</v>
      </c>
      <c r="E95" s="100">
        <v>700</v>
      </c>
      <c r="F95" s="99">
        <v>0.30959999999999999</v>
      </c>
      <c r="G95" s="101">
        <f>E95*12*F95</f>
        <v>2600.64</v>
      </c>
      <c r="H95" s="100">
        <v>42</v>
      </c>
      <c r="I95" s="100">
        <v>252</v>
      </c>
      <c r="J95" s="100">
        <v>184</v>
      </c>
      <c r="K95" s="99">
        <v>0.30959999999999999</v>
      </c>
      <c r="L95" s="99">
        <f>(J95*$N$1)+$O$1</f>
        <v>0.48046505730797739</v>
      </c>
    </row>
    <row r="96" spans="1:12">
      <c r="A96" s="100" t="s">
        <v>216</v>
      </c>
      <c r="B96" s="100" t="s">
        <v>215</v>
      </c>
      <c r="C96" s="100" t="s">
        <v>98</v>
      </c>
      <c r="D96" s="100">
        <v>2</v>
      </c>
      <c r="E96" s="100">
        <v>1000</v>
      </c>
      <c r="F96" s="99">
        <v>0.24110000000000001</v>
      </c>
      <c r="G96" s="101">
        <f>E96*12*F96</f>
        <v>2893.2000000000003</v>
      </c>
      <c r="H96" s="100">
        <v>94</v>
      </c>
      <c r="I96" s="100">
        <v>531</v>
      </c>
      <c r="J96" s="100">
        <v>427</v>
      </c>
      <c r="K96" s="99">
        <v>0.24110000000000001</v>
      </c>
      <c r="L96" s="99">
        <f>(J96*$N$1)+$O$1</f>
        <v>0.44349991798726079</v>
      </c>
    </row>
    <row r="97" spans="1:12">
      <c r="A97" s="100" t="s">
        <v>217</v>
      </c>
      <c r="B97" s="100" t="s">
        <v>215</v>
      </c>
      <c r="C97" s="100" t="s">
        <v>107</v>
      </c>
      <c r="D97" s="100">
        <v>1</v>
      </c>
      <c r="E97" s="100">
        <v>900</v>
      </c>
      <c r="F97" s="99">
        <v>4.6600000000000003E-2</v>
      </c>
      <c r="G97" s="101">
        <f>E97*12*F97</f>
        <v>503.28000000000003</v>
      </c>
      <c r="H97" s="100">
        <v>86</v>
      </c>
      <c r="I97" s="100">
        <v>488</v>
      </c>
      <c r="J97" s="100">
        <v>418</v>
      </c>
      <c r="K97" s="99">
        <v>4.6600000000000003E-2</v>
      </c>
      <c r="L97" s="99">
        <f>(J97*$N$1)+$O$1</f>
        <v>0.44486899722136142</v>
      </c>
    </row>
    <row r="98" spans="1:12">
      <c r="A98" s="100" t="s">
        <v>218</v>
      </c>
      <c r="B98" s="100" t="s">
        <v>215</v>
      </c>
      <c r="C98" s="100" t="s">
        <v>107</v>
      </c>
      <c r="D98" s="100">
        <v>2</v>
      </c>
      <c r="E98" s="100">
        <v>1200</v>
      </c>
      <c r="F98" s="99">
        <v>0.63560000000000005</v>
      </c>
      <c r="G98" s="101">
        <f>E98*12*F98</f>
        <v>9152.6400000000012</v>
      </c>
      <c r="H98" s="100">
        <v>83</v>
      </c>
      <c r="I98" s="100">
        <v>556</v>
      </c>
      <c r="J98" s="100">
        <v>219</v>
      </c>
      <c r="K98" s="99">
        <v>0.63560000000000005</v>
      </c>
      <c r="L98" s="99">
        <f>(J98*$N$1)+$O$1</f>
        <v>0.47514086028647501</v>
      </c>
    </row>
    <row r="99" spans="1:12">
      <c r="A99" s="100" t="s">
        <v>219</v>
      </c>
      <c r="B99" s="100" t="s">
        <v>220</v>
      </c>
      <c r="C99" s="100" t="s">
        <v>98</v>
      </c>
      <c r="D99" s="100">
        <v>1</v>
      </c>
      <c r="E99" s="100">
        <v>1100</v>
      </c>
      <c r="F99" s="99">
        <v>0.43009999999999998</v>
      </c>
      <c r="G99" s="101">
        <f>E99*12*F99</f>
        <v>5677.32</v>
      </c>
      <c r="H99" s="100">
        <v>84</v>
      </c>
      <c r="I99" s="100">
        <v>301</v>
      </c>
      <c r="J99" s="100">
        <v>220</v>
      </c>
      <c r="K99" s="99">
        <v>0.43009999999999998</v>
      </c>
      <c r="L99" s="99">
        <f>(J99*$N$1)+$O$1</f>
        <v>0.4749887403715749</v>
      </c>
    </row>
    <row r="100" spans="1:12">
      <c r="A100" s="100" t="s">
        <v>221</v>
      </c>
      <c r="B100" s="100" t="s">
        <v>220</v>
      </c>
      <c r="C100" s="100" t="s">
        <v>98</v>
      </c>
      <c r="D100" s="100">
        <v>2</v>
      </c>
      <c r="E100" s="100">
        <v>1400</v>
      </c>
      <c r="F100" s="99">
        <v>0.38080000000000003</v>
      </c>
      <c r="G100" s="101">
        <f>E100*12*F100</f>
        <v>6397.4400000000005</v>
      </c>
      <c r="H100" s="100">
        <v>134</v>
      </c>
      <c r="I100" s="100">
        <v>568</v>
      </c>
      <c r="J100" s="100">
        <v>481</v>
      </c>
      <c r="K100" s="99">
        <v>0.38080000000000003</v>
      </c>
      <c r="L100" s="99">
        <f>(J100*$N$1)+$O$1</f>
        <v>0.43528544258265711</v>
      </c>
    </row>
    <row r="101" spans="1:12">
      <c r="A101" s="100" t="s">
        <v>222</v>
      </c>
      <c r="B101" s="100" t="s">
        <v>220</v>
      </c>
      <c r="C101" s="100" t="s">
        <v>107</v>
      </c>
      <c r="D101" s="100">
        <v>1</v>
      </c>
      <c r="E101" s="100">
        <v>1300</v>
      </c>
      <c r="F101" s="99">
        <v>0.45750000000000002</v>
      </c>
      <c r="G101" s="101">
        <f>E101*12*F101</f>
        <v>7137</v>
      </c>
      <c r="H101" s="100">
        <v>109</v>
      </c>
      <c r="I101" s="100">
        <v>615</v>
      </c>
      <c r="J101" s="100">
        <v>280</v>
      </c>
      <c r="K101" s="99">
        <v>0.45750000000000002</v>
      </c>
      <c r="L101" s="99">
        <f>(J101*$N$1)+$O$1</f>
        <v>0.4658615454775708</v>
      </c>
    </row>
    <row r="102" spans="1:12">
      <c r="A102" s="100" t="s">
        <v>223</v>
      </c>
      <c r="B102" s="100" t="s">
        <v>220</v>
      </c>
      <c r="C102" s="100" t="s">
        <v>107</v>
      </c>
      <c r="D102" s="100">
        <v>2</v>
      </c>
      <c r="E102" s="100">
        <v>1900</v>
      </c>
      <c r="F102" s="99">
        <v>0.189</v>
      </c>
      <c r="G102" s="101">
        <f>E102*12*F102</f>
        <v>4309.2</v>
      </c>
      <c r="H102" s="100">
        <v>227</v>
      </c>
      <c r="I102" s="100">
        <v>861</v>
      </c>
      <c r="J102" s="100">
        <v>568</v>
      </c>
      <c r="K102" s="99">
        <v>0.189</v>
      </c>
      <c r="L102" s="99">
        <f>(J102*$N$1)+$O$1</f>
        <v>0.42205100998635114</v>
      </c>
    </row>
    <row r="103" spans="1:12">
      <c r="A103" s="100" t="s">
        <v>224</v>
      </c>
      <c r="B103" s="100" t="s">
        <v>225</v>
      </c>
      <c r="C103" s="100" t="s">
        <v>98</v>
      </c>
      <c r="D103" s="100">
        <v>1</v>
      </c>
      <c r="E103" s="100">
        <v>900</v>
      </c>
      <c r="F103" s="99">
        <v>0.29039999999999999</v>
      </c>
      <c r="G103" s="101">
        <f>E103*12*F103</f>
        <v>3136.3199999999997</v>
      </c>
      <c r="H103" s="100">
        <v>176</v>
      </c>
      <c r="I103" s="100">
        <v>440</v>
      </c>
      <c r="J103" s="100">
        <v>318</v>
      </c>
      <c r="K103" s="99">
        <v>0.29039999999999999</v>
      </c>
      <c r="L103" s="99">
        <f>(J103*$N$1)+$O$1</f>
        <v>0.46008098871136821</v>
      </c>
    </row>
    <row r="104" spans="1:12">
      <c r="A104" s="100" t="s">
        <v>226</v>
      </c>
      <c r="B104" s="100" t="s">
        <v>199</v>
      </c>
      <c r="C104" s="100" t="s">
        <v>107</v>
      </c>
      <c r="D104" s="100">
        <v>2</v>
      </c>
      <c r="E104" s="100">
        <v>2800</v>
      </c>
      <c r="F104" s="99">
        <v>0.29859999999999998</v>
      </c>
      <c r="G104" s="101">
        <f>E104*12*F104</f>
        <v>10032.959999999999</v>
      </c>
      <c r="H104" s="100">
        <v>191</v>
      </c>
      <c r="I104" s="100">
        <v>826</v>
      </c>
      <c r="J104" s="100">
        <v>556</v>
      </c>
      <c r="K104" s="99">
        <v>0.29859999999999998</v>
      </c>
      <c r="L104" s="99">
        <f>(J104*$N$1)+$O$1</f>
        <v>0.42387644896515198</v>
      </c>
    </row>
    <row r="105" spans="1:12">
      <c r="A105" s="100" t="s">
        <v>227</v>
      </c>
      <c r="B105" s="100" t="s">
        <v>225</v>
      </c>
      <c r="C105" s="100" t="s">
        <v>98</v>
      </c>
      <c r="D105" s="100">
        <v>2</v>
      </c>
      <c r="E105" s="100">
        <v>1100</v>
      </c>
      <c r="F105" s="99">
        <v>0.58079999999999998</v>
      </c>
      <c r="G105" s="101">
        <f>E105*12*F105</f>
        <v>7666.5599999999995</v>
      </c>
      <c r="H105" s="100">
        <v>225</v>
      </c>
      <c r="I105" s="100">
        <v>1033</v>
      </c>
      <c r="J105" s="100">
        <v>538</v>
      </c>
      <c r="K105" s="99">
        <v>0.58079999999999998</v>
      </c>
      <c r="L105" s="99">
        <f>(J105*$N$1)+$O$1</f>
        <v>0.42661460743335322</v>
      </c>
    </row>
    <row r="106" spans="1:12">
      <c r="A106" s="100" t="s">
        <v>228</v>
      </c>
      <c r="B106" s="100" t="s">
        <v>225</v>
      </c>
      <c r="C106" s="100" t="s">
        <v>107</v>
      </c>
      <c r="D106" s="100">
        <v>1</v>
      </c>
      <c r="E106" s="100">
        <v>1300</v>
      </c>
      <c r="F106" s="99">
        <v>0.39179999999999998</v>
      </c>
      <c r="G106" s="101">
        <f>E106*12*F106</f>
        <v>6112.08</v>
      </c>
      <c r="H106" s="100">
        <v>157</v>
      </c>
      <c r="I106" s="100">
        <v>471</v>
      </c>
      <c r="J106" s="100">
        <v>318</v>
      </c>
      <c r="K106" s="99">
        <v>0.39179999999999998</v>
      </c>
      <c r="L106" s="99">
        <f>(J106*$N$1)+$O$1</f>
        <v>0.46008098871136821</v>
      </c>
    </row>
    <row r="107" spans="1:12">
      <c r="A107" s="100" t="s">
        <v>229</v>
      </c>
      <c r="B107" s="100" t="s">
        <v>225</v>
      </c>
      <c r="C107" s="100" t="s">
        <v>107</v>
      </c>
      <c r="D107" s="100">
        <v>2</v>
      </c>
      <c r="E107" s="100">
        <v>1600</v>
      </c>
      <c r="F107" s="99">
        <v>0.38629999999999998</v>
      </c>
      <c r="G107" s="101">
        <f>E107*12*F107</f>
        <v>7416.9599999999991</v>
      </c>
      <c r="H107" s="100">
        <v>253</v>
      </c>
      <c r="I107" s="100">
        <v>886</v>
      </c>
      <c r="J107" s="100">
        <v>680</v>
      </c>
      <c r="K107" s="99">
        <v>0.38629999999999998</v>
      </c>
      <c r="L107" s="99">
        <f>(J107*$N$1)+$O$1</f>
        <v>0.40501357951754346</v>
      </c>
    </row>
    <row r="108" spans="1:12">
      <c r="A108" s="100" t="s">
        <v>230</v>
      </c>
      <c r="B108" s="100" t="s">
        <v>231</v>
      </c>
      <c r="C108" s="100" t="s">
        <v>98</v>
      </c>
      <c r="D108" s="100">
        <v>1</v>
      </c>
      <c r="E108" s="100">
        <v>1400</v>
      </c>
      <c r="F108" s="99">
        <v>0.48770000000000002</v>
      </c>
      <c r="G108" s="101">
        <f>E108*12*F108</f>
        <v>8193.36</v>
      </c>
      <c r="H108" s="100">
        <v>76</v>
      </c>
      <c r="I108" s="100">
        <v>342</v>
      </c>
      <c r="J108" s="100">
        <v>202</v>
      </c>
      <c r="K108" s="99">
        <v>0.48770000000000002</v>
      </c>
      <c r="L108" s="99">
        <f>(J108*$N$1)+$O$1</f>
        <v>0.47772689883977615</v>
      </c>
    </row>
    <row r="109" spans="1:12">
      <c r="A109" s="100" t="s">
        <v>232</v>
      </c>
      <c r="B109" s="100" t="s">
        <v>231</v>
      </c>
      <c r="C109" s="100" t="s">
        <v>98</v>
      </c>
      <c r="D109" s="100">
        <v>2</v>
      </c>
      <c r="E109" s="100">
        <v>2000</v>
      </c>
      <c r="F109" s="99">
        <v>0.41099999999999998</v>
      </c>
      <c r="G109" s="101">
        <f>E109*12*F109</f>
        <v>9864</v>
      </c>
      <c r="H109" s="100">
        <v>107</v>
      </c>
      <c r="I109" s="100">
        <v>781</v>
      </c>
      <c r="J109" s="100">
        <v>579</v>
      </c>
      <c r="K109" s="99">
        <v>0.41099999999999998</v>
      </c>
      <c r="L109" s="99">
        <f>(J109*$N$1)+$O$1</f>
        <v>0.42037769092245036</v>
      </c>
    </row>
    <row r="110" spans="1:12">
      <c r="A110" s="100" t="s">
        <v>233</v>
      </c>
      <c r="B110" s="100" t="s">
        <v>231</v>
      </c>
      <c r="C110" s="100" t="s">
        <v>107</v>
      </c>
      <c r="D110" s="100">
        <v>1</v>
      </c>
      <c r="E110" s="100">
        <v>1700</v>
      </c>
      <c r="F110" s="99">
        <v>0.50409999999999999</v>
      </c>
      <c r="G110" s="101">
        <f>E110*12*F110</f>
        <v>10283.64</v>
      </c>
      <c r="H110" s="100">
        <v>162</v>
      </c>
      <c r="I110" s="100">
        <v>614</v>
      </c>
      <c r="J110" s="100">
        <v>524</v>
      </c>
      <c r="K110" s="99">
        <v>0.50409999999999999</v>
      </c>
      <c r="L110" s="99">
        <f>(J110*$N$1)+$O$1</f>
        <v>0.42874428624195415</v>
      </c>
    </row>
    <row r="111" spans="1:12">
      <c r="A111" s="100" t="s">
        <v>234</v>
      </c>
      <c r="B111" s="100" t="s">
        <v>231</v>
      </c>
      <c r="C111" s="100" t="s">
        <v>107</v>
      </c>
      <c r="D111" s="100">
        <v>2</v>
      </c>
      <c r="E111" s="100">
        <v>2500</v>
      </c>
      <c r="F111" s="99">
        <v>0.2767</v>
      </c>
      <c r="G111" s="101">
        <f>E111*12*F111</f>
        <v>8301</v>
      </c>
      <c r="H111" s="100">
        <v>158</v>
      </c>
      <c r="I111" s="100">
        <v>906</v>
      </c>
      <c r="J111" s="100">
        <v>560</v>
      </c>
      <c r="K111" s="99">
        <v>0.2767</v>
      </c>
      <c r="L111" s="99">
        <f>(J111*$N$1)+$O$1</f>
        <v>0.42326796930555166</v>
      </c>
    </row>
    <row r="112" spans="1:12">
      <c r="A112" s="100" t="s">
        <v>235</v>
      </c>
      <c r="B112" s="100" t="s">
        <v>236</v>
      </c>
      <c r="C112" s="100" t="s">
        <v>98</v>
      </c>
      <c r="D112" s="100">
        <v>1</v>
      </c>
      <c r="E112" s="100">
        <v>1800</v>
      </c>
      <c r="F112" s="99">
        <v>0.32879999999999998</v>
      </c>
      <c r="G112" s="101">
        <f>E112*12*F112</f>
        <v>7102.08</v>
      </c>
      <c r="H112" s="100">
        <v>199</v>
      </c>
      <c r="I112" s="100">
        <v>432</v>
      </c>
      <c r="J112" s="100">
        <v>362</v>
      </c>
      <c r="K112" s="99">
        <v>0.32879999999999998</v>
      </c>
      <c r="L112" s="99">
        <f>(J112*$N$1)+$O$1</f>
        <v>0.4533877124557652</v>
      </c>
    </row>
    <row r="113" spans="1:12">
      <c r="A113" s="100" t="s">
        <v>237</v>
      </c>
      <c r="B113" s="100" t="s">
        <v>236</v>
      </c>
      <c r="C113" s="100" t="s">
        <v>98</v>
      </c>
      <c r="D113" s="100">
        <v>2</v>
      </c>
      <c r="E113" s="100">
        <v>2600</v>
      </c>
      <c r="F113" s="99">
        <v>0.53149999999999997</v>
      </c>
      <c r="G113" s="101">
        <f>E113*12*F113</f>
        <v>16582.8</v>
      </c>
      <c r="H113" s="100">
        <v>366</v>
      </c>
      <c r="I113" s="100">
        <v>594</v>
      </c>
      <c r="J113" s="100">
        <v>417</v>
      </c>
      <c r="K113" s="99">
        <v>0.53149999999999997</v>
      </c>
      <c r="L113" s="99">
        <f>(J113*$N$1)+$O$1</f>
        <v>0.44502111713626147</v>
      </c>
    </row>
    <row r="114" spans="1:12">
      <c r="A114" s="100" t="s">
        <v>238</v>
      </c>
      <c r="B114" s="100" t="s">
        <v>236</v>
      </c>
      <c r="C114" s="100" t="s">
        <v>107</v>
      </c>
      <c r="D114" s="100">
        <v>1</v>
      </c>
      <c r="E114" s="100">
        <v>2500</v>
      </c>
      <c r="F114" s="99">
        <v>0.4274</v>
      </c>
      <c r="G114" s="101">
        <f>E114*12*F114</f>
        <v>12822</v>
      </c>
      <c r="H114" s="100">
        <v>333</v>
      </c>
      <c r="I114" s="100">
        <v>665</v>
      </c>
      <c r="J114" s="100">
        <v>474</v>
      </c>
      <c r="K114" s="99">
        <v>0.4274</v>
      </c>
      <c r="L114" s="99">
        <f>(J114*$N$1)+$O$1</f>
        <v>0.43635028198695758</v>
      </c>
    </row>
    <row r="115" spans="1:12">
      <c r="A115" s="100" t="s">
        <v>239</v>
      </c>
      <c r="B115" s="100" t="s">
        <v>97</v>
      </c>
      <c r="C115" s="100" t="s">
        <v>107</v>
      </c>
      <c r="D115" s="100">
        <v>1</v>
      </c>
      <c r="E115" s="100">
        <v>1500</v>
      </c>
      <c r="F115" s="99">
        <v>0.24110000000000001</v>
      </c>
      <c r="G115" s="101">
        <f>E115*12*F115</f>
        <v>4339.8</v>
      </c>
      <c r="H115" s="100">
        <v>81</v>
      </c>
      <c r="I115" s="100">
        <v>205</v>
      </c>
      <c r="J115" s="100">
        <v>146</v>
      </c>
      <c r="K115" s="99">
        <v>0.24110000000000001</v>
      </c>
      <c r="L115" s="99">
        <f>(J115*$N$1)+$O$1</f>
        <v>0.48624561407417999</v>
      </c>
    </row>
    <row r="116" spans="1:12">
      <c r="A116" s="100" t="s">
        <v>240</v>
      </c>
      <c r="B116" s="100" t="s">
        <v>199</v>
      </c>
      <c r="C116" s="100" t="s">
        <v>98</v>
      </c>
      <c r="D116" s="100">
        <v>1</v>
      </c>
      <c r="E116" s="100">
        <v>1700</v>
      </c>
      <c r="F116" s="99">
        <v>0.41099999999999998</v>
      </c>
      <c r="G116" s="101">
        <f>E116*12*F116</f>
        <v>8384.4</v>
      </c>
      <c r="H116" s="100">
        <v>106</v>
      </c>
      <c r="I116" s="100">
        <v>465</v>
      </c>
      <c r="J116" s="100">
        <v>312</v>
      </c>
      <c r="K116" s="99">
        <v>0.41099999999999998</v>
      </c>
      <c r="L116" s="99">
        <f>(J116*$N$1)+$O$1</f>
        <v>0.46099370820076863</v>
      </c>
    </row>
    <row r="117" spans="1:12">
      <c r="A117" s="100" t="s">
        <v>241</v>
      </c>
      <c r="B117" s="100" t="s">
        <v>236</v>
      </c>
      <c r="C117" s="100" t="s">
        <v>107</v>
      </c>
      <c r="D117" s="100">
        <v>2</v>
      </c>
      <c r="E117" s="100">
        <v>3600</v>
      </c>
      <c r="F117" s="99">
        <v>0.39729999999999999</v>
      </c>
      <c r="G117" s="101">
        <f>E117*12*F117</f>
        <v>17163.36</v>
      </c>
      <c r="H117" s="100">
        <v>336</v>
      </c>
      <c r="I117" s="100">
        <v>624</v>
      </c>
      <c r="J117" s="100">
        <v>491</v>
      </c>
      <c r="K117" s="99">
        <v>0.39729999999999999</v>
      </c>
      <c r="L117" s="99">
        <f>(J117*$N$1)+$O$1</f>
        <v>0.43376424343365638</v>
      </c>
    </row>
    <row r="118" spans="1:12">
      <c r="A118" s="100" t="s">
        <v>242</v>
      </c>
      <c r="B118" s="100" t="s">
        <v>243</v>
      </c>
      <c r="C118" s="100" t="s">
        <v>98</v>
      </c>
      <c r="D118" s="100">
        <v>1</v>
      </c>
      <c r="E118" s="100">
        <v>1200</v>
      </c>
      <c r="F118" s="99">
        <v>0.79730000000000001</v>
      </c>
      <c r="G118" s="101">
        <f>E118*12*F118</f>
        <v>11481.12</v>
      </c>
      <c r="H118" s="100">
        <v>173</v>
      </c>
      <c r="I118" s="100">
        <v>395</v>
      </c>
      <c r="J118" s="100">
        <v>204</v>
      </c>
      <c r="K118" s="99">
        <v>0.79730000000000001</v>
      </c>
      <c r="L118" s="99">
        <f>(J118*$N$1)+$O$1</f>
        <v>0.47742265900997599</v>
      </c>
    </row>
    <row r="119" spans="1:12">
      <c r="A119" s="100" t="s">
        <v>244</v>
      </c>
      <c r="B119" s="100" t="s">
        <v>243</v>
      </c>
      <c r="C119" s="100" t="s">
        <v>98</v>
      </c>
      <c r="D119" s="100">
        <v>2</v>
      </c>
      <c r="E119" s="100">
        <v>1600</v>
      </c>
      <c r="F119" s="99">
        <v>0.68769999999999998</v>
      </c>
      <c r="G119" s="101">
        <f>E119*12*F119</f>
        <v>13203.84</v>
      </c>
      <c r="H119" s="100">
        <v>228</v>
      </c>
      <c r="I119" s="100">
        <v>456</v>
      </c>
      <c r="J119" s="100">
        <v>245</v>
      </c>
      <c r="K119" s="99">
        <v>0.68769999999999998</v>
      </c>
      <c r="L119" s="99">
        <f>(J119*$N$1)+$O$1</f>
        <v>0.47118574249907319</v>
      </c>
    </row>
    <row r="120" spans="1:12">
      <c r="A120" s="100" t="s">
        <v>245</v>
      </c>
      <c r="B120" s="100" t="s">
        <v>243</v>
      </c>
      <c r="C120" s="100" t="s">
        <v>107</v>
      </c>
      <c r="D120" s="100">
        <v>1</v>
      </c>
      <c r="E120" s="100">
        <v>1000</v>
      </c>
      <c r="F120" s="99">
        <v>0.58899999999999997</v>
      </c>
      <c r="G120" s="101">
        <f>E120*12*F120</f>
        <v>7068</v>
      </c>
      <c r="H120" s="100">
        <v>155</v>
      </c>
      <c r="I120" s="100">
        <v>252</v>
      </c>
      <c r="J120" s="100">
        <v>197</v>
      </c>
      <c r="K120" s="99">
        <v>0.58899999999999997</v>
      </c>
      <c r="L120" s="99">
        <f>(J120*$N$1)+$O$1</f>
        <v>0.47848749841427651</v>
      </c>
    </row>
    <row r="121" spans="1:12">
      <c r="A121" s="100" t="s">
        <v>246</v>
      </c>
      <c r="B121" s="100" t="s">
        <v>243</v>
      </c>
      <c r="C121" s="100" t="s">
        <v>107</v>
      </c>
      <c r="D121" s="100">
        <v>2</v>
      </c>
      <c r="E121" s="100">
        <v>1500</v>
      </c>
      <c r="F121" s="99">
        <v>0.61919999999999997</v>
      </c>
      <c r="G121" s="101">
        <f>E121*12*F121</f>
        <v>11145.6</v>
      </c>
      <c r="H121" s="100">
        <v>158</v>
      </c>
      <c r="I121" s="100">
        <v>236</v>
      </c>
      <c r="J121" s="100">
        <v>195</v>
      </c>
      <c r="K121" s="99">
        <v>0.61919999999999997</v>
      </c>
      <c r="L121" s="99">
        <f>(J121*$N$1)+$O$1</f>
        <v>0.47879173824407661</v>
      </c>
    </row>
    <row r="122" spans="1:12">
      <c r="A122" s="100" t="s">
        <v>247</v>
      </c>
      <c r="B122" s="100" t="s">
        <v>248</v>
      </c>
      <c r="C122" s="100" t="s">
        <v>98</v>
      </c>
      <c r="D122" s="100">
        <v>1</v>
      </c>
      <c r="E122" s="100">
        <v>750</v>
      </c>
      <c r="F122" s="99">
        <v>0.45479999999999998</v>
      </c>
      <c r="G122" s="101">
        <f>E122*12*F122</f>
        <v>4093.2</v>
      </c>
      <c r="H122" s="100">
        <v>89</v>
      </c>
      <c r="I122" s="100">
        <v>155</v>
      </c>
      <c r="J122" s="100">
        <v>124</v>
      </c>
      <c r="K122" s="99">
        <v>0.45479999999999998</v>
      </c>
      <c r="L122" s="99">
        <f>(J122*$N$1)+$O$1</f>
        <v>0.48959225220198149</v>
      </c>
    </row>
    <row r="123" spans="1:12">
      <c r="A123" s="100" t="s">
        <v>249</v>
      </c>
      <c r="B123" s="100" t="s">
        <v>248</v>
      </c>
      <c r="C123" s="100" t="s">
        <v>98</v>
      </c>
      <c r="D123" s="100">
        <v>2</v>
      </c>
      <c r="E123" s="100">
        <v>1040</v>
      </c>
      <c r="F123" s="99">
        <v>0.48770000000000002</v>
      </c>
      <c r="G123" s="101">
        <f>E123*12*F123</f>
        <v>6086.4960000000001</v>
      </c>
      <c r="H123" s="100">
        <v>115</v>
      </c>
      <c r="I123" s="100">
        <v>179</v>
      </c>
      <c r="J123" s="100">
        <v>156</v>
      </c>
      <c r="K123" s="99">
        <v>0.48770000000000002</v>
      </c>
      <c r="L123" s="99">
        <f>(J123*$N$1)+$O$1</f>
        <v>0.48472441492517931</v>
      </c>
    </row>
    <row r="124" spans="1:12">
      <c r="A124" s="100" t="s">
        <v>250</v>
      </c>
      <c r="B124" s="100" t="s">
        <v>248</v>
      </c>
      <c r="C124" s="100" t="s">
        <v>107</v>
      </c>
      <c r="D124" s="100">
        <v>1</v>
      </c>
      <c r="E124" s="100">
        <v>900</v>
      </c>
      <c r="F124" s="99">
        <v>0.47949999999999998</v>
      </c>
      <c r="G124" s="101">
        <f>E124*12*F124</f>
        <v>5178.5999999999995</v>
      </c>
      <c r="H124" s="100">
        <v>152</v>
      </c>
      <c r="I124" s="100">
        <v>300</v>
      </c>
      <c r="J124" s="100">
        <v>256</v>
      </c>
      <c r="K124" s="99">
        <v>0.47949999999999998</v>
      </c>
      <c r="L124" s="99">
        <f>(J124*$N$1)+$O$1</f>
        <v>0.46951242343517247</v>
      </c>
    </row>
    <row r="125" spans="1:12">
      <c r="A125" s="100" t="s">
        <v>251</v>
      </c>
      <c r="B125" s="100" t="s">
        <v>248</v>
      </c>
      <c r="C125" s="100" t="s">
        <v>107</v>
      </c>
      <c r="D125" s="100">
        <v>2</v>
      </c>
      <c r="E125" s="100">
        <v>1400</v>
      </c>
      <c r="F125" s="99">
        <v>0.49320000000000003</v>
      </c>
      <c r="G125" s="101">
        <f>E125*12*F125</f>
        <v>8285.76</v>
      </c>
      <c r="H125" s="100">
        <v>175</v>
      </c>
      <c r="I125" s="100">
        <v>368</v>
      </c>
      <c r="J125" s="100">
        <v>284</v>
      </c>
      <c r="K125" s="99">
        <v>0.49320000000000003</v>
      </c>
      <c r="L125" s="99">
        <f>(J125*$N$1)+$O$1</f>
        <v>0.46525306581797055</v>
      </c>
    </row>
    <row r="126" spans="1:12">
      <c r="A126" s="100" t="s">
        <v>252</v>
      </c>
      <c r="B126" s="100" t="s">
        <v>253</v>
      </c>
      <c r="C126" s="100" t="s">
        <v>98</v>
      </c>
      <c r="D126" s="100">
        <v>1</v>
      </c>
      <c r="E126" s="100">
        <v>825</v>
      </c>
      <c r="F126" s="99">
        <v>0.36159999999999998</v>
      </c>
      <c r="G126" s="101">
        <f>E126*12*F126</f>
        <v>3579.8399999999997</v>
      </c>
      <c r="H126" s="100">
        <v>77</v>
      </c>
      <c r="I126" s="100">
        <v>161</v>
      </c>
      <c r="J126" s="100">
        <v>128</v>
      </c>
      <c r="K126" s="99">
        <v>0.36159999999999998</v>
      </c>
      <c r="L126" s="99">
        <f>(J126*$N$1)+$O$1</f>
        <v>0.48898377254238118</v>
      </c>
    </row>
    <row r="127" spans="1:12">
      <c r="A127" s="100" t="s">
        <v>254</v>
      </c>
      <c r="B127" s="100" t="s">
        <v>255</v>
      </c>
      <c r="C127" s="100" t="s">
        <v>98</v>
      </c>
      <c r="D127" s="100">
        <v>2</v>
      </c>
      <c r="E127" s="100">
        <v>2700</v>
      </c>
      <c r="F127" s="99">
        <v>0.4219</v>
      </c>
      <c r="G127" s="101">
        <f>E127*12*F127</f>
        <v>13669.56</v>
      </c>
      <c r="H127" s="100">
        <v>157</v>
      </c>
      <c r="I127" s="100">
        <v>526</v>
      </c>
      <c r="J127" s="100">
        <v>337</v>
      </c>
      <c r="K127" s="99">
        <v>0.4219</v>
      </c>
      <c r="L127" s="99">
        <f>(J127*$N$1)+$O$1</f>
        <v>0.45719071032826691</v>
      </c>
    </row>
    <row r="128" spans="1:12">
      <c r="A128" s="100" t="s">
        <v>256</v>
      </c>
      <c r="B128" s="100" t="s">
        <v>253</v>
      </c>
      <c r="C128" s="100" t="s">
        <v>98</v>
      </c>
      <c r="D128" s="100">
        <v>2</v>
      </c>
      <c r="E128" s="100">
        <v>1300</v>
      </c>
      <c r="F128" s="99">
        <v>0.74250000000000005</v>
      </c>
      <c r="G128" s="101">
        <f>E128*12*F128</f>
        <v>11583</v>
      </c>
      <c r="H128" s="100">
        <v>125</v>
      </c>
      <c r="I128" s="100">
        <v>170</v>
      </c>
      <c r="J128" s="100">
        <v>139</v>
      </c>
      <c r="K128" s="99">
        <v>0.74250000000000005</v>
      </c>
      <c r="L128" s="99">
        <f>(J128*$N$1)+$O$1</f>
        <v>0.48731045347848045</v>
      </c>
    </row>
    <row r="129" spans="1:12">
      <c r="A129" s="100" t="s">
        <v>257</v>
      </c>
      <c r="B129" s="100" t="s">
        <v>253</v>
      </c>
      <c r="C129" s="100" t="s">
        <v>107</v>
      </c>
      <c r="D129" s="100">
        <v>1</v>
      </c>
      <c r="E129" s="100">
        <v>1000</v>
      </c>
      <c r="F129" s="99">
        <v>0.36990000000000001</v>
      </c>
      <c r="G129" s="101">
        <f>E129*12*F129</f>
        <v>4438.8</v>
      </c>
      <c r="H129" s="100">
        <v>140</v>
      </c>
      <c r="I129" s="100">
        <v>288</v>
      </c>
      <c r="J129" s="100">
        <v>240</v>
      </c>
      <c r="K129" s="99">
        <v>0.36990000000000001</v>
      </c>
      <c r="L129" s="99">
        <f>(J129*$N$1)+$O$1</f>
        <v>0.47194634207357355</v>
      </c>
    </row>
    <row r="130" spans="1:12">
      <c r="A130" s="100" t="s">
        <v>258</v>
      </c>
      <c r="B130" s="100" t="s">
        <v>253</v>
      </c>
      <c r="C130" s="100" t="s">
        <v>107</v>
      </c>
      <c r="D130" s="100">
        <v>2</v>
      </c>
      <c r="E130" s="100">
        <v>1480</v>
      </c>
      <c r="F130" s="99">
        <v>0.44109999999999999</v>
      </c>
      <c r="G130" s="101">
        <f>E130*12*F130</f>
        <v>7833.9359999999997</v>
      </c>
      <c r="H130" s="100">
        <v>175</v>
      </c>
      <c r="I130" s="100">
        <v>310</v>
      </c>
      <c r="J130" s="100">
        <v>249</v>
      </c>
      <c r="K130" s="99">
        <v>0.44109999999999999</v>
      </c>
      <c r="L130" s="99">
        <f>(J130*$N$1)+$O$1</f>
        <v>0.47057726283947293</v>
      </c>
    </row>
    <row r="131" spans="1:12">
      <c r="A131" s="100" t="s">
        <v>259</v>
      </c>
      <c r="B131" s="100" t="s">
        <v>260</v>
      </c>
      <c r="C131" s="100" t="s">
        <v>98</v>
      </c>
      <c r="D131" s="100">
        <v>1</v>
      </c>
      <c r="E131" s="100">
        <v>650</v>
      </c>
      <c r="F131" s="99">
        <v>0.47949999999999998</v>
      </c>
      <c r="G131" s="101">
        <f>E131*12*F131</f>
        <v>3740.1</v>
      </c>
      <c r="H131" s="100">
        <v>80</v>
      </c>
      <c r="I131" s="100">
        <v>156</v>
      </c>
      <c r="J131" s="100">
        <v>107</v>
      </c>
      <c r="K131" s="99">
        <v>0.47949999999999998</v>
      </c>
      <c r="L131" s="99">
        <f>(J131*$N$1)+$O$1</f>
        <v>0.49217829075528263</v>
      </c>
    </row>
    <row r="132" spans="1:12">
      <c r="A132" s="100" t="s">
        <v>261</v>
      </c>
      <c r="B132" s="100" t="s">
        <v>260</v>
      </c>
      <c r="C132" s="100" t="s">
        <v>98</v>
      </c>
      <c r="D132" s="100">
        <v>2</v>
      </c>
      <c r="E132" s="100">
        <v>920</v>
      </c>
      <c r="F132" s="99">
        <v>0.41370000000000001</v>
      </c>
      <c r="G132" s="101">
        <f>E132*12*F132</f>
        <v>4567.2480000000005</v>
      </c>
      <c r="H132" s="100">
        <v>108</v>
      </c>
      <c r="I132" s="100">
        <v>205</v>
      </c>
      <c r="J132" s="100">
        <v>147</v>
      </c>
      <c r="K132" s="99">
        <v>0.41370000000000001</v>
      </c>
      <c r="L132" s="99">
        <f>(J132*$N$1)+$O$1</f>
        <v>0.48609349415927988</v>
      </c>
    </row>
    <row r="133" spans="1:12">
      <c r="A133" s="100" t="s">
        <v>262</v>
      </c>
      <c r="B133" s="100" t="s">
        <v>260</v>
      </c>
      <c r="C133" s="100" t="s">
        <v>107</v>
      </c>
      <c r="D133" s="100">
        <v>1</v>
      </c>
      <c r="E133" s="100">
        <v>880</v>
      </c>
      <c r="F133" s="99">
        <v>0.44379999999999997</v>
      </c>
      <c r="G133" s="101">
        <f>E133*12*F133</f>
        <v>4686.5279999999993</v>
      </c>
      <c r="H133" s="100">
        <v>145</v>
      </c>
      <c r="I133" s="100">
        <v>333</v>
      </c>
      <c r="J133" s="100">
        <v>246</v>
      </c>
      <c r="K133" s="99">
        <v>0.44379999999999997</v>
      </c>
      <c r="L133" s="99">
        <f>(J133*$N$1)+$O$1</f>
        <v>0.47103362258417314</v>
      </c>
    </row>
    <row r="134" spans="1:12">
      <c r="A134" s="100" t="s">
        <v>263</v>
      </c>
      <c r="B134" s="100" t="s">
        <v>260</v>
      </c>
      <c r="C134" s="100" t="s">
        <v>107</v>
      </c>
      <c r="D134" s="100">
        <v>2</v>
      </c>
      <c r="E134" s="100">
        <v>1200</v>
      </c>
      <c r="F134" s="99">
        <v>0.61919999999999997</v>
      </c>
      <c r="G134" s="101">
        <f>E134*12*F134</f>
        <v>8916.48</v>
      </c>
      <c r="H134" s="100">
        <v>160</v>
      </c>
      <c r="I134" s="100">
        <v>310</v>
      </c>
      <c r="J134" s="100">
        <v>169</v>
      </c>
      <c r="K134" s="99">
        <v>0.61919999999999997</v>
      </c>
      <c r="L134" s="99">
        <f>(J134*$N$1)+$O$1</f>
        <v>0.48274685603147838</v>
      </c>
    </row>
    <row r="135" spans="1:12">
      <c r="A135" s="100" t="s">
        <v>264</v>
      </c>
      <c r="B135" s="100" t="s">
        <v>265</v>
      </c>
      <c r="C135" s="100" t="s">
        <v>98</v>
      </c>
      <c r="D135" s="100">
        <v>1</v>
      </c>
      <c r="E135" s="100">
        <v>1000</v>
      </c>
      <c r="F135" s="99">
        <v>0.54790000000000005</v>
      </c>
      <c r="G135" s="101">
        <f>E135*12*F135</f>
        <v>6574.8000000000011</v>
      </c>
      <c r="H135" s="100">
        <v>95</v>
      </c>
      <c r="I135" s="100">
        <v>280</v>
      </c>
      <c r="J135" s="100">
        <v>174</v>
      </c>
      <c r="K135" s="99">
        <v>0.54790000000000005</v>
      </c>
      <c r="L135" s="99">
        <f>(J135*$N$1)+$O$1</f>
        <v>0.48198625645697807</v>
      </c>
    </row>
    <row r="136" spans="1:12">
      <c r="A136" s="100" t="s">
        <v>266</v>
      </c>
      <c r="B136" s="100" t="s">
        <v>265</v>
      </c>
      <c r="C136" s="100" t="s">
        <v>98</v>
      </c>
      <c r="D136" s="100">
        <v>2</v>
      </c>
      <c r="E136" s="100">
        <v>1200</v>
      </c>
      <c r="F136" s="99">
        <v>0.2712</v>
      </c>
      <c r="G136" s="101">
        <f>E136*12*F136</f>
        <v>3905.2799999999997</v>
      </c>
      <c r="H136" s="100">
        <v>125</v>
      </c>
      <c r="I136" s="100">
        <v>277</v>
      </c>
      <c r="J136" s="100">
        <v>203</v>
      </c>
      <c r="K136" s="99">
        <v>0.2712</v>
      </c>
      <c r="L136" s="99">
        <f>(J136*$N$1)+$O$1</f>
        <v>0.4775747789248761</v>
      </c>
    </row>
    <row r="137" spans="1:12">
      <c r="A137" s="100" t="s">
        <v>267</v>
      </c>
      <c r="B137" s="100" t="s">
        <v>265</v>
      </c>
      <c r="C137" s="100" t="s">
        <v>107</v>
      </c>
      <c r="D137" s="100">
        <v>1</v>
      </c>
      <c r="E137" s="100">
        <v>1400</v>
      </c>
      <c r="F137" s="99">
        <v>0.76160000000000005</v>
      </c>
      <c r="G137" s="101">
        <f>E137*12*F137</f>
        <v>12794.880000000001</v>
      </c>
      <c r="H137" s="100">
        <v>209</v>
      </c>
      <c r="I137" s="100">
        <v>384</v>
      </c>
      <c r="J137" s="100">
        <v>240</v>
      </c>
      <c r="K137" s="99">
        <v>0.76160000000000005</v>
      </c>
      <c r="L137" s="99">
        <f>(J137*$N$1)+$O$1</f>
        <v>0.47194634207357355</v>
      </c>
    </row>
    <row r="138" spans="1:12">
      <c r="A138" s="100" t="s">
        <v>268</v>
      </c>
      <c r="B138" s="100" t="s">
        <v>255</v>
      </c>
      <c r="C138" s="100" t="s">
        <v>107</v>
      </c>
      <c r="D138" s="100">
        <v>1</v>
      </c>
      <c r="E138" s="100">
        <v>2700</v>
      </c>
      <c r="F138" s="99">
        <v>0.51229999999999998</v>
      </c>
      <c r="G138" s="101">
        <f>E138*12*F138</f>
        <v>16598.52</v>
      </c>
      <c r="H138" s="100">
        <v>202</v>
      </c>
      <c r="I138" s="100">
        <v>629</v>
      </c>
      <c r="J138" s="100">
        <v>389</v>
      </c>
      <c r="K138" s="99">
        <v>0.51229999999999998</v>
      </c>
      <c r="L138" s="99">
        <f>(J138*$N$1)+$O$1</f>
        <v>0.44928047475346339</v>
      </c>
    </row>
    <row r="139" spans="1:12">
      <c r="A139" s="100" t="s">
        <v>269</v>
      </c>
      <c r="B139" s="100" t="s">
        <v>265</v>
      </c>
      <c r="C139" s="100" t="s">
        <v>107</v>
      </c>
      <c r="D139" s="100">
        <v>2</v>
      </c>
      <c r="E139" s="100">
        <v>1600</v>
      </c>
      <c r="F139" s="99">
        <v>0.60819999999999996</v>
      </c>
      <c r="G139" s="101">
        <f>E139*12*F139</f>
        <v>11677.439999999999</v>
      </c>
      <c r="H139" s="100">
        <v>220</v>
      </c>
      <c r="I139" s="100">
        <v>418</v>
      </c>
      <c r="J139" s="100">
        <v>312</v>
      </c>
      <c r="K139" s="99">
        <v>0.60819999999999996</v>
      </c>
      <c r="L139" s="99">
        <f>(J139*$N$1)+$O$1</f>
        <v>0.46099370820076863</v>
      </c>
    </row>
    <row r="140" spans="1:12">
      <c r="A140" s="100" t="s">
        <v>270</v>
      </c>
      <c r="B140" s="100" t="s">
        <v>271</v>
      </c>
      <c r="C140" s="100" t="s">
        <v>98</v>
      </c>
      <c r="D140" s="100">
        <v>1</v>
      </c>
      <c r="E140" s="100">
        <v>1105</v>
      </c>
      <c r="F140" s="99">
        <v>0.61099999999999999</v>
      </c>
      <c r="G140" s="101">
        <f>E140*12*F140</f>
        <v>8101.86</v>
      </c>
      <c r="H140" s="100">
        <v>82</v>
      </c>
      <c r="I140" s="100">
        <v>235</v>
      </c>
      <c r="J140" s="100">
        <v>111</v>
      </c>
      <c r="K140" s="99">
        <v>0.61099999999999999</v>
      </c>
      <c r="L140" s="99">
        <f>(J140*$N$1)+$O$1</f>
        <v>0.49156981109568237</v>
      </c>
    </row>
    <row r="141" spans="1:12">
      <c r="A141" s="100" t="s">
        <v>272</v>
      </c>
      <c r="B141" s="100" t="s">
        <v>271</v>
      </c>
      <c r="C141" s="100" t="s">
        <v>98</v>
      </c>
      <c r="D141" s="100">
        <v>2</v>
      </c>
      <c r="E141" s="100">
        <v>1665</v>
      </c>
      <c r="F141" s="99">
        <v>0.30680000000000002</v>
      </c>
      <c r="G141" s="101">
        <f>E141*12*F141</f>
        <v>6129.8640000000005</v>
      </c>
      <c r="H141" s="100">
        <v>130</v>
      </c>
      <c r="I141" s="100">
        <v>200</v>
      </c>
      <c r="J141" s="100">
        <v>169</v>
      </c>
      <c r="K141" s="99">
        <v>0.30680000000000002</v>
      </c>
      <c r="L141" s="99">
        <f>(J141*$N$1)+$O$1</f>
        <v>0.48274685603147838</v>
      </c>
    </row>
    <row r="142" spans="1:12">
      <c r="A142" s="100" t="s">
        <v>273</v>
      </c>
      <c r="B142" s="100" t="s">
        <v>271</v>
      </c>
      <c r="C142" s="100" t="s">
        <v>107</v>
      </c>
      <c r="D142" s="100">
        <v>1</v>
      </c>
      <c r="E142" s="100">
        <v>1175</v>
      </c>
      <c r="F142" s="99">
        <v>0.52329999999999999</v>
      </c>
      <c r="G142" s="101">
        <f>E142*12*F142</f>
        <v>7378.53</v>
      </c>
      <c r="H142" s="100">
        <v>106</v>
      </c>
      <c r="I142" s="100">
        <v>267</v>
      </c>
      <c r="J142" s="100">
        <v>201</v>
      </c>
      <c r="K142" s="99">
        <v>0.52329999999999999</v>
      </c>
      <c r="L142" s="99">
        <f>(J142*$N$1)+$O$1</f>
        <v>0.4778790187546762</v>
      </c>
    </row>
    <row r="143" spans="1:12">
      <c r="A143" s="100" t="s">
        <v>274</v>
      </c>
      <c r="B143" s="100" t="s">
        <v>271</v>
      </c>
      <c r="C143" s="100" t="s">
        <v>107</v>
      </c>
      <c r="D143" s="100">
        <v>2</v>
      </c>
      <c r="E143" s="100">
        <v>1725</v>
      </c>
      <c r="F143" s="99">
        <v>0.48220000000000002</v>
      </c>
      <c r="G143" s="101">
        <f>E143*12*F143</f>
        <v>9981.5400000000009</v>
      </c>
      <c r="H143" s="100">
        <v>195</v>
      </c>
      <c r="I143" s="100">
        <v>305</v>
      </c>
      <c r="J143" s="100">
        <v>242</v>
      </c>
      <c r="K143" s="99">
        <v>0.48220000000000002</v>
      </c>
      <c r="L143" s="99">
        <f>(J143*$N$1)+$O$1</f>
        <v>0.4716421022437734</v>
      </c>
    </row>
    <row r="144" spans="1:12">
      <c r="A144" s="100" t="s">
        <v>275</v>
      </c>
      <c r="B144" s="100" t="s">
        <v>276</v>
      </c>
      <c r="C144" s="100" t="s">
        <v>98</v>
      </c>
      <c r="D144" s="100">
        <v>1</v>
      </c>
      <c r="E144" s="100">
        <v>709</v>
      </c>
      <c r="F144" s="99">
        <v>0.22189999999999999</v>
      </c>
      <c r="G144" s="101">
        <f>E144*12*F144</f>
        <v>1887.9251999999999</v>
      </c>
      <c r="H144" s="100">
        <v>86</v>
      </c>
      <c r="I144" s="100">
        <v>192</v>
      </c>
      <c r="J144" s="100">
        <v>158</v>
      </c>
      <c r="K144" s="99">
        <v>0.22189999999999999</v>
      </c>
      <c r="L144" s="99">
        <f>(J144*$N$1)+$O$1</f>
        <v>0.48442017509537916</v>
      </c>
    </row>
    <row r="145" spans="1:12">
      <c r="A145" s="100" t="s">
        <v>277</v>
      </c>
      <c r="B145" s="100" t="s">
        <v>276</v>
      </c>
      <c r="C145" s="100" t="s">
        <v>98</v>
      </c>
      <c r="D145" s="100">
        <v>2</v>
      </c>
      <c r="E145" s="100">
        <v>869</v>
      </c>
      <c r="F145" s="99">
        <v>0.38900000000000001</v>
      </c>
      <c r="G145" s="101">
        <f>E145*12*F145</f>
        <v>4056.4920000000002</v>
      </c>
      <c r="H145" s="100">
        <v>135</v>
      </c>
      <c r="I145" s="100">
        <v>305</v>
      </c>
      <c r="J145" s="100">
        <v>246</v>
      </c>
      <c r="K145" s="99">
        <v>0.38900000000000001</v>
      </c>
      <c r="L145" s="99">
        <f>(J145*$N$1)+$O$1</f>
        <v>0.47103362258417314</v>
      </c>
    </row>
    <row r="146" spans="1:12">
      <c r="A146" s="100" t="s">
        <v>278</v>
      </c>
      <c r="B146" s="100" t="s">
        <v>276</v>
      </c>
      <c r="C146" s="100" t="s">
        <v>107</v>
      </c>
      <c r="D146" s="100">
        <v>1</v>
      </c>
      <c r="E146" s="100">
        <v>925</v>
      </c>
      <c r="F146" s="99">
        <v>0.41639999999999999</v>
      </c>
      <c r="G146" s="101">
        <f>E146*12*F146</f>
        <v>4622.04</v>
      </c>
      <c r="H146" s="100">
        <v>125</v>
      </c>
      <c r="I146" s="100">
        <v>288</v>
      </c>
      <c r="J146" s="100">
        <v>207</v>
      </c>
      <c r="K146" s="99">
        <v>0.41639999999999999</v>
      </c>
      <c r="L146" s="99">
        <f>(J146*$N$1)+$O$1</f>
        <v>0.47696629926527578</v>
      </c>
    </row>
    <row r="147" spans="1:12">
      <c r="A147" s="100" t="s">
        <v>279</v>
      </c>
      <c r="B147" s="100" t="s">
        <v>276</v>
      </c>
      <c r="C147" s="100" t="s">
        <v>107</v>
      </c>
      <c r="D147" s="100">
        <v>2</v>
      </c>
      <c r="E147" s="100">
        <v>1350</v>
      </c>
      <c r="F147" s="99">
        <v>0.4849</v>
      </c>
      <c r="G147" s="101">
        <f>E147*12*F147</f>
        <v>7855.38</v>
      </c>
      <c r="H147" s="100">
        <v>119</v>
      </c>
      <c r="I147" s="100">
        <v>360</v>
      </c>
      <c r="J147" s="100">
        <v>224</v>
      </c>
      <c r="K147" s="99">
        <v>0.4849</v>
      </c>
      <c r="L147" s="99">
        <f>(J147*$N$1)+$O$1</f>
        <v>0.47438026071197464</v>
      </c>
    </row>
    <row r="148" spans="1:12">
      <c r="A148" s="100" t="s">
        <v>280</v>
      </c>
      <c r="B148" s="100" t="s">
        <v>281</v>
      </c>
      <c r="C148" s="100" t="s">
        <v>98</v>
      </c>
      <c r="D148" s="100">
        <v>1</v>
      </c>
      <c r="E148" s="100">
        <v>900</v>
      </c>
      <c r="F148" s="99">
        <v>0.55069999999999997</v>
      </c>
      <c r="G148" s="101">
        <f>E148*12*F148</f>
        <v>5947.5599999999995</v>
      </c>
      <c r="H148" s="100">
        <v>89</v>
      </c>
      <c r="I148" s="100">
        <v>177</v>
      </c>
      <c r="J148" s="100">
        <v>139</v>
      </c>
      <c r="K148" s="99">
        <v>0.55069999999999997</v>
      </c>
      <c r="L148" s="99">
        <f>(J148*$N$1)+$O$1</f>
        <v>0.48731045347848045</v>
      </c>
    </row>
    <row r="149" spans="1:12">
      <c r="A149" s="100" t="s">
        <v>282</v>
      </c>
      <c r="B149" s="100" t="s">
        <v>255</v>
      </c>
      <c r="C149" s="100" t="s">
        <v>107</v>
      </c>
      <c r="D149" s="100">
        <v>2</v>
      </c>
      <c r="E149" s="100">
        <v>3200</v>
      </c>
      <c r="F149" s="99">
        <v>0.81640000000000001</v>
      </c>
      <c r="G149" s="101">
        <f>E149*12*F149</f>
        <v>31349.760000000002</v>
      </c>
      <c r="H149" s="100">
        <v>195</v>
      </c>
      <c r="I149" s="100">
        <v>844</v>
      </c>
      <c r="J149" s="100">
        <v>325</v>
      </c>
      <c r="K149" s="99">
        <v>0.81640000000000001</v>
      </c>
      <c r="L149" s="99">
        <f>(J149*$N$1)+$O$1</f>
        <v>0.45901614930706774</v>
      </c>
    </row>
    <row r="150" spans="1:12">
      <c r="A150" s="100" t="s">
        <v>283</v>
      </c>
      <c r="B150" s="100" t="s">
        <v>281</v>
      </c>
      <c r="C150" s="100" t="s">
        <v>98</v>
      </c>
      <c r="D150" s="100">
        <v>2</v>
      </c>
      <c r="E150" s="100">
        <v>1325</v>
      </c>
      <c r="F150" s="99">
        <v>0.29320000000000002</v>
      </c>
      <c r="G150" s="101">
        <f>E150*12*F150</f>
        <v>4661.88</v>
      </c>
      <c r="H150" s="100">
        <v>161</v>
      </c>
      <c r="I150" s="100">
        <v>319</v>
      </c>
      <c r="J150" s="100">
        <v>283</v>
      </c>
      <c r="K150" s="99">
        <v>0.29320000000000002</v>
      </c>
      <c r="L150" s="99">
        <f>(J150*$N$1)+$O$1</f>
        <v>0.4654051857328706</v>
      </c>
    </row>
    <row r="151" spans="1:12">
      <c r="A151" s="100" t="s">
        <v>284</v>
      </c>
      <c r="B151" s="100" t="s">
        <v>281</v>
      </c>
      <c r="C151" s="100" t="s">
        <v>107</v>
      </c>
      <c r="D151" s="100">
        <v>1</v>
      </c>
      <c r="E151" s="100">
        <v>975</v>
      </c>
      <c r="F151" s="99">
        <v>0.50139999999999996</v>
      </c>
      <c r="G151" s="101">
        <f>E151*12*F151</f>
        <v>5866.3799999999992</v>
      </c>
      <c r="H151" s="100">
        <v>145</v>
      </c>
      <c r="I151" s="100">
        <v>300</v>
      </c>
      <c r="J151" s="100">
        <v>192</v>
      </c>
      <c r="K151" s="99">
        <v>0.50139999999999996</v>
      </c>
      <c r="L151" s="99">
        <f>(J151*$N$1)+$O$1</f>
        <v>0.47924809798877682</v>
      </c>
    </row>
    <row r="152" spans="1:12">
      <c r="A152" s="100" t="s">
        <v>285</v>
      </c>
      <c r="B152" s="100" t="s">
        <v>281</v>
      </c>
      <c r="C152" s="100" t="s">
        <v>107</v>
      </c>
      <c r="D152" s="100">
        <v>2</v>
      </c>
      <c r="E152" s="100">
        <v>1550</v>
      </c>
      <c r="F152" s="99">
        <v>0.3014</v>
      </c>
      <c r="G152" s="101">
        <f>E152*12*F152</f>
        <v>5606.04</v>
      </c>
      <c r="H152" s="100">
        <v>185</v>
      </c>
      <c r="I152" s="100">
        <v>376</v>
      </c>
      <c r="J152" s="100">
        <v>307</v>
      </c>
      <c r="K152" s="99">
        <v>0.3014</v>
      </c>
      <c r="L152" s="99">
        <f>(J152*$N$1)+$O$1</f>
        <v>0.46175430777526899</v>
      </c>
    </row>
    <row r="153" spans="1:12">
      <c r="A153" s="100" t="s">
        <v>286</v>
      </c>
      <c r="B153" s="100" t="s">
        <v>287</v>
      </c>
      <c r="C153" s="100" t="s">
        <v>98</v>
      </c>
      <c r="D153" s="100">
        <v>1</v>
      </c>
      <c r="E153" s="100">
        <v>1165</v>
      </c>
      <c r="F153" s="99">
        <v>0.34250000000000003</v>
      </c>
      <c r="G153" s="101">
        <f>E153*12*F153</f>
        <v>4788.1500000000005</v>
      </c>
      <c r="H153" s="100">
        <v>135</v>
      </c>
      <c r="I153" s="100">
        <v>220</v>
      </c>
      <c r="J153" s="100">
        <v>180</v>
      </c>
      <c r="K153" s="99">
        <v>0.34250000000000003</v>
      </c>
      <c r="L153" s="99">
        <f>(J153*$N$1)+$O$1</f>
        <v>0.48107353696757765</v>
      </c>
    </row>
    <row r="154" spans="1:12">
      <c r="A154" s="100" t="s">
        <v>288</v>
      </c>
      <c r="B154" s="100" t="s">
        <v>287</v>
      </c>
      <c r="C154" s="100" t="s">
        <v>98</v>
      </c>
      <c r="D154" s="100">
        <v>2</v>
      </c>
      <c r="E154" s="100">
        <v>1625</v>
      </c>
      <c r="F154" s="99">
        <v>0.6</v>
      </c>
      <c r="G154" s="101">
        <f>E154*12*F154</f>
        <v>11700</v>
      </c>
      <c r="H154" s="100">
        <v>220</v>
      </c>
      <c r="I154" s="100">
        <v>312</v>
      </c>
      <c r="J154" s="100">
        <v>260</v>
      </c>
      <c r="K154" s="99">
        <v>0.6</v>
      </c>
      <c r="L154" s="99">
        <f>(J154*$N$1)+$O$1</f>
        <v>0.46890394377557221</v>
      </c>
    </row>
    <row r="155" spans="1:12">
      <c r="A155" s="100" t="s">
        <v>289</v>
      </c>
      <c r="B155" s="100" t="s">
        <v>287</v>
      </c>
      <c r="C155" s="100" t="s">
        <v>107</v>
      </c>
      <c r="D155" s="100">
        <v>1</v>
      </c>
      <c r="E155" s="100">
        <v>1400</v>
      </c>
      <c r="F155" s="99">
        <v>0.49859999999999999</v>
      </c>
      <c r="G155" s="101">
        <f>E155*12*F155</f>
        <v>8376.48</v>
      </c>
      <c r="H155" s="100">
        <v>135</v>
      </c>
      <c r="I155" s="100">
        <v>287</v>
      </c>
      <c r="J155" s="100">
        <v>232</v>
      </c>
      <c r="K155" s="99">
        <v>0.49859999999999999</v>
      </c>
      <c r="L155" s="99">
        <f>(J155*$N$1)+$O$1</f>
        <v>0.47316330139277407</v>
      </c>
    </row>
    <row r="156" spans="1:12">
      <c r="A156" s="100" t="s">
        <v>290</v>
      </c>
      <c r="B156" s="100" t="s">
        <v>287</v>
      </c>
      <c r="C156" s="100" t="s">
        <v>107</v>
      </c>
      <c r="D156" s="100">
        <v>2</v>
      </c>
      <c r="E156" s="100">
        <v>1995</v>
      </c>
      <c r="F156" s="99">
        <v>0.63839999999999997</v>
      </c>
      <c r="G156" s="101">
        <f>E156*12*F156</f>
        <v>15283.295999999998</v>
      </c>
      <c r="H156" s="100">
        <v>224</v>
      </c>
      <c r="I156" s="100">
        <v>331</v>
      </c>
      <c r="J156" s="100">
        <v>292</v>
      </c>
      <c r="K156" s="99">
        <v>0.63839999999999997</v>
      </c>
      <c r="L156" s="99">
        <f>(J156*$N$1)+$O$1</f>
        <v>0.46403610649877003</v>
      </c>
    </row>
    <row r="157" spans="1:12">
      <c r="A157" s="100" t="s">
        <v>291</v>
      </c>
      <c r="B157" s="100" t="s">
        <v>292</v>
      </c>
      <c r="C157" s="100" t="s">
        <v>98</v>
      </c>
      <c r="D157" s="100">
        <v>1</v>
      </c>
      <c r="E157" s="100">
        <v>760</v>
      </c>
      <c r="F157" s="99">
        <v>0.29039999999999999</v>
      </c>
      <c r="G157" s="101">
        <f>E157*12*F157</f>
        <v>2648.4479999999999</v>
      </c>
      <c r="H157" s="100">
        <v>100</v>
      </c>
      <c r="I157" s="100">
        <v>195</v>
      </c>
      <c r="J157" s="100">
        <v>169</v>
      </c>
      <c r="K157" s="99">
        <v>0.29039999999999999</v>
      </c>
      <c r="L157" s="99">
        <f>(J157*$N$1)+$O$1</f>
        <v>0.48274685603147838</v>
      </c>
    </row>
    <row r="158" spans="1:12">
      <c r="A158" s="100" t="s">
        <v>293</v>
      </c>
      <c r="B158" s="100" t="s">
        <v>292</v>
      </c>
      <c r="C158" s="100" t="s">
        <v>98</v>
      </c>
      <c r="D158" s="100">
        <v>2</v>
      </c>
      <c r="E158" s="100">
        <v>965</v>
      </c>
      <c r="F158" s="99">
        <v>0.53969999999999996</v>
      </c>
      <c r="G158" s="101">
        <f>E158*12*F158</f>
        <v>6249.7259999999997</v>
      </c>
      <c r="H158" s="100">
        <v>135</v>
      </c>
      <c r="I158" s="100">
        <v>284</v>
      </c>
      <c r="J158" s="100">
        <v>189</v>
      </c>
      <c r="K158" s="99">
        <v>0.53969999999999996</v>
      </c>
      <c r="L158" s="99">
        <f>(J158*$N$1)+$O$1</f>
        <v>0.47970445773347703</v>
      </c>
    </row>
    <row r="159" spans="1:12">
      <c r="A159" s="100" t="s">
        <v>294</v>
      </c>
      <c r="B159" s="100" t="s">
        <v>292</v>
      </c>
      <c r="C159" s="100" t="s">
        <v>107</v>
      </c>
      <c r="D159" s="100">
        <v>1</v>
      </c>
      <c r="E159" s="100">
        <v>1185</v>
      </c>
      <c r="F159" s="99">
        <v>0.27950000000000003</v>
      </c>
      <c r="G159" s="101">
        <f>E159*12*F159</f>
        <v>3974.4900000000002</v>
      </c>
      <c r="H159" s="100">
        <v>157</v>
      </c>
      <c r="I159" s="100">
        <v>320</v>
      </c>
      <c r="J159" s="100">
        <v>289</v>
      </c>
      <c r="K159" s="99">
        <v>0.27950000000000003</v>
      </c>
      <c r="L159" s="99">
        <f>(J159*$N$1)+$O$1</f>
        <v>0.46449246624347018</v>
      </c>
    </row>
    <row r="160" spans="1:12">
      <c r="A160" s="100" t="s">
        <v>295</v>
      </c>
      <c r="B160" s="100" t="s">
        <v>255</v>
      </c>
      <c r="C160" s="100" t="s">
        <v>98</v>
      </c>
      <c r="D160" s="100">
        <v>1</v>
      </c>
      <c r="E160" s="100">
        <v>1700</v>
      </c>
      <c r="F160" s="99">
        <v>0.67669999999999997</v>
      </c>
      <c r="G160" s="101">
        <f>E160*12*F160</f>
        <v>13804.679999999998</v>
      </c>
      <c r="H160" s="100">
        <v>98</v>
      </c>
      <c r="I160" s="100">
        <v>430</v>
      </c>
      <c r="J160" s="100">
        <v>239</v>
      </c>
      <c r="K160" s="99">
        <v>0.67669999999999997</v>
      </c>
      <c r="L160" s="99">
        <f>(J160*$N$1)+$O$1</f>
        <v>0.47209846198847361</v>
      </c>
    </row>
    <row r="161" spans="1:12">
      <c r="A161" s="100" t="s">
        <v>296</v>
      </c>
      <c r="B161" s="100" t="s">
        <v>292</v>
      </c>
      <c r="C161" s="100" t="s">
        <v>107</v>
      </c>
      <c r="D161" s="100">
        <v>2</v>
      </c>
      <c r="E161" s="100">
        <v>1340</v>
      </c>
      <c r="F161" s="99">
        <v>0.38900000000000001</v>
      </c>
      <c r="G161" s="101">
        <f>E161*12*F161</f>
        <v>6255.12</v>
      </c>
      <c r="H161" s="100">
        <v>135</v>
      </c>
      <c r="I161" s="100">
        <v>347</v>
      </c>
      <c r="J161" s="100">
        <v>278</v>
      </c>
      <c r="K161" s="99">
        <v>0.38900000000000001</v>
      </c>
      <c r="L161" s="99">
        <f>(J161*$N$1)+$O$1</f>
        <v>0.46616578530737096</v>
      </c>
    </row>
    <row r="162" spans="1:12">
      <c r="A162" s="100" t="s">
        <v>297</v>
      </c>
      <c r="B162" s="100" t="s">
        <v>298</v>
      </c>
      <c r="C162" s="100" t="s">
        <v>98</v>
      </c>
      <c r="D162" s="100">
        <v>1</v>
      </c>
      <c r="E162" s="100">
        <v>1150</v>
      </c>
      <c r="F162" s="99">
        <v>0.57530000000000003</v>
      </c>
      <c r="G162" s="101">
        <f>E162*12*F162</f>
        <v>7939.14</v>
      </c>
      <c r="H162" s="100">
        <v>80</v>
      </c>
      <c r="I162" s="100">
        <v>267</v>
      </c>
      <c r="J162" s="100">
        <v>183</v>
      </c>
      <c r="K162" s="99">
        <v>0.57530000000000003</v>
      </c>
      <c r="L162" s="99">
        <f>(J162*$N$1)+$O$1</f>
        <v>0.48061717722287745</v>
      </c>
    </row>
    <row r="163" spans="1:12">
      <c r="A163" s="100" t="s">
        <v>299</v>
      </c>
      <c r="B163" s="100" t="s">
        <v>298</v>
      </c>
      <c r="C163" s="100" t="s">
        <v>98</v>
      </c>
      <c r="D163" s="100">
        <v>2</v>
      </c>
      <c r="E163" s="100">
        <v>2000</v>
      </c>
      <c r="F163" s="99">
        <v>0.31230000000000002</v>
      </c>
      <c r="G163" s="101">
        <f>E163*12*F163</f>
        <v>7495.2000000000007</v>
      </c>
      <c r="H163" s="100">
        <v>160</v>
      </c>
      <c r="I163" s="100">
        <v>323</v>
      </c>
      <c r="J163" s="100">
        <v>237</v>
      </c>
      <c r="K163" s="99">
        <v>0.31230000000000002</v>
      </c>
      <c r="L163" s="99">
        <f>(J163*$N$1)+$O$1</f>
        <v>0.47240270181827376</v>
      </c>
    </row>
    <row r="164" spans="1:12">
      <c r="A164" s="100" t="s">
        <v>300</v>
      </c>
      <c r="B164" s="100" t="s">
        <v>298</v>
      </c>
      <c r="C164" s="100" t="s">
        <v>107</v>
      </c>
      <c r="D164" s="100">
        <v>1</v>
      </c>
      <c r="E164" s="100">
        <v>1600</v>
      </c>
      <c r="F164" s="99">
        <v>0.4521</v>
      </c>
      <c r="G164" s="101">
        <f>E164*12*F164</f>
        <v>8680.32</v>
      </c>
      <c r="H164" s="100">
        <v>225</v>
      </c>
      <c r="I164" s="100">
        <v>406</v>
      </c>
      <c r="J164" s="100">
        <v>297</v>
      </c>
      <c r="K164" s="99">
        <v>0.4521</v>
      </c>
      <c r="L164" s="99">
        <f>(J164*$N$1)+$O$1</f>
        <v>0.46327550692426966</v>
      </c>
    </row>
    <row r="165" spans="1:12">
      <c r="A165" s="100" t="s">
        <v>301</v>
      </c>
      <c r="B165" s="100" t="s">
        <v>298</v>
      </c>
      <c r="C165" s="100" t="s">
        <v>107</v>
      </c>
      <c r="D165" s="100">
        <v>2</v>
      </c>
      <c r="E165" s="100">
        <v>2150</v>
      </c>
      <c r="F165" s="99">
        <v>0.53149999999999997</v>
      </c>
      <c r="G165" s="101">
        <f>E165*12*F165</f>
        <v>13712.699999999999</v>
      </c>
      <c r="H165" s="100">
        <v>170</v>
      </c>
      <c r="I165" s="100">
        <v>447</v>
      </c>
      <c r="J165" s="100">
        <v>360</v>
      </c>
      <c r="K165" s="99">
        <v>0.53149999999999997</v>
      </c>
      <c r="L165" s="99">
        <f>(J165*$N$1)+$O$1</f>
        <v>0.45369195228556536</v>
      </c>
    </row>
    <row r="166" spans="1:12">
      <c r="A166" s="100" t="s">
        <v>302</v>
      </c>
      <c r="B166" s="100" t="s">
        <v>303</v>
      </c>
      <c r="C166" s="100" t="s">
        <v>98</v>
      </c>
      <c r="D166" s="100">
        <v>1</v>
      </c>
      <c r="E166" s="100">
        <v>1600</v>
      </c>
      <c r="F166" s="99">
        <v>0.53969999999999996</v>
      </c>
      <c r="G166" s="101">
        <f>E166*12*F166</f>
        <v>10362.24</v>
      </c>
      <c r="H166" s="100">
        <v>94</v>
      </c>
      <c r="I166" s="100">
        <v>411</v>
      </c>
      <c r="J166" s="100">
        <v>209</v>
      </c>
      <c r="K166" s="99">
        <v>0.53969999999999996</v>
      </c>
      <c r="L166" s="99">
        <f>(J166*$N$1)+$O$1</f>
        <v>0.47666205943547568</v>
      </c>
    </row>
    <row r="167" spans="1:12">
      <c r="A167" s="100" t="s">
        <v>304</v>
      </c>
      <c r="B167" s="100" t="s">
        <v>303</v>
      </c>
      <c r="C167" s="100" t="s">
        <v>98</v>
      </c>
      <c r="D167" s="100">
        <v>2</v>
      </c>
      <c r="E167" s="100">
        <v>2100</v>
      </c>
      <c r="F167" s="99">
        <v>0.4027</v>
      </c>
      <c r="G167" s="101">
        <f>E167*12*F167</f>
        <v>10148.040000000001</v>
      </c>
      <c r="H167" s="100">
        <v>130</v>
      </c>
      <c r="I167" s="100">
        <v>438</v>
      </c>
      <c r="J167" s="100">
        <v>265</v>
      </c>
      <c r="K167" s="99">
        <v>0.4027</v>
      </c>
      <c r="L167" s="99">
        <f>(J167*$N$1)+$O$1</f>
        <v>0.46814334420107184</v>
      </c>
    </row>
    <row r="168" spans="1:12">
      <c r="A168" s="100" t="s">
        <v>305</v>
      </c>
      <c r="B168" s="100" t="s">
        <v>303</v>
      </c>
      <c r="C168" s="100" t="s">
        <v>107</v>
      </c>
      <c r="D168" s="100">
        <v>1</v>
      </c>
      <c r="E168" s="100">
        <v>1200</v>
      </c>
      <c r="F168" s="99">
        <v>0.4</v>
      </c>
      <c r="G168" s="101">
        <f>E168*12*F168</f>
        <v>5760</v>
      </c>
      <c r="H168" s="100">
        <v>162</v>
      </c>
      <c r="I168" s="100">
        <v>504</v>
      </c>
      <c r="J168" s="100">
        <v>435</v>
      </c>
      <c r="K168" s="99">
        <v>0.4</v>
      </c>
      <c r="L168" s="99">
        <f>(J168*$N$1)+$O$1</f>
        <v>0.44228295866806022</v>
      </c>
    </row>
    <row r="169" spans="1:12">
      <c r="A169" s="100" t="s">
        <v>306</v>
      </c>
      <c r="B169" s="100" t="s">
        <v>303</v>
      </c>
      <c r="C169" s="100" t="s">
        <v>107</v>
      </c>
      <c r="D169" s="100">
        <v>2</v>
      </c>
      <c r="E169" s="100">
        <v>2100</v>
      </c>
      <c r="F169" s="99">
        <v>0.43009999999999998</v>
      </c>
      <c r="G169" s="101">
        <f>E169*12*F169</f>
        <v>10838.52</v>
      </c>
      <c r="H169" s="100">
        <v>175</v>
      </c>
      <c r="I169" s="100">
        <v>755</v>
      </c>
      <c r="J169" s="100">
        <v>487</v>
      </c>
      <c r="K169" s="99">
        <v>0.43009999999999998</v>
      </c>
      <c r="L169" s="99">
        <f>(J169*$N$1)+$O$1</f>
        <v>0.4343727230932567</v>
      </c>
    </row>
    <row r="170" spans="1:12">
      <c r="A170" s="100" t="s">
        <v>307</v>
      </c>
      <c r="B170" s="100" t="s">
        <v>308</v>
      </c>
      <c r="C170" s="100" t="s">
        <v>98</v>
      </c>
      <c r="D170" s="100">
        <v>2</v>
      </c>
      <c r="E170" s="100">
        <v>2500</v>
      </c>
      <c r="F170" s="99">
        <v>0.4027</v>
      </c>
      <c r="G170" s="101">
        <f>E170*12*F170</f>
        <v>12081</v>
      </c>
      <c r="H170" s="100">
        <v>129</v>
      </c>
      <c r="I170" s="100">
        <v>431</v>
      </c>
      <c r="J170" s="100">
        <v>231</v>
      </c>
      <c r="K170" s="99">
        <v>0.4027</v>
      </c>
      <c r="L170" s="99">
        <f>(J170*$N$1)+$O$1</f>
        <v>0.47331542130767418</v>
      </c>
    </row>
    <row r="171" spans="1:12">
      <c r="A171" s="100" t="s">
        <v>309</v>
      </c>
      <c r="B171" s="100" t="s">
        <v>97</v>
      </c>
      <c r="C171" s="100" t="s">
        <v>107</v>
      </c>
      <c r="D171" s="100">
        <v>2</v>
      </c>
      <c r="E171" s="100">
        <v>2000</v>
      </c>
      <c r="F171" s="99">
        <v>0.31230000000000002</v>
      </c>
      <c r="G171" s="101">
        <f>E171*12*F171</f>
        <v>7495.2000000000007</v>
      </c>
      <c r="H171" s="100">
        <v>97</v>
      </c>
      <c r="I171" s="100">
        <v>240</v>
      </c>
      <c r="J171" s="100">
        <v>199</v>
      </c>
      <c r="K171" s="99">
        <v>0.31230000000000002</v>
      </c>
      <c r="L171" s="99">
        <f>(J171*$N$1)+$O$1</f>
        <v>0.47818325858447636</v>
      </c>
    </row>
    <row r="172" spans="1:12">
      <c r="A172" s="100" t="s">
        <v>310</v>
      </c>
      <c r="B172" s="100" t="s">
        <v>308</v>
      </c>
      <c r="C172" s="100" t="s">
        <v>107</v>
      </c>
      <c r="D172" s="100">
        <v>1</v>
      </c>
      <c r="E172" s="100">
        <v>2500</v>
      </c>
      <c r="F172" s="99">
        <v>0.2301</v>
      </c>
      <c r="G172" s="101">
        <f>E172*12*F172</f>
        <v>6903</v>
      </c>
      <c r="H172" s="100">
        <v>186</v>
      </c>
      <c r="I172" s="100">
        <v>578</v>
      </c>
      <c r="J172" s="100">
        <v>490</v>
      </c>
      <c r="K172" s="99">
        <v>0.2301</v>
      </c>
      <c r="L172" s="99">
        <f>(J172*$N$1)+$O$1</f>
        <v>0.43391636334855649</v>
      </c>
    </row>
    <row r="173" spans="1:12">
      <c r="A173" s="100" t="s">
        <v>311</v>
      </c>
      <c r="B173" s="100" t="s">
        <v>308</v>
      </c>
      <c r="C173" s="100" t="s">
        <v>107</v>
      </c>
      <c r="D173" s="100">
        <v>2</v>
      </c>
      <c r="E173" s="100">
        <v>2750</v>
      </c>
      <c r="F173" s="99">
        <v>0.6</v>
      </c>
      <c r="G173" s="101">
        <f>E173*12*F173</f>
        <v>19800</v>
      </c>
      <c r="H173" s="100">
        <v>188</v>
      </c>
      <c r="I173" s="100">
        <v>810</v>
      </c>
      <c r="J173" s="100">
        <v>538</v>
      </c>
      <c r="K173" s="99">
        <v>0.6</v>
      </c>
      <c r="L173" s="99">
        <f>(J173*$N$1)+$O$1</f>
        <v>0.42661460743335322</v>
      </c>
    </row>
    <row r="174" spans="1:12">
      <c r="A174" s="100" t="s">
        <v>312</v>
      </c>
      <c r="B174" s="100" t="s">
        <v>308</v>
      </c>
      <c r="C174" s="100" t="s">
        <v>98</v>
      </c>
      <c r="D174" s="100">
        <v>1</v>
      </c>
      <c r="E174" s="100">
        <v>1800</v>
      </c>
      <c r="F174" s="99">
        <v>0.2329</v>
      </c>
      <c r="G174" s="101">
        <f>E174*12*F174</f>
        <v>5030.6400000000003</v>
      </c>
      <c r="H174" s="100">
        <v>89</v>
      </c>
      <c r="I174" s="100">
        <v>390</v>
      </c>
      <c r="J174" s="100">
        <v>288</v>
      </c>
      <c r="K174" s="99">
        <v>0.2329</v>
      </c>
      <c r="L174" s="99">
        <f>(J174*$N$1)+$O$1</f>
        <v>0.46464458615837029</v>
      </c>
    </row>
    <row r="175" spans="1:12">
      <c r="A175" s="100" t="s">
        <v>313</v>
      </c>
      <c r="B175" s="100" t="s">
        <v>314</v>
      </c>
      <c r="C175" s="100" t="s">
        <v>98</v>
      </c>
      <c r="D175" s="100">
        <v>2</v>
      </c>
      <c r="E175" s="100">
        <v>3000</v>
      </c>
      <c r="F175" s="99">
        <v>0.40820000000000001</v>
      </c>
      <c r="G175" s="101">
        <f>E175*12*F175</f>
        <v>14695.2</v>
      </c>
      <c r="H175" s="100">
        <v>193</v>
      </c>
      <c r="I175" s="100">
        <v>648</v>
      </c>
      <c r="J175" s="100">
        <v>415</v>
      </c>
      <c r="K175" s="99">
        <v>0.40820000000000001</v>
      </c>
      <c r="L175" s="99">
        <f>(J175*$N$1)+$O$1</f>
        <v>0.44532535696606157</v>
      </c>
    </row>
    <row r="176" spans="1:12">
      <c r="A176" s="100" t="s">
        <v>315</v>
      </c>
      <c r="B176" s="100" t="s">
        <v>314</v>
      </c>
      <c r="C176" s="100" t="s">
        <v>107</v>
      </c>
      <c r="D176" s="100">
        <v>1</v>
      </c>
      <c r="E176" s="100">
        <v>2000</v>
      </c>
      <c r="F176" s="99">
        <v>0.32600000000000001</v>
      </c>
      <c r="G176" s="101">
        <f>E176*12*F176</f>
        <v>7824</v>
      </c>
      <c r="H176" s="100">
        <v>193</v>
      </c>
      <c r="I176" s="100">
        <v>600</v>
      </c>
      <c r="J176" s="100">
        <v>387</v>
      </c>
      <c r="K176" s="99">
        <v>0.32600000000000001</v>
      </c>
      <c r="L176" s="99">
        <f>(J176*$N$1)+$O$1</f>
        <v>0.44958471458326349</v>
      </c>
    </row>
    <row r="177" spans="1:12">
      <c r="A177" s="100" t="s">
        <v>316</v>
      </c>
      <c r="B177" s="100" t="s">
        <v>314</v>
      </c>
      <c r="C177" s="100" t="s">
        <v>107</v>
      </c>
      <c r="D177" s="100">
        <v>2</v>
      </c>
      <c r="E177" s="100">
        <v>2950</v>
      </c>
      <c r="F177" s="99">
        <v>0.38900000000000001</v>
      </c>
      <c r="G177" s="101">
        <f>E177*12*F177</f>
        <v>13770.6</v>
      </c>
      <c r="H177" s="100">
        <v>192</v>
      </c>
      <c r="I177" s="100">
        <v>829</v>
      </c>
      <c r="J177" s="100">
        <v>575</v>
      </c>
      <c r="K177" s="99">
        <v>0.38900000000000001</v>
      </c>
      <c r="L177" s="99">
        <f>(J177*$N$1)+$O$1</f>
        <v>0.42098617058205068</v>
      </c>
    </row>
    <row r="178" spans="1:12">
      <c r="A178" s="100" t="s">
        <v>317</v>
      </c>
      <c r="B178" s="100" t="s">
        <v>314</v>
      </c>
      <c r="C178" s="100" t="s">
        <v>98</v>
      </c>
      <c r="D178" s="100">
        <v>1</v>
      </c>
      <c r="E178" s="100">
        <v>1700</v>
      </c>
      <c r="F178" s="99">
        <v>0.52049999999999996</v>
      </c>
      <c r="G178" s="101">
        <f>E178*12*F178</f>
        <v>10618.199999999999</v>
      </c>
      <c r="H178" s="100">
        <v>98</v>
      </c>
      <c r="I178" s="100">
        <v>432</v>
      </c>
      <c r="J178" s="100">
        <v>228</v>
      </c>
      <c r="K178" s="99">
        <v>0.52049999999999996</v>
      </c>
      <c r="L178" s="99">
        <f>(J178*$N$1)+$O$1</f>
        <v>0.47377178105237439</v>
      </c>
    </row>
    <row r="179" spans="1:12">
      <c r="A179" s="100" t="s">
        <v>318</v>
      </c>
      <c r="B179" s="100" t="s">
        <v>319</v>
      </c>
      <c r="C179" s="100" t="s">
        <v>98</v>
      </c>
      <c r="D179" s="100">
        <v>1</v>
      </c>
      <c r="E179" s="100">
        <v>3000</v>
      </c>
      <c r="F179" s="99">
        <v>0.46300000000000002</v>
      </c>
      <c r="G179" s="101">
        <f>E179*12*F179</f>
        <v>16668</v>
      </c>
      <c r="H179" s="100">
        <v>87</v>
      </c>
      <c r="I179" s="100">
        <v>512</v>
      </c>
      <c r="J179" s="100">
        <v>337</v>
      </c>
      <c r="K179" s="99">
        <v>0.46300000000000002</v>
      </c>
      <c r="L179" s="99">
        <f>(J179*$N$1)+$O$1</f>
        <v>0.45719071032826691</v>
      </c>
    </row>
    <row r="180" spans="1:12">
      <c r="A180" s="100" t="s">
        <v>320</v>
      </c>
      <c r="B180" s="100" t="s">
        <v>319</v>
      </c>
      <c r="C180" s="100" t="s">
        <v>98</v>
      </c>
      <c r="D180" s="100">
        <v>2</v>
      </c>
      <c r="E180" s="100">
        <v>3200</v>
      </c>
      <c r="F180" s="99">
        <v>0.67949999999999999</v>
      </c>
      <c r="G180" s="101">
        <f>E180*12*F180</f>
        <v>26092.799999999999</v>
      </c>
      <c r="H180" s="100">
        <v>154</v>
      </c>
      <c r="I180" s="100">
        <v>480</v>
      </c>
      <c r="J180" s="100">
        <v>154</v>
      </c>
      <c r="K180" s="99">
        <v>0.67949999999999999</v>
      </c>
      <c r="L180" s="99">
        <f>(J180*$N$1)+$O$1</f>
        <v>0.48502865475497942</v>
      </c>
    </row>
    <row r="181" spans="1:12">
      <c r="A181" s="100" t="s">
        <v>321</v>
      </c>
      <c r="B181" s="100" t="s">
        <v>322</v>
      </c>
      <c r="C181" s="100" t="s">
        <v>98</v>
      </c>
      <c r="D181" s="100">
        <v>2</v>
      </c>
      <c r="E181" s="100">
        <v>4500</v>
      </c>
      <c r="F181" s="99">
        <v>0.68220000000000003</v>
      </c>
      <c r="G181" s="101">
        <f>E181*12*F181</f>
        <v>36838.800000000003</v>
      </c>
      <c r="H181" s="100">
        <v>273</v>
      </c>
      <c r="I181" s="100">
        <v>853</v>
      </c>
      <c r="J181" s="100">
        <v>432</v>
      </c>
      <c r="K181" s="99">
        <v>0.68220000000000003</v>
      </c>
      <c r="L181" s="99">
        <f>(J181*$N$1)+$O$1</f>
        <v>0.44273931841276043</v>
      </c>
    </row>
    <row r="182" spans="1:12">
      <c r="A182" s="100" t="s">
        <v>323</v>
      </c>
      <c r="B182" s="100" t="s">
        <v>97</v>
      </c>
      <c r="C182" s="100" t="s">
        <v>98</v>
      </c>
      <c r="D182" s="100">
        <v>1</v>
      </c>
      <c r="E182" s="100">
        <v>800</v>
      </c>
      <c r="F182" s="99">
        <v>0.56989999999999996</v>
      </c>
      <c r="G182" s="101">
        <f>E182*12*F182</f>
        <v>5471.04</v>
      </c>
      <c r="H182" s="100">
        <v>53</v>
      </c>
      <c r="I182" s="100">
        <v>188</v>
      </c>
      <c r="J182" s="100">
        <v>104</v>
      </c>
      <c r="K182" s="99">
        <v>0.56989999999999996</v>
      </c>
      <c r="L182" s="99">
        <f>(J182*$N$1)+$O$1</f>
        <v>0.49263465049998284</v>
      </c>
    </row>
    <row r="183" spans="1:12">
      <c r="A183" s="100" t="s">
        <v>324</v>
      </c>
      <c r="B183" s="100" t="s">
        <v>322</v>
      </c>
      <c r="C183" s="100" t="s">
        <v>107</v>
      </c>
      <c r="D183" s="100">
        <v>1</v>
      </c>
      <c r="E183" s="100">
        <v>4500</v>
      </c>
      <c r="F183" s="99">
        <v>0.86850000000000005</v>
      </c>
      <c r="G183" s="101">
        <f>E183*12*F183</f>
        <v>46899</v>
      </c>
      <c r="H183" s="100">
        <v>103</v>
      </c>
      <c r="I183" s="100">
        <v>807</v>
      </c>
      <c r="J183" s="100">
        <v>200</v>
      </c>
      <c r="K183" s="99">
        <v>0.86850000000000005</v>
      </c>
      <c r="L183" s="99">
        <f>(J183*$N$1)+$O$1</f>
        <v>0.47803113866957631</v>
      </c>
    </row>
    <row r="184" spans="1:12">
      <c r="A184" s="100" t="s">
        <v>325</v>
      </c>
      <c r="B184" s="100" t="s">
        <v>322</v>
      </c>
      <c r="C184" s="100" t="s">
        <v>107</v>
      </c>
      <c r="D184" s="100">
        <v>2</v>
      </c>
      <c r="E184" s="100">
        <v>5500</v>
      </c>
      <c r="F184" s="99">
        <v>0.52329999999999999</v>
      </c>
      <c r="G184" s="101">
        <f>E184*12*F184</f>
        <v>34537.799999999996</v>
      </c>
      <c r="H184" s="100">
        <v>200</v>
      </c>
      <c r="I184" s="100">
        <v>770</v>
      </c>
      <c r="J184" s="100">
        <v>428</v>
      </c>
      <c r="K184" s="99">
        <v>0.52329999999999999</v>
      </c>
      <c r="L184" s="99">
        <f>(J184*$N$1)+$O$1</f>
        <v>0.44334779807236069</v>
      </c>
    </row>
    <row r="185" spans="1:12">
      <c r="A185" s="100" t="s">
        <v>326</v>
      </c>
      <c r="B185" s="100" t="s">
        <v>322</v>
      </c>
      <c r="C185" s="100" t="s">
        <v>98</v>
      </c>
      <c r="D185" s="100">
        <v>1</v>
      </c>
      <c r="E185" s="100">
        <v>3500</v>
      </c>
      <c r="F185" s="99">
        <v>0.46029999999999999</v>
      </c>
      <c r="G185" s="101">
        <f>E185*12*F185</f>
        <v>19332.599999999999</v>
      </c>
      <c r="H185" s="100">
        <v>151</v>
      </c>
      <c r="I185" s="100">
        <v>890</v>
      </c>
      <c r="J185" s="100">
        <v>576</v>
      </c>
      <c r="K185" s="99">
        <v>0.46029999999999999</v>
      </c>
      <c r="L185" s="99">
        <f>(J185*$N$1)+$O$1</f>
        <v>0.42083405066715063</v>
      </c>
    </row>
    <row r="186" spans="1:12">
      <c r="A186" s="100" t="s">
        <v>327</v>
      </c>
      <c r="B186" s="100" t="s">
        <v>328</v>
      </c>
      <c r="C186" s="100" t="s">
        <v>98</v>
      </c>
      <c r="D186" s="100">
        <v>2</v>
      </c>
      <c r="E186" s="100">
        <v>4000</v>
      </c>
      <c r="F186" s="99">
        <v>0.35339999999999999</v>
      </c>
      <c r="G186" s="101">
        <f>E186*12*F186</f>
        <v>16963.2</v>
      </c>
      <c r="H186" s="100">
        <v>218</v>
      </c>
      <c r="I186" s="100">
        <v>681</v>
      </c>
      <c r="J186" s="100">
        <v>560</v>
      </c>
      <c r="K186" s="99">
        <v>0.35339999999999999</v>
      </c>
      <c r="L186" s="99">
        <f>(J186*$N$1)+$O$1</f>
        <v>0.42326796930555166</v>
      </c>
    </row>
    <row r="187" spans="1:12">
      <c r="A187" s="100" t="s">
        <v>329</v>
      </c>
      <c r="B187" s="100" t="s">
        <v>328</v>
      </c>
      <c r="C187" s="100" t="s">
        <v>98</v>
      </c>
      <c r="D187" s="100">
        <v>1</v>
      </c>
      <c r="E187" s="100">
        <v>3000</v>
      </c>
      <c r="F187" s="99">
        <v>0.49859999999999999</v>
      </c>
      <c r="G187" s="101">
        <f>E187*12*F187</f>
        <v>17949.599999999999</v>
      </c>
      <c r="H187" s="100">
        <v>109</v>
      </c>
      <c r="I187" s="100">
        <v>640</v>
      </c>
      <c r="J187" s="100">
        <v>288</v>
      </c>
      <c r="K187" s="99">
        <v>0.49859999999999999</v>
      </c>
      <c r="L187" s="99">
        <f>(J187*$N$1)+$O$1</f>
        <v>0.46464458615837029</v>
      </c>
    </row>
    <row r="188" spans="1:12">
      <c r="A188" s="100" t="s">
        <v>330</v>
      </c>
      <c r="B188" s="100" t="s">
        <v>331</v>
      </c>
      <c r="C188" s="100" t="s">
        <v>98</v>
      </c>
      <c r="D188" s="100">
        <v>2</v>
      </c>
      <c r="E188" s="100">
        <v>5600</v>
      </c>
      <c r="F188" s="99">
        <v>0.5151</v>
      </c>
      <c r="G188" s="101">
        <f>E188*12*F188</f>
        <v>34614.720000000001</v>
      </c>
      <c r="H188" s="100">
        <v>196</v>
      </c>
      <c r="I188" s="100">
        <v>612</v>
      </c>
      <c r="J188" s="100">
        <v>373</v>
      </c>
      <c r="K188" s="99">
        <v>0.5151</v>
      </c>
      <c r="L188" s="99">
        <f>(J188*$N$1)+$O$1</f>
        <v>0.45171439339186448</v>
      </c>
    </row>
    <row r="189" spans="1:12">
      <c r="A189" s="100" t="s">
        <v>332</v>
      </c>
      <c r="B189" s="100" t="s">
        <v>331</v>
      </c>
      <c r="C189" s="100" t="s">
        <v>107</v>
      </c>
      <c r="D189" s="100">
        <v>1</v>
      </c>
      <c r="E189" s="100">
        <v>3200</v>
      </c>
      <c r="F189" s="99">
        <v>0.87119999999999997</v>
      </c>
      <c r="G189" s="101">
        <f>E189*12*F189</f>
        <v>33454.080000000002</v>
      </c>
      <c r="H189" s="100">
        <v>165</v>
      </c>
      <c r="I189" s="100">
        <v>1296</v>
      </c>
      <c r="J189" s="100">
        <v>420</v>
      </c>
      <c r="K189" s="99">
        <v>0.87119999999999997</v>
      </c>
      <c r="L189" s="99">
        <f>(J189*$N$1)+$O$1</f>
        <v>0.44456475739156126</v>
      </c>
    </row>
    <row r="190" spans="1:12">
      <c r="A190" s="100" t="s">
        <v>333</v>
      </c>
      <c r="B190" s="100" t="s">
        <v>331</v>
      </c>
      <c r="C190" s="100" t="s">
        <v>107</v>
      </c>
      <c r="D190" s="100">
        <v>2</v>
      </c>
      <c r="E190" s="100">
        <v>3500</v>
      </c>
      <c r="F190" s="99">
        <v>0.50680000000000003</v>
      </c>
      <c r="G190" s="101">
        <f>E190*12*F190</f>
        <v>21285.600000000002</v>
      </c>
      <c r="H190" s="100">
        <v>268</v>
      </c>
      <c r="I190" s="100">
        <v>1032</v>
      </c>
      <c r="J190" s="100">
        <v>593</v>
      </c>
      <c r="K190" s="99">
        <v>0.50680000000000003</v>
      </c>
      <c r="L190" s="99">
        <f>(J190*$N$1)+$O$1</f>
        <v>0.41824801211384943</v>
      </c>
    </row>
    <row r="191" spans="1:12">
      <c r="A191" s="100" t="s">
        <v>334</v>
      </c>
      <c r="B191" s="100" t="s">
        <v>331</v>
      </c>
      <c r="C191" s="100" t="s">
        <v>98</v>
      </c>
      <c r="D191" s="100">
        <v>1</v>
      </c>
      <c r="E191" s="100">
        <v>3400</v>
      </c>
      <c r="F191" s="99">
        <v>0.28220000000000001</v>
      </c>
      <c r="G191" s="101">
        <f>E191*12*F191</f>
        <v>11513.76</v>
      </c>
      <c r="H191" s="100">
        <v>106</v>
      </c>
      <c r="I191" s="100">
        <v>624</v>
      </c>
      <c r="J191" s="100">
        <v>436</v>
      </c>
      <c r="K191" s="99">
        <v>0.28220000000000001</v>
      </c>
      <c r="L191" s="99">
        <f>(J191*$N$1)+$O$1</f>
        <v>0.44213083875316017</v>
      </c>
    </row>
    <row r="192" spans="1:12">
      <c r="A192" s="100" t="s">
        <v>335</v>
      </c>
      <c r="B192" s="100" t="s">
        <v>336</v>
      </c>
      <c r="C192" s="100" t="s">
        <v>98</v>
      </c>
      <c r="D192" s="100">
        <v>2</v>
      </c>
      <c r="E192" s="100">
        <v>4200</v>
      </c>
      <c r="F192" s="99">
        <v>0.54249999999999998</v>
      </c>
      <c r="G192" s="101">
        <f>E192*12*F192</f>
        <v>27342</v>
      </c>
      <c r="H192" s="100">
        <v>210</v>
      </c>
      <c r="I192" s="100">
        <v>654</v>
      </c>
      <c r="J192" s="100">
        <v>426</v>
      </c>
      <c r="K192" s="99">
        <v>0.54249999999999998</v>
      </c>
      <c r="L192" s="99">
        <f>(J192*$N$1)+$O$1</f>
        <v>0.44365203790216085</v>
      </c>
    </row>
    <row r="193" spans="1:12">
      <c r="A193" s="100" t="s">
        <v>337</v>
      </c>
      <c r="B193" s="100" t="s">
        <v>338</v>
      </c>
      <c r="C193" s="100" t="s">
        <v>98</v>
      </c>
      <c r="D193" s="100">
        <v>2</v>
      </c>
      <c r="E193" s="100">
        <v>1100</v>
      </c>
      <c r="F193" s="99">
        <v>8.2199999999999995E-2</v>
      </c>
      <c r="G193" s="101">
        <f>E193*12*F193</f>
        <v>1085.04</v>
      </c>
      <c r="H193" s="100">
        <v>111</v>
      </c>
      <c r="I193" s="100">
        <v>148</v>
      </c>
      <c r="J193" s="100">
        <v>142</v>
      </c>
      <c r="K193" s="99">
        <v>8.2199999999999995E-2</v>
      </c>
      <c r="L193" s="99">
        <f>(J193*$N$1)+$O$1</f>
        <v>0.48685409373378025</v>
      </c>
    </row>
    <row r="194" spans="1:12">
      <c r="A194" s="100" t="s">
        <v>339</v>
      </c>
      <c r="B194" s="100" t="s">
        <v>336</v>
      </c>
      <c r="C194" s="100" t="s">
        <v>107</v>
      </c>
      <c r="D194" s="100">
        <v>1</v>
      </c>
      <c r="E194" s="100">
        <v>3000</v>
      </c>
      <c r="F194" s="99">
        <v>0.34789999999999999</v>
      </c>
      <c r="G194" s="101">
        <f>E194*12*F194</f>
        <v>12524.4</v>
      </c>
      <c r="H194" s="100">
        <v>133</v>
      </c>
      <c r="I194" s="100">
        <v>1040</v>
      </c>
      <c r="J194" s="100">
        <v>621</v>
      </c>
      <c r="K194" s="99">
        <v>0.34789999999999999</v>
      </c>
      <c r="L194" s="99">
        <f>(J194*$N$1)+$O$1</f>
        <v>0.41398865449664751</v>
      </c>
    </row>
    <row r="195" spans="1:12">
      <c r="A195" s="100" t="s">
        <v>340</v>
      </c>
      <c r="B195" s="100" t="s">
        <v>336</v>
      </c>
      <c r="C195" s="100" t="s">
        <v>107</v>
      </c>
      <c r="D195" s="100">
        <v>2</v>
      </c>
      <c r="E195" s="100">
        <v>3900</v>
      </c>
      <c r="F195" s="99">
        <v>0.47670000000000001</v>
      </c>
      <c r="G195" s="101">
        <f>E195*12*F195</f>
        <v>22309.56</v>
      </c>
      <c r="H195" s="100">
        <v>231</v>
      </c>
      <c r="I195" s="100">
        <v>888</v>
      </c>
      <c r="J195" s="100">
        <v>535</v>
      </c>
      <c r="K195" s="99">
        <v>0.47670000000000001</v>
      </c>
      <c r="L195" s="99">
        <f>(J195*$N$1)+$O$1</f>
        <v>0.42707096717805337</v>
      </c>
    </row>
    <row r="196" spans="1:12">
      <c r="A196" s="100" t="s">
        <v>341</v>
      </c>
      <c r="B196" s="100" t="s">
        <v>336</v>
      </c>
      <c r="C196" s="100" t="s">
        <v>98</v>
      </c>
      <c r="D196" s="100">
        <v>1</v>
      </c>
      <c r="E196" s="100">
        <v>3600</v>
      </c>
      <c r="F196" s="99">
        <v>0.77810000000000001</v>
      </c>
      <c r="G196" s="101">
        <f>E196*12*F196</f>
        <v>33613.919999999998</v>
      </c>
      <c r="H196" s="100">
        <v>137</v>
      </c>
      <c r="I196" s="100">
        <v>808</v>
      </c>
      <c r="J196" s="100">
        <v>196</v>
      </c>
      <c r="K196" s="99">
        <v>0.77810000000000001</v>
      </c>
      <c r="L196" s="99">
        <f>(J196*$N$1)+$O$1</f>
        <v>0.47863961832917656</v>
      </c>
    </row>
    <row r="197" spans="1:12">
      <c r="A197" s="100" t="s">
        <v>342</v>
      </c>
      <c r="B197" s="100" t="s">
        <v>343</v>
      </c>
      <c r="C197" s="100" t="s">
        <v>98</v>
      </c>
      <c r="D197" s="100">
        <v>2</v>
      </c>
      <c r="E197" s="100">
        <v>3500</v>
      </c>
      <c r="F197" s="99">
        <v>0.39729999999999999</v>
      </c>
      <c r="G197" s="101">
        <f>E197*12*F197</f>
        <v>16686.599999999999</v>
      </c>
      <c r="H197" s="100">
        <v>155</v>
      </c>
      <c r="I197" s="100">
        <v>483</v>
      </c>
      <c r="J197" s="100">
        <v>294</v>
      </c>
      <c r="K197" s="99">
        <v>0.39729999999999999</v>
      </c>
      <c r="L197" s="99">
        <f>(J197*$N$1)+$O$1</f>
        <v>0.46373186666896987</v>
      </c>
    </row>
    <row r="198" spans="1:12">
      <c r="A198" s="100" t="s">
        <v>344</v>
      </c>
      <c r="B198" s="100" t="s">
        <v>343</v>
      </c>
      <c r="C198" s="100" t="s">
        <v>107</v>
      </c>
      <c r="D198" s="100">
        <v>1</v>
      </c>
      <c r="E198" s="100">
        <v>2500</v>
      </c>
      <c r="F198" s="99">
        <v>0.6</v>
      </c>
      <c r="G198" s="101">
        <f>E198*12*F198</f>
        <v>18000</v>
      </c>
      <c r="H198" s="100">
        <v>111</v>
      </c>
      <c r="I198" s="100">
        <v>868</v>
      </c>
      <c r="J198" s="100">
        <v>471</v>
      </c>
      <c r="K198" s="99">
        <v>0.6</v>
      </c>
      <c r="L198" s="99">
        <f>(J198*$N$1)+$O$1</f>
        <v>0.43680664173165779</v>
      </c>
    </row>
    <row r="199" spans="1:12">
      <c r="A199" s="100" t="s">
        <v>345</v>
      </c>
      <c r="B199" s="100" t="s">
        <v>343</v>
      </c>
      <c r="C199" s="100" t="s">
        <v>107</v>
      </c>
      <c r="D199" s="100">
        <v>2</v>
      </c>
      <c r="E199" s="100">
        <v>3000</v>
      </c>
      <c r="F199" s="99">
        <v>0.29320000000000002</v>
      </c>
      <c r="G199" s="101">
        <f>E199*12*F199</f>
        <v>10555.2</v>
      </c>
      <c r="H199" s="100">
        <v>195</v>
      </c>
      <c r="I199" s="100">
        <v>752</v>
      </c>
      <c r="J199" s="100">
        <v>620</v>
      </c>
      <c r="K199" s="99">
        <v>0.29320000000000002</v>
      </c>
      <c r="L199" s="99">
        <f>(J199*$N$1)+$O$1</f>
        <v>0.41414077441154762</v>
      </c>
    </row>
    <row r="200" spans="1:12">
      <c r="A200" s="100" t="s">
        <v>346</v>
      </c>
      <c r="B200" s="100" t="s">
        <v>343</v>
      </c>
      <c r="C200" s="100" t="s">
        <v>98</v>
      </c>
      <c r="D200" s="100">
        <v>1</v>
      </c>
      <c r="E200" s="100">
        <v>3000</v>
      </c>
      <c r="F200" s="99">
        <v>0.6411</v>
      </c>
      <c r="G200" s="101">
        <f>E200*12*F200</f>
        <v>23079.599999999999</v>
      </c>
      <c r="H200" s="100">
        <v>80</v>
      </c>
      <c r="I200" s="100">
        <v>469</v>
      </c>
      <c r="J200" s="100">
        <v>235</v>
      </c>
      <c r="K200" s="99">
        <v>0.6411</v>
      </c>
      <c r="L200" s="99">
        <f>(J200*$N$1)+$O$1</f>
        <v>0.47270694164807392</v>
      </c>
    </row>
    <row r="201" spans="1:12">
      <c r="A201" s="100" t="s">
        <v>347</v>
      </c>
      <c r="B201" s="100" t="s">
        <v>348</v>
      </c>
      <c r="C201" s="100" t="s">
        <v>98</v>
      </c>
      <c r="D201" s="100">
        <v>2</v>
      </c>
      <c r="E201" s="100">
        <v>3900</v>
      </c>
      <c r="F201" s="99">
        <v>0.50409999999999999</v>
      </c>
      <c r="G201" s="101">
        <f>E201*12*F201</f>
        <v>23591.88</v>
      </c>
      <c r="H201" s="100">
        <v>116</v>
      </c>
      <c r="I201" s="100">
        <v>361</v>
      </c>
      <c r="J201" s="100">
        <v>284</v>
      </c>
      <c r="K201" s="99">
        <v>0.50409999999999999</v>
      </c>
      <c r="L201" s="99">
        <f>(J201*$N$1)+$O$1</f>
        <v>0.46525306581797055</v>
      </c>
    </row>
    <row r="202" spans="1:12">
      <c r="A202" s="100" t="s">
        <v>349</v>
      </c>
      <c r="B202" s="100" t="s">
        <v>348</v>
      </c>
      <c r="C202" s="100" t="s">
        <v>107</v>
      </c>
      <c r="D202" s="100">
        <v>1</v>
      </c>
      <c r="E202" s="100">
        <v>2800</v>
      </c>
      <c r="F202" s="99">
        <v>0.4027</v>
      </c>
      <c r="G202" s="101">
        <f>E202*12*F202</f>
        <v>13530.72</v>
      </c>
      <c r="H202" s="100">
        <v>102</v>
      </c>
      <c r="I202" s="100">
        <v>799</v>
      </c>
      <c r="J202" s="100">
        <v>355</v>
      </c>
      <c r="K202" s="99">
        <v>0.4027</v>
      </c>
      <c r="L202" s="99">
        <f>(J202*$N$1)+$O$1</f>
        <v>0.45445255186006572</v>
      </c>
    </row>
    <row r="203" spans="1:12">
      <c r="A203" s="100" t="s">
        <v>350</v>
      </c>
      <c r="B203" s="100" t="s">
        <v>348</v>
      </c>
      <c r="C203" s="100" t="s">
        <v>107</v>
      </c>
      <c r="D203" s="100">
        <v>2</v>
      </c>
      <c r="E203" s="100">
        <v>3500</v>
      </c>
      <c r="F203" s="99">
        <v>0.50680000000000003</v>
      </c>
      <c r="G203" s="101">
        <f>E203*12*F203</f>
        <v>21285.600000000002</v>
      </c>
      <c r="H203" s="100">
        <v>188</v>
      </c>
      <c r="I203" s="100">
        <v>724</v>
      </c>
      <c r="J203" s="100">
        <v>436</v>
      </c>
      <c r="K203" s="99">
        <v>0.50680000000000003</v>
      </c>
      <c r="L203" s="99">
        <f>(J203*$N$1)+$O$1</f>
        <v>0.44213083875316017</v>
      </c>
    </row>
    <row r="204" spans="1:12">
      <c r="A204" s="100" t="s">
        <v>351</v>
      </c>
      <c r="B204" s="100" t="s">
        <v>338</v>
      </c>
      <c r="C204" s="100" t="s">
        <v>107</v>
      </c>
      <c r="D204" s="100">
        <v>1</v>
      </c>
      <c r="E204" s="100">
        <v>900</v>
      </c>
      <c r="F204" s="99">
        <v>0.54790000000000005</v>
      </c>
      <c r="G204" s="101">
        <f>E204*12*F204</f>
        <v>5917.3200000000006</v>
      </c>
      <c r="H204" s="100">
        <v>116</v>
      </c>
      <c r="I204" s="100">
        <v>296</v>
      </c>
      <c r="J204" s="100">
        <v>141</v>
      </c>
      <c r="K204" s="99">
        <v>0.54790000000000005</v>
      </c>
      <c r="L204" s="99">
        <f>(J204*$N$1)+$O$1</f>
        <v>0.4870062136486803</v>
      </c>
    </row>
    <row r="205" spans="1:12">
      <c r="A205" s="100" t="s">
        <v>352</v>
      </c>
      <c r="B205" s="100" t="s">
        <v>348</v>
      </c>
      <c r="C205" s="100" t="s">
        <v>98</v>
      </c>
      <c r="D205" s="100">
        <v>1</v>
      </c>
      <c r="E205" s="100">
        <v>2600</v>
      </c>
      <c r="F205" s="99">
        <v>0.36990000000000001</v>
      </c>
      <c r="G205" s="101">
        <f>E205*12*F205</f>
        <v>11540.880000000001</v>
      </c>
      <c r="H205" s="100">
        <v>69</v>
      </c>
      <c r="I205" s="100">
        <v>406</v>
      </c>
      <c r="J205" s="100">
        <v>250</v>
      </c>
      <c r="K205" s="99">
        <v>0.36990000000000001</v>
      </c>
      <c r="L205" s="99">
        <f>(J205*$N$1)+$O$1</f>
        <v>0.47042514292457288</v>
      </c>
    </row>
    <row r="206" spans="1:12">
      <c r="A206" s="100" t="s">
        <v>353</v>
      </c>
      <c r="B206" s="100" t="s">
        <v>354</v>
      </c>
      <c r="C206" s="100" t="s">
        <v>98</v>
      </c>
      <c r="D206" s="100">
        <v>2</v>
      </c>
      <c r="E206" s="100">
        <v>2695</v>
      </c>
      <c r="F206" s="99">
        <v>0.2356</v>
      </c>
      <c r="G206" s="101">
        <f>E206*12*F206</f>
        <v>7619.3040000000001</v>
      </c>
      <c r="H206" s="100">
        <v>265</v>
      </c>
      <c r="I206" s="100">
        <v>534</v>
      </c>
      <c r="J206" s="100">
        <v>443</v>
      </c>
      <c r="K206" s="99">
        <v>0.2356</v>
      </c>
      <c r="L206" s="99">
        <f>(J206*$N$1)+$O$1</f>
        <v>0.44106599934885971</v>
      </c>
    </row>
    <row r="207" spans="1:12">
      <c r="A207" s="100" t="s">
        <v>355</v>
      </c>
      <c r="B207" s="100" t="s">
        <v>354</v>
      </c>
      <c r="C207" s="100" t="s">
        <v>107</v>
      </c>
      <c r="D207" s="100">
        <v>1</v>
      </c>
      <c r="E207" s="100">
        <v>3000</v>
      </c>
      <c r="F207" s="99">
        <v>0.58079999999999998</v>
      </c>
      <c r="G207" s="101">
        <f>E207*12*F207</f>
        <v>20908.8</v>
      </c>
      <c r="H207" s="100">
        <v>158</v>
      </c>
      <c r="I207" s="100">
        <v>706</v>
      </c>
      <c r="J207" s="100">
        <v>343</v>
      </c>
      <c r="K207" s="99">
        <v>0.58079999999999998</v>
      </c>
      <c r="L207" s="99">
        <f>(J207*$N$1)+$O$1</f>
        <v>0.4562779908388665</v>
      </c>
    </row>
    <row r="208" spans="1:12">
      <c r="A208" s="100" t="s">
        <v>356</v>
      </c>
      <c r="B208" s="100" t="s">
        <v>354</v>
      </c>
      <c r="C208" s="100" t="s">
        <v>107</v>
      </c>
      <c r="D208" s="100">
        <v>2</v>
      </c>
      <c r="E208" s="100">
        <v>4000</v>
      </c>
      <c r="F208" s="99">
        <v>1.9199999999999998E-2</v>
      </c>
      <c r="G208" s="101">
        <f>E208*12*F208</f>
        <v>921.59999999999991</v>
      </c>
      <c r="H208" s="100">
        <v>306</v>
      </c>
      <c r="I208" s="100">
        <v>781</v>
      </c>
      <c r="J208" s="100">
        <v>739</v>
      </c>
      <c r="K208" s="99">
        <v>1.9199999999999998E-2</v>
      </c>
      <c r="L208" s="99">
        <f>(J208*$N$1)+$O$1</f>
        <v>0.39603850453843947</v>
      </c>
    </row>
    <row r="209" spans="1:12">
      <c r="A209" s="100" t="s">
        <v>357</v>
      </c>
      <c r="B209" s="100" t="s">
        <v>354</v>
      </c>
      <c r="C209" s="100" t="s">
        <v>98</v>
      </c>
      <c r="D209" s="100">
        <v>1</v>
      </c>
      <c r="E209" s="100">
        <v>2295</v>
      </c>
      <c r="F209" s="99">
        <v>0.46850000000000003</v>
      </c>
      <c r="G209" s="101">
        <f>E209*12*F209</f>
        <v>12902.490000000002</v>
      </c>
      <c r="H209" s="100">
        <v>100</v>
      </c>
      <c r="I209" s="100">
        <v>469</v>
      </c>
      <c r="J209" s="100">
        <v>270</v>
      </c>
      <c r="K209" s="99">
        <v>0.46850000000000003</v>
      </c>
      <c r="L209" s="99">
        <f>(J209*$N$1)+$O$1</f>
        <v>0.46738274462657148</v>
      </c>
    </row>
    <row r="210" spans="1:12">
      <c r="A210" s="100" t="s">
        <v>358</v>
      </c>
      <c r="B210" s="100" t="s">
        <v>359</v>
      </c>
      <c r="C210" s="100" t="s">
        <v>98</v>
      </c>
      <c r="D210" s="100">
        <v>2</v>
      </c>
      <c r="E210" s="100">
        <v>3000</v>
      </c>
      <c r="F210" s="99">
        <v>0.34250000000000003</v>
      </c>
      <c r="G210" s="101">
        <f>E210*12*F210</f>
        <v>12330.000000000002</v>
      </c>
      <c r="H210" s="100">
        <v>270</v>
      </c>
      <c r="I210" s="100">
        <v>543</v>
      </c>
      <c r="J210" s="100">
        <v>424</v>
      </c>
      <c r="K210" s="99">
        <v>0.34250000000000003</v>
      </c>
      <c r="L210" s="99">
        <f>(J210*$N$1)+$O$1</f>
        <v>0.443956277731961</v>
      </c>
    </row>
    <row r="211" spans="1:12">
      <c r="A211" s="100" t="s">
        <v>360</v>
      </c>
      <c r="B211" s="100" t="s">
        <v>359</v>
      </c>
      <c r="C211" s="100" t="s">
        <v>107</v>
      </c>
      <c r="D211" s="100">
        <v>1</v>
      </c>
      <c r="E211" s="100">
        <v>3300</v>
      </c>
      <c r="F211" s="99">
        <v>0.2712</v>
      </c>
      <c r="G211" s="101">
        <f>E211*12*F211</f>
        <v>10739.52</v>
      </c>
      <c r="H211" s="100">
        <v>283</v>
      </c>
      <c r="I211" s="100">
        <v>1261</v>
      </c>
      <c r="J211" s="100">
        <v>980</v>
      </c>
      <c r="K211" s="99">
        <v>0.2712</v>
      </c>
      <c r="L211" s="99">
        <f>(J211*$N$1)+$O$1</f>
        <v>0.35937760504752303</v>
      </c>
    </row>
    <row r="212" spans="1:12">
      <c r="A212" s="100" t="s">
        <v>361</v>
      </c>
      <c r="B212" s="100" t="s">
        <v>359</v>
      </c>
      <c r="C212" s="100" t="s">
        <v>107</v>
      </c>
      <c r="D212" s="100">
        <v>2</v>
      </c>
      <c r="E212" s="100">
        <v>4500</v>
      </c>
      <c r="F212" s="99">
        <v>0.43009999999999998</v>
      </c>
      <c r="G212" s="101">
        <f>E212*12*F212</f>
        <v>23225.399999999998</v>
      </c>
      <c r="H212" s="100">
        <v>530</v>
      </c>
      <c r="I212" s="100">
        <v>1354</v>
      </c>
      <c r="J212" s="100">
        <v>994</v>
      </c>
      <c r="K212" s="99">
        <v>0.43009999999999998</v>
      </c>
      <c r="L212" s="99">
        <f>(J212*$N$1)+$O$1</f>
        <v>0.35724792623892204</v>
      </c>
    </row>
    <row r="213" spans="1:12">
      <c r="A213" s="100" t="s">
        <v>362</v>
      </c>
      <c r="B213" s="100" t="s">
        <v>359</v>
      </c>
      <c r="C213" s="100" t="s">
        <v>98</v>
      </c>
      <c r="D213" s="100">
        <v>1</v>
      </c>
      <c r="E213" s="100">
        <v>2700</v>
      </c>
      <c r="F213" s="99">
        <v>0.60550000000000004</v>
      </c>
      <c r="G213" s="101">
        <f>E213*12*F213</f>
        <v>19618.2</v>
      </c>
      <c r="H213" s="100">
        <v>103</v>
      </c>
      <c r="I213" s="100">
        <v>483</v>
      </c>
      <c r="J213" s="100">
        <v>284</v>
      </c>
      <c r="K213" s="99">
        <v>0.60550000000000004</v>
      </c>
      <c r="L213" s="99">
        <f>(J213*$N$1)+$O$1</f>
        <v>0.46525306581797055</v>
      </c>
    </row>
    <row r="214" spans="1:12">
      <c r="A214" s="100" t="s">
        <v>363</v>
      </c>
      <c r="B214" s="100" t="s">
        <v>364</v>
      </c>
      <c r="C214" s="100" t="s">
        <v>98</v>
      </c>
      <c r="D214" s="100">
        <v>1</v>
      </c>
      <c r="E214" s="100">
        <v>2700</v>
      </c>
      <c r="F214" s="99">
        <v>0.56710000000000005</v>
      </c>
      <c r="G214" s="101">
        <f>E214*12*F214</f>
        <v>18374.04</v>
      </c>
      <c r="H214" s="100">
        <v>110</v>
      </c>
      <c r="I214" s="100">
        <v>515</v>
      </c>
      <c r="J214" s="100">
        <v>236</v>
      </c>
      <c r="K214" s="99">
        <v>0.56710000000000005</v>
      </c>
      <c r="L214" s="99">
        <f>(J214*$N$1)+$O$1</f>
        <v>0.47255482173317381</v>
      </c>
    </row>
    <row r="215" spans="1:12">
      <c r="A215" s="100" t="s">
        <v>365</v>
      </c>
      <c r="B215" s="100" t="s">
        <v>338</v>
      </c>
      <c r="C215" s="100" t="s">
        <v>107</v>
      </c>
      <c r="D215" s="100">
        <v>2</v>
      </c>
      <c r="E215" s="100">
        <v>1100</v>
      </c>
      <c r="F215" s="99">
        <v>0.61919999999999997</v>
      </c>
      <c r="G215" s="101">
        <f>E215*12*F215</f>
        <v>8173.44</v>
      </c>
      <c r="H215" s="100">
        <v>136</v>
      </c>
      <c r="I215" s="100">
        <v>335</v>
      </c>
      <c r="J215" s="100">
        <v>188</v>
      </c>
      <c r="K215" s="99">
        <v>0.61919999999999997</v>
      </c>
      <c r="L215" s="99">
        <f>(J215*$N$1)+$O$1</f>
        <v>0.47985657764837708</v>
      </c>
    </row>
    <row r="216" spans="1:12">
      <c r="A216" s="100" t="s">
        <v>366</v>
      </c>
      <c r="B216" s="100" t="s">
        <v>364</v>
      </c>
      <c r="C216" s="100" t="s">
        <v>98</v>
      </c>
      <c r="D216" s="100">
        <v>2</v>
      </c>
      <c r="E216" s="100">
        <v>3000</v>
      </c>
      <c r="F216" s="99">
        <v>0.70409999999999995</v>
      </c>
      <c r="G216" s="101">
        <f>E216*12*F216</f>
        <v>25347.599999999999</v>
      </c>
      <c r="H216" s="100">
        <v>270</v>
      </c>
      <c r="I216" s="100">
        <v>544</v>
      </c>
      <c r="J216" s="100">
        <v>329</v>
      </c>
      <c r="K216" s="99">
        <v>0.70409999999999995</v>
      </c>
      <c r="L216" s="99">
        <f>(J216*$N$1)+$O$1</f>
        <v>0.45840766964746749</v>
      </c>
    </row>
    <row r="217" spans="1:12">
      <c r="A217" s="100" t="s">
        <v>367</v>
      </c>
      <c r="B217" s="100" t="s">
        <v>364</v>
      </c>
      <c r="C217" s="100" t="s">
        <v>107</v>
      </c>
      <c r="D217" s="100">
        <v>1</v>
      </c>
      <c r="E217" s="100">
        <v>4500</v>
      </c>
      <c r="F217" s="99">
        <v>0.44379999999999997</v>
      </c>
      <c r="G217" s="101">
        <f>E217*12*F217</f>
        <v>23965.199999999997</v>
      </c>
      <c r="H217" s="100">
        <v>231</v>
      </c>
      <c r="I217" s="100">
        <v>1027</v>
      </c>
      <c r="J217" s="100">
        <v>549</v>
      </c>
      <c r="K217" s="99">
        <v>0.44379999999999997</v>
      </c>
      <c r="L217" s="99">
        <f>(J217*$N$1)+$O$1</f>
        <v>0.42494128836945244</v>
      </c>
    </row>
    <row r="218" spans="1:12">
      <c r="A218" s="100" t="s">
        <v>368</v>
      </c>
      <c r="B218" s="100" t="s">
        <v>364</v>
      </c>
      <c r="C218" s="100" t="s">
        <v>107</v>
      </c>
      <c r="D218" s="100">
        <v>2</v>
      </c>
      <c r="E218" s="100">
        <v>4900</v>
      </c>
      <c r="F218" s="99">
        <v>0.4466</v>
      </c>
      <c r="G218" s="101">
        <f>E218*12*F218</f>
        <v>26260.079999999998</v>
      </c>
      <c r="H218" s="100">
        <v>379</v>
      </c>
      <c r="I218" s="100">
        <v>969</v>
      </c>
      <c r="J218" s="100">
        <v>652</v>
      </c>
      <c r="K218" s="99">
        <v>0.4466</v>
      </c>
      <c r="L218" s="99">
        <f>(J218*$N$1)+$O$1</f>
        <v>0.40927293713474544</v>
      </c>
    </row>
    <row r="219" spans="1:12">
      <c r="A219" s="100" t="s">
        <v>369</v>
      </c>
      <c r="B219" s="100" t="s">
        <v>370</v>
      </c>
      <c r="C219" s="100" t="s">
        <v>98</v>
      </c>
      <c r="D219" s="100">
        <v>2</v>
      </c>
      <c r="E219" s="100">
        <v>3300</v>
      </c>
      <c r="F219" s="99">
        <v>0.4219</v>
      </c>
      <c r="G219" s="101">
        <f>E219*12*F219</f>
        <v>16707.240000000002</v>
      </c>
      <c r="H219" s="100">
        <v>264</v>
      </c>
      <c r="I219" s="100">
        <v>532</v>
      </c>
      <c r="J219" s="100">
        <v>378</v>
      </c>
      <c r="K219" s="99">
        <v>0.4219</v>
      </c>
      <c r="L219" s="99">
        <f>(J219*$N$1)+$O$1</f>
        <v>0.45095379381736411</v>
      </c>
    </row>
    <row r="220" spans="1:12">
      <c r="A220" s="100" t="s">
        <v>371</v>
      </c>
      <c r="B220" s="100" t="s">
        <v>370</v>
      </c>
      <c r="C220" s="100" t="s">
        <v>107</v>
      </c>
      <c r="D220" s="100">
        <v>1</v>
      </c>
      <c r="E220" s="100">
        <v>4500</v>
      </c>
      <c r="F220" s="99">
        <v>0.59179999999999999</v>
      </c>
      <c r="G220" s="101">
        <f>E220*12*F220</f>
        <v>31957.200000000001</v>
      </c>
      <c r="H220" s="100">
        <v>151</v>
      </c>
      <c r="I220" s="100">
        <v>673</v>
      </c>
      <c r="J220" s="100">
        <v>255</v>
      </c>
      <c r="K220" s="99">
        <v>0.59179999999999999</v>
      </c>
      <c r="L220" s="99">
        <f>(J220*$N$1)+$O$1</f>
        <v>0.46966454335007252</v>
      </c>
    </row>
    <row r="221" spans="1:12">
      <c r="A221" s="100" t="s">
        <v>372</v>
      </c>
      <c r="B221" s="100" t="s">
        <v>370</v>
      </c>
      <c r="C221" s="100" t="s">
        <v>107</v>
      </c>
      <c r="D221" s="100">
        <v>2</v>
      </c>
      <c r="E221" s="100">
        <v>4200</v>
      </c>
      <c r="F221" s="99">
        <v>0.5726</v>
      </c>
      <c r="G221" s="101">
        <f>E221*12*F221</f>
        <v>28859.040000000001</v>
      </c>
      <c r="H221" s="100">
        <v>278</v>
      </c>
      <c r="I221" s="100">
        <v>711</v>
      </c>
      <c r="J221" s="100">
        <v>441</v>
      </c>
      <c r="K221" s="99">
        <v>0.5726</v>
      </c>
      <c r="L221" s="99">
        <f>(J221*$N$1)+$O$1</f>
        <v>0.44137023917865981</v>
      </c>
    </row>
    <row r="222" spans="1:12">
      <c r="A222" s="100" t="s">
        <v>373</v>
      </c>
      <c r="B222" s="100" t="s">
        <v>370</v>
      </c>
      <c r="C222" s="100" t="s">
        <v>98</v>
      </c>
      <c r="D222" s="100">
        <v>1</v>
      </c>
      <c r="E222" s="100">
        <v>2500</v>
      </c>
      <c r="F222" s="99">
        <v>0.42470000000000002</v>
      </c>
      <c r="G222" s="101">
        <f>E222*12*F222</f>
        <v>12741</v>
      </c>
      <c r="H222" s="100">
        <v>98</v>
      </c>
      <c r="I222" s="100">
        <v>460</v>
      </c>
      <c r="J222" s="100">
        <v>356</v>
      </c>
      <c r="K222" s="99">
        <v>0.42470000000000002</v>
      </c>
      <c r="L222" s="99">
        <f>(J222*$N$1)+$O$1</f>
        <v>0.45430043194516562</v>
      </c>
    </row>
    <row r="223" spans="1:12">
      <c r="A223" s="100" t="s">
        <v>374</v>
      </c>
      <c r="B223" s="100" t="s">
        <v>375</v>
      </c>
      <c r="C223" s="100" t="s">
        <v>98</v>
      </c>
      <c r="D223" s="100">
        <v>1</v>
      </c>
      <c r="E223" s="100">
        <v>2500</v>
      </c>
      <c r="F223" s="99">
        <v>7.9500000000000001E-2</v>
      </c>
      <c r="G223" s="101">
        <f>E223*12*F223</f>
        <v>2385</v>
      </c>
      <c r="H223" s="100">
        <v>108</v>
      </c>
      <c r="I223" s="100">
        <v>507</v>
      </c>
      <c r="J223" s="100">
        <v>437</v>
      </c>
      <c r="K223" s="99">
        <v>7.9500000000000001E-2</v>
      </c>
      <c r="L223" s="99">
        <f>(J223*$N$1)+$O$1</f>
        <v>0.44197871883826012</v>
      </c>
    </row>
    <row r="224" spans="1:12">
      <c r="A224" s="100" t="s">
        <v>376</v>
      </c>
      <c r="B224" s="100" t="s">
        <v>375</v>
      </c>
      <c r="C224" s="100" t="s">
        <v>98</v>
      </c>
      <c r="D224" s="100">
        <v>2</v>
      </c>
      <c r="E224" s="100">
        <v>3300</v>
      </c>
      <c r="F224" s="99">
        <v>0.31780000000000003</v>
      </c>
      <c r="G224" s="101">
        <f>E224*12*F224</f>
        <v>12584.880000000001</v>
      </c>
      <c r="H224" s="100">
        <v>270</v>
      </c>
      <c r="I224" s="100">
        <v>543</v>
      </c>
      <c r="J224" s="100">
        <v>461</v>
      </c>
      <c r="K224" s="99">
        <v>0.31780000000000003</v>
      </c>
      <c r="L224" s="99">
        <f>(J224*$N$1)+$O$1</f>
        <v>0.43832784088065846</v>
      </c>
    </row>
    <row r="225" spans="1:12">
      <c r="A225" s="100" t="s">
        <v>377</v>
      </c>
      <c r="B225" s="100" t="s">
        <v>375</v>
      </c>
      <c r="C225" s="100" t="s">
        <v>107</v>
      </c>
      <c r="D225" s="100">
        <v>1</v>
      </c>
      <c r="E225" s="100">
        <v>4500</v>
      </c>
      <c r="F225" s="99">
        <v>0.31230000000000002</v>
      </c>
      <c r="G225" s="101">
        <f>E225*12*F225</f>
        <v>16864.2</v>
      </c>
      <c r="H225" s="100">
        <v>186</v>
      </c>
      <c r="I225" s="100">
        <v>829</v>
      </c>
      <c r="J225" s="100">
        <v>669</v>
      </c>
      <c r="K225" s="99">
        <v>0.31230000000000002</v>
      </c>
      <c r="L225" s="99">
        <f>(J225*$N$1)+$O$1</f>
        <v>0.40668689858144424</v>
      </c>
    </row>
    <row r="226" spans="1:12">
      <c r="A226" s="100" t="s">
        <v>378</v>
      </c>
      <c r="B226" s="100" t="s">
        <v>338</v>
      </c>
      <c r="C226" s="100" t="s">
        <v>98</v>
      </c>
      <c r="D226" s="100">
        <v>1</v>
      </c>
      <c r="E226" s="100">
        <v>500</v>
      </c>
      <c r="F226" s="99">
        <v>0.39729999999999999</v>
      </c>
      <c r="G226" s="101">
        <f>E226*12*F226</f>
        <v>2383.7999999999997</v>
      </c>
      <c r="H226" s="100">
        <v>50</v>
      </c>
      <c r="I226" s="100">
        <v>174</v>
      </c>
      <c r="J226" s="100">
        <v>121</v>
      </c>
      <c r="K226" s="99">
        <v>0.39729999999999999</v>
      </c>
      <c r="L226" s="99">
        <f>(J226*$N$1)+$O$1</f>
        <v>0.4900486119466817</v>
      </c>
    </row>
    <row r="227" spans="1:12">
      <c r="A227" s="100" t="s">
        <v>379</v>
      </c>
      <c r="B227" s="100" t="s">
        <v>375</v>
      </c>
      <c r="C227" s="100" t="s">
        <v>107</v>
      </c>
      <c r="D227" s="100">
        <v>2</v>
      </c>
      <c r="E227" s="100">
        <v>4200</v>
      </c>
      <c r="F227" s="99">
        <v>0.61099999999999999</v>
      </c>
      <c r="G227" s="101">
        <f>E227*12*F227</f>
        <v>30794.399999999998</v>
      </c>
      <c r="H227" s="100">
        <v>319</v>
      </c>
      <c r="I227" s="100">
        <v>815</v>
      </c>
      <c r="J227" s="100">
        <v>437</v>
      </c>
      <c r="K227" s="99">
        <v>0.61099999999999999</v>
      </c>
      <c r="L227" s="99">
        <f>(J227*$N$1)+$O$1</f>
        <v>0.44197871883826012</v>
      </c>
    </row>
    <row r="228" spans="1:12">
      <c r="A228" s="100" t="s">
        <v>380</v>
      </c>
      <c r="B228" s="100" t="s">
        <v>381</v>
      </c>
      <c r="C228" s="100" t="s">
        <v>98</v>
      </c>
      <c r="D228" s="100">
        <v>2</v>
      </c>
      <c r="E228" s="100">
        <v>3600</v>
      </c>
      <c r="F228" s="99">
        <v>0.2329</v>
      </c>
      <c r="G228" s="101">
        <f>E228*12*F228</f>
        <v>10061.280000000001</v>
      </c>
      <c r="H228" s="100">
        <v>332</v>
      </c>
      <c r="I228" s="100">
        <v>805</v>
      </c>
      <c r="J228" s="100">
        <v>663</v>
      </c>
      <c r="K228" s="99">
        <v>0.2329</v>
      </c>
      <c r="L228" s="99">
        <f>(J228*$N$1)+$O$1</f>
        <v>0.40759961807084466</v>
      </c>
    </row>
    <row r="229" spans="1:12">
      <c r="A229" s="100" t="s">
        <v>382</v>
      </c>
      <c r="B229" s="100" t="s">
        <v>381</v>
      </c>
      <c r="C229" s="100" t="s">
        <v>107</v>
      </c>
      <c r="D229" s="100">
        <v>1</v>
      </c>
      <c r="E229" s="100">
        <v>4000</v>
      </c>
      <c r="F229" s="99">
        <v>0.50680000000000003</v>
      </c>
      <c r="G229" s="101">
        <f>E229*12*F229</f>
        <v>24326.400000000001</v>
      </c>
      <c r="H229" s="100">
        <v>179</v>
      </c>
      <c r="I229" s="100">
        <v>629</v>
      </c>
      <c r="J229" s="100">
        <v>337</v>
      </c>
      <c r="K229" s="99">
        <v>0.50680000000000003</v>
      </c>
      <c r="L229" s="99">
        <f>(J229*$N$1)+$O$1</f>
        <v>0.45719071032826691</v>
      </c>
    </row>
    <row r="230" spans="1:12">
      <c r="A230" s="100" t="s">
        <v>383</v>
      </c>
      <c r="B230" s="100" t="s">
        <v>381</v>
      </c>
      <c r="C230" s="100" t="s">
        <v>107</v>
      </c>
      <c r="D230" s="100">
        <v>2</v>
      </c>
      <c r="E230" s="100">
        <v>5500</v>
      </c>
      <c r="F230" s="99">
        <v>0.61639999999999995</v>
      </c>
      <c r="G230" s="101">
        <f>E230*12*F230</f>
        <v>40682.399999999994</v>
      </c>
      <c r="H230" s="100">
        <v>227</v>
      </c>
      <c r="I230" s="100">
        <v>813</v>
      </c>
      <c r="J230" s="100">
        <v>447</v>
      </c>
      <c r="K230" s="99">
        <v>0.61639999999999995</v>
      </c>
      <c r="L230" s="99">
        <f>(J230*$N$1)+$O$1</f>
        <v>0.44045751968925939</v>
      </c>
    </row>
    <row r="231" spans="1:12">
      <c r="A231" s="100" t="s">
        <v>384</v>
      </c>
      <c r="B231" s="100" t="s">
        <v>381</v>
      </c>
      <c r="C231" s="100" t="s">
        <v>98</v>
      </c>
      <c r="D231" s="100">
        <v>1</v>
      </c>
      <c r="E231" s="100">
        <v>3000</v>
      </c>
      <c r="F231" s="99">
        <v>0.1014</v>
      </c>
      <c r="G231" s="101">
        <f>E231*12*F231</f>
        <v>3650.4</v>
      </c>
      <c r="H231" s="100">
        <v>115</v>
      </c>
      <c r="I231" s="100">
        <v>650</v>
      </c>
      <c r="J231" s="100">
        <v>610</v>
      </c>
      <c r="K231" s="99">
        <v>0.1014</v>
      </c>
      <c r="L231" s="99">
        <f>(J231*$N$1)+$O$1</f>
        <v>0.41566197356054829</v>
      </c>
    </row>
    <row r="232" spans="1:12">
      <c r="A232" s="100" t="s">
        <v>385</v>
      </c>
      <c r="B232" s="100" t="s">
        <v>386</v>
      </c>
      <c r="C232" s="100" t="s">
        <v>98</v>
      </c>
      <c r="D232" s="100">
        <v>2</v>
      </c>
      <c r="E232" s="100">
        <v>4000</v>
      </c>
      <c r="F232" s="99">
        <v>0.31509999999999999</v>
      </c>
      <c r="G232" s="101">
        <f>E232*12*F232</f>
        <v>15124.8</v>
      </c>
      <c r="H232" s="100">
        <v>220</v>
      </c>
      <c r="I232" s="100">
        <v>534</v>
      </c>
      <c r="J232" s="100">
        <v>302</v>
      </c>
      <c r="K232" s="99">
        <v>0.31509999999999999</v>
      </c>
      <c r="L232" s="99">
        <f>(J232*$N$1)+$O$1</f>
        <v>0.4625149073497693</v>
      </c>
    </row>
    <row r="233" spans="1:12">
      <c r="A233" s="100" t="s">
        <v>387</v>
      </c>
      <c r="B233" s="100" t="s">
        <v>386</v>
      </c>
      <c r="C233" s="100" t="s">
        <v>107</v>
      </c>
      <c r="D233" s="100">
        <v>1</v>
      </c>
      <c r="E233" s="100">
        <v>4000</v>
      </c>
      <c r="F233" s="99">
        <v>0.65210000000000001</v>
      </c>
      <c r="G233" s="101">
        <f>E233*12*F233</f>
        <v>31300.799999999999</v>
      </c>
      <c r="H233" s="100">
        <v>128</v>
      </c>
      <c r="I233" s="100">
        <v>450</v>
      </c>
      <c r="J233" s="100">
        <v>213</v>
      </c>
      <c r="K233" s="99">
        <v>0.65210000000000001</v>
      </c>
      <c r="L233" s="99">
        <f>(J233*$N$1)+$O$1</f>
        <v>0.47605357977587537</v>
      </c>
    </row>
    <row r="234" spans="1:12">
      <c r="A234" s="100" t="s">
        <v>388</v>
      </c>
      <c r="B234" s="100" t="s">
        <v>386</v>
      </c>
      <c r="C234" s="100" t="s">
        <v>107</v>
      </c>
      <c r="D234" s="100">
        <v>2</v>
      </c>
      <c r="E234" s="100">
        <v>5000</v>
      </c>
      <c r="F234" s="99">
        <v>0.51229999999999998</v>
      </c>
      <c r="G234" s="101">
        <f>E234*12*F234</f>
        <v>30738</v>
      </c>
      <c r="H234" s="100">
        <v>152</v>
      </c>
      <c r="I234" s="100">
        <v>546</v>
      </c>
      <c r="J234" s="100">
        <v>364</v>
      </c>
      <c r="K234" s="99">
        <v>0.51229999999999998</v>
      </c>
      <c r="L234" s="99">
        <f>(J234*$N$1)+$O$1</f>
        <v>0.4530834726259651</v>
      </c>
    </row>
    <row r="235" spans="1:12">
      <c r="A235" s="100" t="s">
        <v>389</v>
      </c>
      <c r="B235" s="100" t="s">
        <v>386</v>
      </c>
      <c r="C235" s="100" t="s">
        <v>98</v>
      </c>
      <c r="D235" s="100">
        <v>1</v>
      </c>
      <c r="E235" s="100">
        <v>3200</v>
      </c>
      <c r="F235" s="99">
        <v>0.62739999999999996</v>
      </c>
      <c r="G235" s="101">
        <f>E235*12*F235</f>
        <v>24092.16</v>
      </c>
      <c r="H235" s="100">
        <v>94</v>
      </c>
      <c r="I235" s="100">
        <v>528</v>
      </c>
      <c r="J235" s="100">
        <v>251</v>
      </c>
      <c r="K235" s="99">
        <v>0.62739999999999996</v>
      </c>
      <c r="L235" s="99">
        <f>(J235*$N$1)+$O$1</f>
        <v>0.47027302300967277</v>
      </c>
    </row>
    <row r="236" spans="1:12">
      <c r="A236" s="100" t="s">
        <v>390</v>
      </c>
      <c r="B236" s="100" t="s">
        <v>391</v>
      </c>
      <c r="C236" s="100" t="s">
        <v>98</v>
      </c>
      <c r="D236" s="100">
        <v>2</v>
      </c>
      <c r="E236" s="100">
        <v>3500</v>
      </c>
      <c r="F236" s="99">
        <v>0.39729999999999999</v>
      </c>
      <c r="G236" s="101">
        <f>E236*12*F236</f>
        <v>16686.599999999999</v>
      </c>
      <c r="H236" s="100">
        <v>194</v>
      </c>
      <c r="I236" s="100">
        <v>471</v>
      </c>
      <c r="J236" s="100">
        <v>343</v>
      </c>
      <c r="K236" s="99">
        <v>0.39729999999999999</v>
      </c>
      <c r="L236" s="99">
        <f>(J236*$N$1)+$O$1</f>
        <v>0.4562779908388665</v>
      </c>
    </row>
    <row r="237" spans="1:12">
      <c r="A237" s="100" t="s">
        <v>392</v>
      </c>
      <c r="B237" s="100" t="s">
        <v>100</v>
      </c>
      <c r="C237" s="100" t="s">
        <v>98</v>
      </c>
      <c r="D237" s="100">
        <v>1</v>
      </c>
      <c r="E237" s="100">
        <v>965</v>
      </c>
      <c r="F237" s="99">
        <v>0.37530000000000002</v>
      </c>
      <c r="G237" s="101">
        <f>E237*12*F237</f>
        <v>4345.9740000000002</v>
      </c>
      <c r="H237" s="100">
        <v>50</v>
      </c>
      <c r="I237" s="100">
        <v>174</v>
      </c>
      <c r="J237" s="100">
        <v>125</v>
      </c>
      <c r="K237" s="99">
        <v>0.37530000000000002</v>
      </c>
      <c r="L237" s="99">
        <f>(J237*$N$1)+$O$1</f>
        <v>0.48944013228708139</v>
      </c>
    </row>
    <row r="238" spans="1:12">
      <c r="A238" s="100" t="s">
        <v>393</v>
      </c>
      <c r="B238" s="100" t="s">
        <v>391</v>
      </c>
      <c r="C238" s="100" t="s">
        <v>107</v>
      </c>
      <c r="D238" s="100">
        <v>1</v>
      </c>
      <c r="E238" s="100">
        <v>3200</v>
      </c>
      <c r="F238" s="99">
        <v>0.3342</v>
      </c>
      <c r="G238" s="101">
        <f>E238*12*F238</f>
        <v>12833.28</v>
      </c>
      <c r="H238" s="100">
        <v>138</v>
      </c>
      <c r="I238" s="100">
        <v>485</v>
      </c>
      <c r="J238" s="100">
        <v>251</v>
      </c>
      <c r="K238" s="99">
        <v>0.3342</v>
      </c>
      <c r="L238" s="99">
        <f>(J238*$N$1)+$O$1</f>
        <v>0.47027302300967277</v>
      </c>
    </row>
    <row r="239" spans="1:12">
      <c r="A239" s="100" t="s">
        <v>394</v>
      </c>
      <c r="B239" s="100" t="s">
        <v>391</v>
      </c>
      <c r="C239" s="100" t="s">
        <v>107</v>
      </c>
      <c r="D239" s="100">
        <v>2</v>
      </c>
      <c r="E239" s="100">
        <v>3500</v>
      </c>
      <c r="F239" s="99">
        <v>0.36159999999999998</v>
      </c>
      <c r="G239" s="101">
        <f>E239*12*F239</f>
        <v>15187.199999999999</v>
      </c>
      <c r="H239" s="100">
        <v>152</v>
      </c>
      <c r="I239" s="100">
        <v>547</v>
      </c>
      <c r="J239" s="100">
        <v>404</v>
      </c>
      <c r="K239" s="99">
        <v>0.36159999999999998</v>
      </c>
      <c r="L239" s="99">
        <f>(J239*$N$1)+$O$1</f>
        <v>0.44699867602996235</v>
      </c>
    </row>
    <row r="240" spans="1:12">
      <c r="A240" s="100" t="s">
        <v>395</v>
      </c>
      <c r="B240" s="100" t="s">
        <v>391</v>
      </c>
      <c r="C240" s="100" t="s">
        <v>98</v>
      </c>
      <c r="D240" s="100">
        <v>1</v>
      </c>
      <c r="E240" s="100">
        <v>3000</v>
      </c>
      <c r="F240" s="99">
        <v>0.26579999999999998</v>
      </c>
      <c r="G240" s="101">
        <f>E240*12*F240</f>
        <v>9568.7999999999993</v>
      </c>
      <c r="H240" s="100">
        <v>77</v>
      </c>
      <c r="I240" s="100">
        <v>432</v>
      </c>
      <c r="J240" s="100">
        <v>161</v>
      </c>
      <c r="K240" s="99">
        <v>0.26579999999999998</v>
      </c>
      <c r="L240" s="99">
        <f>(J240*$N$1)+$O$1</f>
        <v>0.48396381535067895</v>
      </c>
    </row>
    <row r="241" spans="1:12">
      <c r="A241" s="100" t="s">
        <v>396</v>
      </c>
      <c r="B241" s="100" t="s">
        <v>397</v>
      </c>
      <c r="C241" s="100" t="s">
        <v>98</v>
      </c>
      <c r="D241" s="100">
        <v>1</v>
      </c>
      <c r="E241" s="100">
        <v>2600</v>
      </c>
      <c r="F241" s="99">
        <v>0.38629999999999998</v>
      </c>
      <c r="G241" s="101">
        <f>E241*12*F241</f>
        <v>12052.56</v>
      </c>
      <c r="H241" s="100">
        <v>100</v>
      </c>
      <c r="I241" s="100">
        <v>565</v>
      </c>
      <c r="J241" s="100">
        <v>408</v>
      </c>
      <c r="K241" s="99">
        <v>0.38629999999999998</v>
      </c>
      <c r="L241" s="99">
        <f>(J241*$N$1)+$O$1</f>
        <v>0.44639019637036209</v>
      </c>
    </row>
    <row r="242" spans="1:12">
      <c r="A242" s="100" t="s">
        <v>398</v>
      </c>
      <c r="B242" s="100" t="s">
        <v>397</v>
      </c>
      <c r="C242" s="100" t="s">
        <v>98</v>
      </c>
      <c r="D242" s="100">
        <v>2</v>
      </c>
      <c r="E242" s="100">
        <v>4000</v>
      </c>
      <c r="F242" s="99">
        <v>0.31509999999999999</v>
      </c>
      <c r="G242" s="101">
        <f>E242*12*F242</f>
        <v>15124.8</v>
      </c>
      <c r="H242" s="100">
        <v>204</v>
      </c>
      <c r="I242" s="100">
        <v>494</v>
      </c>
      <c r="J242" s="100">
        <v>284</v>
      </c>
      <c r="K242" s="99">
        <v>0.31509999999999999</v>
      </c>
      <c r="L242" s="99">
        <f>(J242*$N$1)+$O$1</f>
        <v>0.46525306581797055</v>
      </c>
    </row>
    <row r="243" spans="1:12">
      <c r="A243" s="100" t="s">
        <v>399</v>
      </c>
      <c r="B243" s="100" t="s">
        <v>397</v>
      </c>
      <c r="C243" s="100" t="s">
        <v>107</v>
      </c>
      <c r="D243" s="100">
        <v>1</v>
      </c>
      <c r="E243" s="100">
        <v>4000</v>
      </c>
      <c r="F243" s="99">
        <v>0.55620000000000003</v>
      </c>
      <c r="G243" s="101">
        <f>E243*12*F243</f>
        <v>26697.600000000002</v>
      </c>
      <c r="H243" s="100">
        <v>257</v>
      </c>
      <c r="I243" s="100">
        <v>903</v>
      </c>
      <c r="J243" s="100">
        <v>443</v>
      </c>
      <c r="K243" s="99">
        <v>0.55620000000000003</v>
      </c>
      <c r="L243" s="99">
        <f>(J243*$N$1)+$O$1</f>
        <v>0.44106599934885971</v>
      </c>
    </row>
    <row r="244" spans="1:12">
      <c r="A244" s="100" t="s">
        <v>400</v>
      </c>
      <c r="B244" s="100" t="s">
        <v>397</v>
      </c>
      <c r="C244" s="100" t="s">
        <v>107</v>
      </c>
      <c r="D244" s="100">
        <v>2</v>
      </c>
      <c r="E244" s="100">
        <v>5100</v>
      </c>
      <c r="F244" s="99">
        <v>0.44929999999999998</v>
      </c>
      <c r="G244" s="101">
        <f>E244*12*F244</f>
        <v>27497.16</v>
      </c>
      <c r="H244" s="100">
        <v>256</v>
      </c>
      <c r="I244" s="100">
        <v>916</v>
      </c>
      <c r="J244" s="100">
        <v>718</v>
      </c>
      <c r="K244" s="99">
        <v>0.44929999999999998</v>
      </c>
      <c r="L244" s="99">
        <f>(J244*$N$1)+$O$1</f>
        <v>0.39923302275134087</v>
      </c>
    </row>
    <row r="245" spans="1:12">
      <c r="A245" s="100" t="s">
        <v>401</v>
      </c>
      <c r="B245" s="100" t="s">
        <v>102</v>
      </c>
      <c r="C245" s="100" t="s">
        <v>98</v>
      </c>
      <c r="D245" s="100">
        <v>2</v>
      </c>
      <c r="E245" s="100">
        <v>5600</v>
      </c>
      <c r="F245" s="99">
        <v>0.31780000000000003</v>
      </c>
      <c r="G245" s="101">
        <f>E245*12*F245</f>
        <v>21356.160000000003</v>
      </c>
      <c r="H245" s="100">
        <v>265</v>
      </c>
      <c r="I245" s="100">
        <v>644</v>
      </c>
      <c r="J245" s="100">
        <v>478</v>
      </c>
      <c r="K245" s="99">
        <v>0.31780000000000003</v>
      </c>
      <c r="L245" s="99">
        <f>(J245*$N$1)+$O$1</f>
        <v>0.43574180232735726</v>
      </c>
    </row>
    <row r="246" spans="1:12">
      <c r="A246" s="100" t="s">
        <v>402</v>
      </c>
      <c r="B246" s="100" t="s">
        <v>102</v>
      </c>
      <c r="C246" s="100" t="s">
        <v>107</v>
      </c>
      <c r="D246" s="100">
        <v>1</v>
      </c>
      <c r="E246" s="100">
        <v>5000</v>
      </c>
      <c r="F246" s="99">
        <v>0.51229999999999998</v>
      </c>
      <c r="G246" s="101">
        <f>E246*12*F246</f>
        <v>30738</v>
      </c>
      <c r="H246" s="100">
        <v>236</v>
      </c>
      <c r="I246" s="100">
        <v>829</v>
      </c>
      <c r="J246" s="100">
        <v>533</v>
      </c>
      <c r="K246" s="99">
        <v>0.51229999999999998</v>
      </c>
      <c r="L246" s="99">
        <f>(J246*$N$1)+$O$1</f>
        <v>0.42737520700785353</v>
      </c>
    </row>
    <row r="247" spans="1:12">
      <c r="A247" s="100" t="s">
        <v>403</v>
      </c>
      <c r="B247" s="100" t="s">
        <v>102</v>
      </c>
      <c r="C247" s="100" t="s">
        <v>107</v>
      </c>
      <c r="D247" s="100">
        <v>2</v>
      </c>
      <c r="E247" s="100">
        <v>6000</v>
      </c>
      <c r="F247" s="99">
        <v>0.36990000000000001</v>
      </c>
      <c r="G247" s="101">
        <f>E247*12*F247</f>
        <v>26632.799999999999</v>
      </c>
      <c r="H247" s="100">
        <v>244</v>
      </c>
      <c r="I247" s="100">
        <v>872</v>
      </c>
      <c r="J247" s="100">
        <v>566</v>
      </c>
      <c r="K247" s="99">
        <v>0.36990000000000001</v>
      </c>
      <c r="L247" s="99">
        <f>(J247*$N$1)+$O$1</f>
        <v>0.4223552498161513</v>
      </c>
    </row>
  </sheetData>
  <pageMargins left="0.75" right="0.75" top="1" bottom="1" header="0.5" footer="0.5"/>
  <pageSetup orientation="portrait" horizontalDpi="4294967292" verticalDpi="429496729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887E1-4F52-4FCC-9C4F-3181625854EA}">
  <sheetPr codeName="Sheet2"/>
  <dimension ref="A1:AU247"/>
  <sheetViews>
    <sheetView topLeftCell="C1" workbookViewId="0">
      <selection activeCell="K4" sqref="K4:K247"/>
    </sheetView>
  </sheetViews>
  <sheetFormatPr defaultColWidth="11" defaultRowHeight="15.75"/>
  <cols>
    <col min="1" max="1" width="22.125" customWidth="1"/>
    <col min="3" max="3" width="38.5" customWidth="1"/>
    <col min="4" max="4" width="26.125" customWidth="1"/>
    <col min="5" max="5" width="33.875" customWidth="1"/>
    <col min="6" max="6" width="18.125" customWidth="1"/>
    <col min="7" max="7" width="39.125" style="4" customWidth="1"/>
    <col min="8" max="8" width="21.5" customWidth="1"/>
    <col min="9" max="9" width="25.625" customWidth="1"/>
    <col min="10" max="10" width="21.375" customWidth="1"/>
    <col min="11" max="11" width="27.875" style="12" customWidth="1"/>
    <col min="12" max="12" width="18.5" customWidth="1"/>
    <col min="13" max="13" width="27.625" customWidth="1"/>
    <col min="14" max="14" width="62.375" customWidth="1"/>
    <col min="15" max="15" width="37.625" style="12" customWidth="1"/>
    <col min="16" max="16" width="44.375" customWidth="1"/>
    <col min="17" max="17" width="32.875" customWidth="1"/>
    <col min="18" max="18" width="20.5" customWidth="1"/>
  </cols>
  <sheetData>
    <row r="1" spans="1:47">
      <c r="B1" t="s">
        <v>0</v>
      </c>
      <c r="C1" s="1" t="s">
        <v>1</v>
      </c>
      <c r="D1" s="2" t="s">
        <v>2</v>
      </c>
      <c r="E1" s="3" t="s">
        <v>3</v>
      </c>
      <c r="K1" s="12" t="s">
        <v>528</v>
      </c>
      <c r="N1" s="39" t="s">
        <v>5</v>
      </c>
      <c r="O1" s="40" t="s">
        <v>6</v>
      </c>
      <c r="P1" s="111" t="s">
        <v>527</v>
      </c>
      <c r="Q1" s="111" t="s">
        <v>8</v>
      </c>
      <c r="R1" s="111" t="s">
        <v>526</v>
      </c>
    </row>
    <row r="2" spans="1:47">
      <c r="E2" t="s">
        <v>11</v>
      </c>
      <c r="F2" s="112">
        <f>AVERAGE(F4:F247)</f>
        <v>0.45601926229508161</v>
      </c>
      <c r="G2" s="13" t="s">
        <v>12</v>
      </c>
      <c r="H2" t="s">
        <v>13</v>
      </c>
      <c r="K2" s="12">
        <f>0.8</f>
        <v>0.8</v>
      </c>
      <c r="N2" s="44" t="s">
        <v>525</v>
      </c>
      <c r="O2" s="45" t="s">
        <v>15</v>
      </c>
      <c r="P2" s="111"/>
      <c r="Q2" s="2">
        <f>SLOPE(O4:O247,N4:N247)</f>
        <v>-0.79174774204954501</v>
      </c>
      <c r="R2" s="110">
        <f>INTERCEPT(O4:O247,N4:N247)</f>
        <v>0.85074687716932851</v>
      </c>
      <c r="S2" cm="1">
        <f t="array" ref="S2:T6">LINEST(O4:O247,N4:N247,TRUE,TRUE)</f>
        <v>-0.79174774204954435</v>
      </c>
      <c r="T2">
        <v>0.85074687716932806</v>
      </c>
    </row>
    <row r="3" spans="1:47" s="103" customFormat="1">
      <c r="A3" s="24" t="s">
        <v>27</v>
      </c>
      <c r="B3" s="24" t="s">
        <v>28</v>
      </c>
      <c r="C3" s="24" t="s">
        <v>29</v>
      </c>
      <c r="D3" s="24" t="s">
        <v>30</v>
      </c>
      <c r="E3" s="24" t="s">
        <v>31</v>
      </c>
      <c r="F3" s="24" t="s">
        <v>32</v>
      </c>
      <c r="G3" s="2" t="s">
        <v>33</v>
      </c>
      <c r="H3" s="24" t="s">
        <v>513</v>
      </c>
      <c r="I3" s="24" t="s">
        <v>35</v>
      </c>
      <c r="J3" s="24" t="s">
        <v>515</v>
      </c>
      <c r="K3" s="26" t="s">
        <v>514</v>
      </c>
      <c r="L3" s="28" t="s">
        <v>38</v>
      </c>
      <c r="M3" s="28" t="s">
        <v>524</v>
      </c>
      <c r="N3" s="48" t="s">
        <v>40</v>
      </c>
      <c r="O3" s="49" t="s">
        <v>35</v>
      </c>
      <c r="R3" s="109"/>
      <c r="S3">
        <v>4.9257019629035059E-2</v>
      </c>
      <c r="T3">
        <v>2.5620155250210001E-2</v>
      </c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</row>
    <row r="4" spans="1:47">
      <c r="A4" s="100" t="s">
        <v>96</v>
      </c>
      <c r="B4" s="100" t="s">
        <v>97</v>
      </c>
      <c r="C4" s="100" t="s">
        <v>98</v>
      </c>
      <c r="D4" s="100">
        <v>2</v>
      </c>
      <c r="E4" s="100">
        <v>1060</v>
      </c>
      <c r="F4" s="99">
        <v>0.16159999999999999</v>
      </c>
      <c r="G4" s="4">
        <f>((E4*12)*F4)</f>
        <v>2055.5520000000001</v>
      </c>
      <c r="H4" s="100">
        <v>148</v>
      </c>
      <c r="I4" s="99">
        <v>0.16159999999999999</v>
      </c>
      <c r="J4" s="100">
        <v>114</v>
      </c>
      <c r="K4" s="100">
        <v>153</v>
      </c>
      <c r="L4">
        <f>K4-J4</f>
        <v>39</v>
      </c>
      <c r="M4">
        <f>H4-J4</f>
        <v>34</v>
      </c>
      <c r="N4">
        <f>((($K$2*(M4))/(L4)))+0.1</f>
        <v>0.79743589743589749</v>
      </c>
      <c r="O4" s="108">
        <f>I4</f>
        <v>0.16159999999999999</v>
      </c>
      <c r="Q4">
        <f>RSQ(O4:O247,N4:N247)</f>
        <v>0.51635520429925885</v>
      </c>
      <c r="S4">
        <v>0.51635520429925952</v>
      </c>
      <c r="T4">
        <v>0.11407927068426504</v>
      </c>
    </row>
    <row r="5" spans="1:47">
      <c r="A5" s="100" t="s">
        <v>99</v>
      </c>
      <c r="B5" s="100" t="s">
        <v>100</v>
      </c>
      <c r="C5" s="100" t="s">
        <v>98</v>
      </c>
      <c r="D5" s="100">
        <v>2</v>
      </c>
      <c r="E5" s="100">
        <v>1200</v>
      </c>
      <c r="F5" s="99">
        <v>0.34789999999999999</v>
      </c>
      <c r="G5" s="4">
        <f>((E5*12)*F5)</f>
        <v>5009.76</v>
      </c>
      <c r="H5" s="100">
        <v>133</v>
      </c>
      <c r="I5" s="99">
        <v>0.34789999999999999</v>
      </c>
      <c r="J5" s="100">
        <v>111</v>
      </c>
      <c r="K5" s="100">
        <v>149</v>
      </c>
      <c r="L5">
        <f>K5-J5</f>
        <v>38</v>
      </c>
      <c r="M5">
        <f>H5-J5</f>
        <v>22</v>
      </c>
      <c r="N5">
        <f>((($K$2*(M5))/(L5)))+0.1</f>
        <v>0.56315789473684219</v>
      </c>
      <c r="O5" s="108">
        <f>I5</f>
        <v>0.34789999999999999</v>
      </c>
      <c r="S5">
        <v>258.36721608752646</v>
      </c>
      <c r="T5">
        <v>242</v>
      </c>
    </row>
    <row r="6" spans="1:47">
      <c r="A6" s="100" t="s">
        <v>101</v>
      </c>
      <c r="B6" s="100" t="s">
        <v>102</v>
      </c>
      <c r="C6" s="100" t="s">
        <v>98</v>
      </c>
      <c r="D6" s="100">
        <v>1</v>
      </c>
      <c r="E6" s="100">
        <v>3300</v>
      </c>
      <c r="F6" s="99">
        <v>0.39729999999999999</v>
      </c>
      <c r="G6" s="4">
        <f>((E6*12)*F6)</f>
        <v>15733.08</v>
      </c>
      <c r="H6" s="100">
        <v>372</v>
      </c>
      <c r="I6" s="99">
        <v>0.39729999999999999</v>
      </c>
      <c r="J6" s="100">
        <v>108</v>
      </c>
      <c r="K6" s="100">
        <v>610</v>
      </c>
      <c r="L6">
        <f>K6-J6</f>
        <v>502</v>
      </c>
      <c r="M6">
        <f>H6-J6</f>
        <v>264</v>
      </c>
      <c r="N6">
        <f>((($K$2*(M6))/(L6)))+0.1</f>
        <v>0.52071713147410359</v>
      </c>
      <c r="O6" s="108">
        <f>I6</f>
        <v>0.39729999999999999</v>
      </c>
      <c r="S6">
        <v>3.3624116195025864</v>
      </c>
      <c r="T6">
        <v>3.1494073599646231</v>
      </c>
    </row>
    <row r="7" spans="1:47">
      <c r="A7" s="100" t="s">
        <v>103</v>
      </c>
      <c r="B7" s="100" t="s">
        <v>104</v>
      </c>
      <c r="C7" s="100" t="s">
        <v>98</v>
      </c>
      <c r="D7" s="100">
        <v>1</v>
      </c>
      <c r="E7" s="100">
        <v>1400</v>
      </c>
      <c r="F7" s="99">
        <v>0.3644</v>
      </c>
      <c r="G7" s="4">
        <f>((E7*12)*F7)</f>
        <v>6121.92</v>
      </c>
      <c r="H7" s="100">
        <v>302</v>
      </c>
      <c r="I7" s="99">
        <v>0.3644</v>
      </c>
      <c r="J7" s="100">
        <v>178</v>
      </c>
      <c r="K7" s="100">
        <v>533</v>
      </c>
      <c r="L7">
        <f>K7-J7</f>
        <v>355</v>
      </c>
      <c r="M7">
        <f>H7-J7</f>
        <v>124</v>
      </c>
      <c r="N7">
        <f>((($K$2*(M7))/(L7)))+0.1</f>
        <v>0.37943661971830989</v>
      </c>
      <c r="O7" s="108">
        <f>I7</f>
        <v>0.3644</v>
      </c>
    </row>
    <row r="8" spans="1:47">
      <c r="A8" s="100" t="s">
        <v>105</v>
      </c>
      <c r="B8" s="100" t="s">
        <v>104</v>
      </c>
      <c r="C8" s="100" t="s">
        <v>98</v>
      </c>
      <c r="D8" s="100">
        <v>2</v>
      </c>
      <c r="E8" s="100">
        <v>2000</v>
      </c>
      <c r="F8" s="99">
        <v>0.41099999999999998</v>
      </c>
      <c r="G8" s="4">
        <f>((E8*12)*F8)</f>
        <v>9864</v>
      </c>
      <c r="H8" s="100">
        <v>429</v>
      </c>
      <c r="I8" s="99">
        <v>0.41099999999999998</v>
      </c>
      <c r="J8" s="100">
        <v>221</v>
      </c>
      <c r="K8" s="100">
        <v>617</v>
      </c>
      <c r="L8">
        <f>K8-J8</f>
        <v>396</v>
      </c>
      <c r="M8">
        <f>H8-J8</f>
        <v>208</v>
      </c>
      <c r="N8">
        <f>((($K$2*(M8))/(L8)))+0.1</f>
        <v>0.52020202020202022</v>
      </c>
      <c r="O8" s="108">
        <f>I8</f>
        <v>0.41099999999999998</v>
      </c>
    </row>
    <row r="9" spans="1:47">
      <c r="A9" s="100" t="s">
        <v>106</v>
      </c>
      <c r="B9" s="100" t="s">
        <v>104</v>
      </c>
      <c r="C9" s="100" t="s">
        <v>107</v>
      </c>
      <c r="D9" s="100">
        <v>1</v>
      </c>
      <c r="E9" s="100">
        <v>1600</v>
      </c>
      <c r="F9" s="99">
        <v>0.41099999999999998</v>
      </c>
      <c r="G9" s="4">
        <f>((E9*12)*F9)</f>
        <v>7891.2</v>
      </c>
      <c r="H9" s="100">
        <v>380</v>
      </c>
      <c r="I9" s="99">
        <v>0.41099999999999998</v>
      </c>
      <c r="J9" s="100">
        <v>202</v>
      </c>
      <c r="K9" s="100">
        <v>646</v>
      </c>
      <c r="L9">
        <f>K9-J9</f>
        <v>444</v>
      </c>
      <c r="M9">
        <f>H9-J9</f>
        <v>178</v>
      </c>
      <c r="N9">
        <f>((($K$2*(M9))/(L9)))+0.1</f>
        <v>0.42072072072072075</v>
      </c>
      <c r="O9" s="108">
        <f>I9</f>
        <v>0.41099999999999998</v>
      </c>
    </row>
    <row r="10" spans="1:47">
      <c r="A10" s="100" t="s">
        <v>108</v>
      </c>
      <c r="B10" s="100" t="s">
        <v>104</v>
      </c>
      <c r="C10" s="100" t="s">
        <v>107</v>
      </c>
      <c r="D10" s="100">
        <v>2</v>
      </c>
      <c r="E10" s="100">
        <v>2800</v>
      </c>
      <c r="F10" s="99">
        <v>0.52600000000000002</v>
      </c>
      <c r="G10" s="4">
        <f>((E10*12)*F10)</f>
        <v>17673.600000000002</v>
      </c>
      <c r="H10" s="100">
        <v>374</v>
      </c>
      <c r="I10" s="99">
        <v>0.52600000000000002</v>
      </c>
      <c r="J10" s="100">
        <v>197</v>
      </c>
      <c r="K10" s="100">
        <v>639</v>
      </c>
      <c r="L10">
        <f>K10-J10</f>
        <v>442</v>
      </c>
      <c r="M10">
        <f>H10-J10</f>
        <v>177</v>
      </c>
      <c r="N10">
        <f>((($K$2*(M10))/(L10)))+0.1</f>
        <v>0.42036199095022619</v>
      </c>
      <c r="O10" s="108">
        <f>I10</f>
        <v>0.52600000000000002</v>
      </c>
    </row>
    <row r="11" spans="1:47">
      <c r="A11" s="100" t="s">
        <v>109</v>
      </c>
      <c r="B11" s="100" t="s">
        <v>110</v>
      </c>
      <c r="C11" s="100" t="s">
        <v>98</v>
      </c>
      <c r="D11" s="100">
        <v>1</v>
      </c>
      <c r="E11" s="100">
        <v>1100</v>
      </c>
      <c r="F11" s="99">
        <v>0.43290000000000001</v>
      </c>
      <c r="G11" s="4">
        <f>((E11*12)*F11)</f>
        <v>5714.28</v>
      </c>
      <c r="H11" s="100">
        <v>386</v>
      </c>
      <c r="I11" s="99">
        <v>0.43290000000000001</v>
      </c>
      <c r="J11" s="100">
        <v>114</v>
      </c>
      <c r="K11" s="100">
        <v>477</v>
      </c>
      <c r="L11">
        <f>K11-J11</f>
        <v>363</v>
      </c>
      <c r="M11">
        <f>H11-J11</f>
        <v>272</v>
      </c>
      <c r="N11">
        <f>((($K$2*(M11))/(L11)))+0.1</f>
        <v>0.69944903581267226</v>
      </c>
      <c r="O11" s="108">
        <f>I11</f>
        <v>0.43290000000000001</v>
      </c>
    </row>
    <row r="12" spans="1:47">
      <c r="A12" s="100" t="s">
        <v>111</v>
      </c>
      <c r="B12" s="100" t="s">
        <v>110</v>
      </c>
      <c r="C12" s="100" t="s">
        <v>98</v>
      </c>
      <c r="D12" s="100">
        <v>2</v>
      </c>
      <c r="E12" s="100">
        <v>1900</v>
      </c>
      <c r="F12" s="99">
        <v>0.69589999999999996</v>
      </c>
      <c r="G12" s="4">
        <f>((E12*12)*F12)</f>
        <v>15866.519999999999</v>
      </c>
      <c r="H12" s="100">
        <v>212</v>
      </c>
      <c r="I12" s="99">
        <v>0.69589999999999996</v>
      </c>
      <c r="J12" s="100">
        <v>80</v>
      </c>
      <c r="K12" s="100">
        <v>583</v>
      </c>
      <c r="L12">
        <f>K12-J12</f>
        <v>503</v>
      </c>
      <c r="M12">
        <f>H12-J12</f>
        <v>132</v>
      </c>
      <c r="N12">
        <f>((($K$2*(M12))/(L12)))+0.1</f>
        <v>0.30994035785288276</v>
      </c>
      <c r="O12" s="108">
        <f>I12</f>
        <v>0.69589999999999996</v>
      </c>
    </row>
    <row r="13" spans="1:47">
      <c r="A13" s="100" t="s">
        <v>112</v>
      </c>
      <c r="B13" s="100" t="s">
        <v>110</v>
      </c>
      <c r="C13" s="100" t="s">
        <v>107</v>
      </c>
      <c r="D13" s="100">
        <v>1</v>
      </c>
      <c r="E13" s="100">
        <v>1800</v>
      </c>
      <c r="F13" s="99">
        <v>0.1096</v>
      </c>
      <c r="G13" s="4">
        <f>((E13*12)*F13)</f>
        <v>2367.36</v>
      </c>
      <c r="H13" s="100">
        <v>969</v>
      </c>
      <c r="I13" s="99">
        <v>0.1096</v>
      </c>
      <c r="J13" s="100">
        <v>239</v>
      </c>
      <c r="K13" s="100">
        <v>1431</v>
      </c>
      <c r="L13">
        <f>K13-J13</f>
        <v>1192</v>
      </c>
      <c r="M13">
        <f>H13-J13</f>
        <v>730</v>
      </c>
      <c r="N13">
        <f>((($K$2*(M13))/(L13)))+0.1</f>
        <v>0.58993288590604032</v>
      </c>
      <c r="O13" s="108">
        <f>I13</f>
        <v>0.1096</v>
      </c>
    </row>
    <row r="14" spans="1:47">
      <c r="A14" s="100" t="s">
        <v>113</v>
      </c>
      <c r="B14" s="100" t="s">
        <v>110</v>
      </c>
      <c r="C14" s="100" t="s">
        <v>107</v>
      </c>
      <c r="D14" s="100">
        <v>2</v>
      </c>
      <c r="E14" s="100">
        <v>3200</v>
      </c>
      <c r="F14" s="99">
        <v>0.22470000000000001</v>
      </c>
      <c r="G14" s="4">
        <f>((E14*12)*F14)</f>
        <v>8628.48</v>
      </c>
      <c r="H14" s="100">
        <v>885</v>
      </c>
      <c r="I14" s="99">
        <v>0.22470000000000001</v>
      </c>
      <c r="J14" s="100">
        <v>236</v>
      </c>
      <c r="K14" s="100">
        <v>1533</v>
      </c>
      <c r="L14">
        <f>K14-J14</f>
        <v>1297</v>
      </c>
      <c r="M14">
        <f>H14-J14</f>
        <v>649</v>
      </c>
      <c r="N14">
        <f>((($K$2*(M14))/(L14)))+0.1</f>
        <v>0.50030840400925214</v>
      </c>
      <c r="O14" s="108">
        <f>I14</f>
        <v>0.22470000000000001</v>
      </c>
    </row>
    <row r="15" spans="1:47">
      <c r="A15" s="100" t="s">
        <v>114</v>
      </c>
      <c r="B15" s="100" t="s">
        <v>115</v>
      </c>
      <c r="C15" s="100" t="s">
        <v>98</v>
      </c>
      <c r="D15" s="100">
        <v>1</v>
      </c>
      <c r="E15" s="100">
        <v>1000</v>
      </c>
      <c r="F15" s="99">
        <v>0.21920000000000001</v>
      </c>
      <c r="G15" s="4">
        <f>((E15*12)*F15)</f>
        <v>2630.4</v>
      </c>
      <c r="H15" s="100">
        <v>287</v>
      </c>
      <c r="I15" s="99">
        <v>0.21920000000000001</v>
      </c>
      <c r="J15" s="100">
        <v>138</v>
      </c>
      <c r="K15" s="100">
        <v>550</v>
      </c>
      <c r="L15">
        <f>K15-J15</f>
        <v>412</v>
      </c>
      <c r="M15">
        <f>H15-J15</f>
        <v>149</v>
      </c>
      <c r="N15">
        <f>((($K$2*(M15))/(L15)))+0.1</f>
        <v>0.38932038834951455</v>
      </c>
      <c r="O15" s="108">
        <f>I15</f>
        <v>0.21920000000000001</v>
      </c>
    </row>
    <row r="16" spans="1:47">
      <c r="A16" s="100" t="s">
        <v>116</v>
      </c>
      <c r="B16" s="100" t="s">
        <v>100</v>
      </c>
      <c r="C16" s="100" t="s">
        <v>107</v>
      </c>
      <c r="D16" s="100">
        <v>1</v>
      </c>
      <c r="E16" s="100">
        <v>1000</v>
      </c>
      <c r="F16" s="99">
        <v>0.39179999999999998</v>
      </c>
      <c r="G16" s="4">
        <f>((E16*12)*F16)</f>
        <v>4701.5999999999995</v>
      </c>
      <c r="H16" s="100">
        <v>206</v>
      </c>
      <c r="I16" s="99">
        <v>0.39179999999999998</v>
      </c>
      <c r="J16" s="100">
        <v>116</v>
      </c>
      <c r="K16" s="100">
        <v>296</v>
      </c>
      <c r="L16">
        <f>K16-J16</f>
        <v>180</v>
      </c>
      <c r="M16">
        <f>H16-J16</f>
        <v>90</v>
      </c>
      <c r="N16">
        <f>((($K$2*(M16))/(L16)))+0.1</f>
        <v>0.5</v>
      </c>
      <c r="O16" s="108">
        <f>I16</f>
        <v>0.39179999999999998</v>
      </c>
    </row>
    <row r="17" spans="1:15">
      <c r="A17" s="100" t="s">
        <v>117</v>
      </c>
      <c r="B17" s="100" t="s">
        <v>115</v>
      </c>
      <c r="C17" s="100" t="s">
        <v>98</v>
      </c>
      <c r="D17" s="100">
        <v>2</v>
      </c>
      <c r="E17" s="100">
        <v>1300</v>
      </c>
      <c r="F17" s="99">
        <v>0.53700000000000003</v>
      </c>
      <c r="G17" s="4">
        <f>((E17*12)*F17)</f>
        <v>8377.2000000000007</v>
      </c>
      <c r="H17" s="100">
        <v>462</v>
      </c>
      <c r="I17" s="99">
        <v>0.53700000000000003</v>
      </c>
      <c r="J17" s="100">
        <v>175</v>
      </c>
      <c r="K17" s="100">
        <v>917</v>
      </c>
      <c r="L17">
        <f>K17-J17</f>
        <v>742</v>
      </c>
      <c r="M17">
        <f>H17-J17</f>
        <v>287</v>
      </c>
      <c r="N17">
        <f>((($K$2*(M17))/(L17)))+0.1</f>
        <v>0.40943396226415096</v>
      </c>
      <c r="O17" s="108">
        <f>I17</f>
        <v>0.53700000000000003</v>
      </c>
    </row>
    <row r="18" spans="1:15">
      <c r="A18" s="100" t="s">
        <v>118</v>
      </c>
      <c r="B18" s="100" t="s">
        <v>115</v>
      </c>
      <c r="C18" s="100" t="s">
        <v>107</v>
      </c>
      <c r="D18" s="100">
        <v>1</v>
      </c>
      <c r="E18" s="100">
        <v>1200</v>
      </c>
      <c r="F18" s="99">
        <v>0.51229999999999998</v>
      </c>
      <c r="G18" s="4">
        <f>((E18*12)*F18)</f>
        <v>7377.12</v>
      </c>
      <c r="H18" s="100">
        <v>389</v>
      </c>
      <c r="I18" s="99">
        <v>0.51229999999999998</v>
      </c>
      <c r="J18" s="100">
        <v>130</v>
      </c>
      <c r="K18" s="100">
        <v>821</v>
      </c>
      <c r="L18">
        <f>K18-J18</f>
        <v>691</v>
      </c>
      <c r="M18">
        <f>H18-J18</f>
        <v>259</v>
      </c>
      <c r="N18">
        <f>((($K$2*(M18))/(L18)))+0.1</f>
        <v>0.39985528219971056</v>
      </c>
      <c r="O18" s="108">
        <f>I18</f>
        <v>0.51229999999999998</v>
      </c>
    </row>
    <row r="19" spans="1:15">
      <c r="A19" s="100" t="s">
        <v>119</v>
      </c>
      <c r="B19" s="100" t="s">
        <v>115</v>
      </c>
      <c r="C19" s="100" t="s">
        <v>107</v>
      </c>
      <c r="D19" s="100">
        <v>2</v>
      </c>
      <c r="E19" s="100">
        <v>1600</v>
      </c>
      <c r="F19" s="99">
        <v>0.36159999999999998</v>
      </c>
      <c r="G19" s="4">
        <f>((E19*12)*F19)</f>
        <v>6942.7199999999993</v>
      </c>
      <c r="H19" s="100">
        <v>678</v>
      </c>
      <c r="I19" s="99">
        <v>0.36159999999999998</v>
      </c>
      <c r="J19" s="100">
        <v>241</v>
      </c>
      <c r="K19" s="100">
        <v>866</v>
      </c>
      <c r="L19">
        <f>K19-J19</f>
        <v>625</v>
      </c>
      <c r="M19">
        <f>H19-J19</f>
        <v>437</v>
      </c>
      <c r="N19">
        <f>((($K$2*(M19))/(L19)))+0.1</f>
        <v>0.65936000000000006</v>
      </c>
      <c r="O19" s="108">
        <f>I19</f>
        <v>0.36159999999999998</v>
      </c>
    </row>
    <row r="20" spans="1:15">
      <c r="A20" s="100" t="s">
        <v>120</v>
      </c>
      <c r="B20" s="100" t="s">
        <v>121</v>
      </c>
      <c r="C20" s="100" t="s">
        <v>98</v>
      </c>
      <c r="D20" s="100">
        <v>1</v>
      </c>
      <c r="E20" s="100">
        <v>800</v>
      </c>
      <c r="F20" s="99">
        <v>0.84379999999999999</v>
      </c>
      <c r="G20" s="4">
        <f>((E20*12)*F20)</f>
        <v>8100.48</v>
      </c>
      <c r="H20" s="100">
        <v>163</v>
      </c>
      <c r="I20" s="99">
        <v>0.84379999999999999</v>
      </c>
      <c r="J20" s="100">
        <v>134</v>
      </c>
      <c r="K20" s="100">
        <v>288</v>
      </c>
      <c r="L20">
        <f>K20-J20</f>
        <v>154</v>
      </c>
      <c r="M20">
        <f>H20-J20</f>
        <v>29</v>
      </c>
      <c r="N20">
        <f>((($K$2*(M20))/(L20)))+0.1</f>
        <v>0.25064935064935068</v>
      </c>
      <c r="O20" s="108">
        <f>I20</f>
        <v>0.84379999999999999</v>
      </c>
    </row>
    <row r="21" spans="1:15">
      <c r="A21" s="100" t="s">
        <v>122</v>
      </c>
      <c r="B21" s="100" t="s">
        <v>121</v>
      </c>
      <c r="C21" s="100" t="s">
        <v>98</v>
      </c>
      <c r="D21" s="100">
        <v>2</v>
      </c>
      <c r="E21" s="100">
        <v>1200</v>
      </c>
      <c r="F21" s="99">
        <v>0.91510000000000002</v>
      </c>
      <c r="G21" s="4">
        <f>((E21*12)*F21)</f>
        <v>13177.44</v>
      </c>
      <c r="H21" s="100">
        <v>374</v>
      </c>
      <c r="I21" s="99">
        <v>0.91510000000000002</v>
      </c>
      <c r="J21" s="100">
        <v>234</v>
      </c>
      <c r="K21" s="100">
        <v>794</v>
      </c>
      <c r="L21">
        <f>K21-J21</f>
        <v>560</v>
      </c>
      <c r="M21">
        <f>H21-J21</f>
        <v>140</v>
      </c>
      <c r="N21">
        <f>((($K$2*(M21))/(L21)))+0.1</f>
        <v>0.30000000000000004</v>
      </c>
      <c r="O21" s="108">
        <f>I21</f>
        <v>0.91510000000000002</v>
      </c>
    </row>
    <row r="22" spans="1:15">
      <c r="A22" s="100" t="s">
        <v>123</v>
      </c>
      <c r="B22" s="100" t="s">
        <v>121</v>
      </c>
      <c r="C22" s="100" t="s">
        <v>107</v>
      </c>
      <c r="D22" s="100">
        <v>1</v>
      </c>
      <c r="E22" s="100">
        <v>900</v>
      </c>
      <c r="F22" s="99">
        <v>0.43009999999999998</v>
      </c>
      <c r="G22" s="4">
        <f>((E22*12)*F22)</f>
        <v>4645.08</v>
      </c>
      <c r="H22" s="100">
        <v>444</v>
      </c>
      <c r="I22" s="99">
        <v>0.43009999999999998</v>
      </c>
      <c r="J22" s="100">
        <v>252</v>
      </c>
      <c r="K22" s="100">
        <v>547</v>
      </c>
      <c r="L22">
        <f>K22-J22</f>
        <v>295</v>
      </c>
      <c r="M22">
        <f>H22-J22</f>
        <v>192</v>
      </c>
      <c r="N22">
        <f>((($K$2*(M22))/(L22)))+0.1</f>
        <v>0.62067796610169501</v>
      </c>
      <c r="O22" s="108">
        <f>I22</f>
        <v>0.43009999999999998</v>
      </c>
    </row>
    <row r="23" spans="1:15">
      <c r="A23" s="100" t="s">
        <v>124</v>
      </c>
      <c r="B23" s="100" t="s">
        <v>121</v>
      </c>
      <c r="C23" s="100" t="s">
        <v>107</v>
      </c>
      <c r="D23" s="100">
        <v>2</v>
      </c>
      <c r="E23" s="100">
        <v>1100</v>
      </c>
      <c r="F23" s="99">
        <v>0.48220000000000002</v>
      </c>
      <c r="G23" s="4">
        <f>((E23*12)*F23)</f>
        <v>6365.04</v>
      </c>
      <c r="H23" s="100">
        <v>426</v>
      </c>
      <c r="I23" s="99">
        <v>0.48220000000000002</v>
      </c>
      <c r="J23" s="100">
        <v>246</v>
      </c>
      <c r="K23" s="100">
        <v>616</v>
      </c>
      <c r="L23">
        <f>K23-J23</f>
        <v>370</v>
      </c>
      <c r="M23">
        <f>H23-J23</f>
        <v>180</v>
      </c>
      <c r="N23">
        <f>((($K$2*(M23))/(L23)))+0.1</f>
        <v>0.48918918918918919</v>
      </c>
      <c r="O23" s="108">
        <f>I23</f>
        <v>0.48220000000000002</v>
      </c>
    </row>
    <row r="24" spans="1:15">
      <c r="A24" s="100" t="s">
        <v>125</v>
      </c>
      <c r="B24" s="100" t="s">
        <v>126</v>
      </c>
      <c r="C24" s="100" t="s">
        <v>98</v>
      </c>
      <c r="D24" s="100">
        <v>1</v>
      </c>
      <c r="E24" s="100">
        <v>1000</v>
      </c>
      <c r="F24" s="99">
        <v>0.4904</v>
      </c>
      <c r="G24" s="4">
        <f>((E24*12)*F24)</f>
        <v>5884.8</v>
      </c>
      <c r="H24" s="100">
        <v>332</v>
      </c>
      <c r="I24" s="99">
        <v>0.4904</v>
      </c>
      <c r="J24" s="100">
        <v>171</v>
      </c>
      <c r="K24" s="100">
        <v>457</v>
      </c>
      <c r="L24">
        <f>K24-J24</f>
        <v>286</v>
      </c>
      <c r="M24">
        <f>H24-J24</f>
        <v>161</v>
      </c>
      <c r="N24">
        <f>((($K$2*(M24))/(L24)))+0.1</f>
        <v>0.55034965034965044</v>
      </c>
      <c r="O24" s="108">
        <f>I24</f>
        <v>0.4904</v>
      </c>
    </row>
    <row r="25" spans="1:15">
      <c r="A25" s="100" t="s">
        <v>127</v>
      </c>
      <c r="B25" s="100" t="s">
        <v>126</v>
      </c>
      <c r="C25" s="100" t="s">
        <v>98</v>
      </c>
      <c r="D25" s="100">
        <v>2</v>
      </c>
      <c r="E25" s="100">
        <v>1400</v>
      </c>
      <c r="F25" s="99">
        <v>0.52329999999999999</v>
      </c>
      <c r="G25" s="4">
        <f>((E25*12)*F25)</f>
        <v>8791.44</v>
      </c>
      <c r="H25" s="100">
        <v>430</v>
      </c>
      <c r="I25" s="99">
        <v>0.52329999999999999</v>
      </c>
      <c r="J25" s="100">
        <v>262</v>
      </c>
      <c r="K25" s="100">
        <v>567</v>
      </c>
      <c r="L25">
        <f>K25-J25</f>
        <v>305</v>
      </c>
      <c r="M25">
        <f>H25-J25</f>
        <v>168</v>
      </c>
      <c r="N25">
        <f>((($K$2*(M25))/(L25)))+0.1</f>
        <v>0.54065573770491804</v>
      </c>
      <c r="O25" s="108">
        <f>I25</f>
        <v>0.52329999999999999</v>
      </c>
    </row>
    <row r="26" spans="1:15">
      <c r="A26" s="100" t="s">
        <v>128</v>
      </c>
      <c r="B26" s="100" t="s">
        <v>126</v>
      </c>
      <c r="C26" s="100" t="s">
        <v>107</v>
      </c>
      <c r="D26" s="100">
        <v>1</v>
      </c>
      <c r="E26" s="100">
        <v>1500</v>
      </c>
      <c r="F26" s="99">
        <v>0.44929999999999998</v>
      </c>
      <c r="G26" s="4">
        <f>((E26*12)*F26)</f>
        <v>8087.4</v>
      </c>
      <c r="H26" s="100">
        <v>662</v>
      </c>
      <c r="I26" s="99">
        <v>0.44929999999999998</v>
      </c>
      <c r="J26" s="100">
        <v>229</v>
      </c>
      <c r="K26" s="100">
        <v>859</v>
      </c>
      <c r="L26">
        <f>K26-J26</f>
        <v>630</v>
      </c>
      <c r="M26">
        <f>H26-J26</f>
        <v>433</v>
      </c>
      <c r="N26">
        <f>((($K$2*(M26))/(L26)))+0.1</f>
        <v>0.64984126984126989</v>
      </c>
      <c r="O26" s="108">
        <f>I26</f>
        <v>0.44929999999999998</v>
      </c>
    </row>
    <row r="27" spans="1:15">
      <c r="A27" s="100" t="s">
        <v>129</v>
      </c>
      <c r="B27" s="100" t="s">
        <v>100</v>
      </c>
      <c r="C27" s="100" t="s">
        <v>107</v>
      </c>
      <c r="D27" s="100">
        <v>2</v>
      </c>
      <c r="E27" s="100">
        <v>1300</v>
      </c>
      <c r="F27" s="99">
        <v>0.6603</v>
      </c>
      <c r="G27" s="4">
        <f>((E27*12)*F27)</f>
        <v>10300.68</v>
      </c>
      <c r="H27" s="100">
        <v>186</v>
      </c>
      <c r="I27" s="99">
        <v>0.6603</v>
      </c>
      <c r="J27" s="100">
        <v>136</v>
      </c>
      <c r="K27" s="100">
        <v>336</v>
      </c>
      <c r="L27">
        <f>K27-J27</f>
        <v>200</v>
      </c>
      <c r="M27">
        <f>H27-J27</f>
        <v>50</v>
      </c>
      <c r="N27">
        <f>((($K$2*(M27))/(L27)))+0.1</f>
        <v>0.30000000000000004</v>
      </c>
      <c r="O27" s="108">
        <f>I27</f>
        <v>0.6603</v>
      </c>
    </row>
    <row r="28" spans="1:15">
      <c r="A28" s="100" t="s">
        <v>130</v>
      </c>
      <c r="B28" s="100" t="s">
        <v>126</v>
      </c>
      <c r="C28" s="100" t="s">
        <v>107</v>
      </c>
      <c r="D28" s="100">
        <v>2</v>
      </c>
      <c r="E28" s="100">
        <v>1600</v>
      </c>
      <c r="F28" s="99">
        <v>0.48770000000000002</v>
      </c>
      <c r="G28" s="4">
        <f>((E28*12)*F28)</f>
        <v>9363.84</v>
      </c>
      <c r="H28" s="100">
        <v>696</v>
      </c>
      <c r="I28" s="99">
        <v>0.48770000000000002</v>
      </c>
      <c r="J28" s="100">
        <v>449</v>
      </c>
      <c r="K28" s="100">
        <v>899</v>
      </c>
      <c r="L28">
        <f>K28-J28</f>
        <v>450</v>
      </c>
      <c r="M28">
        <f>H28-J28</f>
        <v>247</v>
      </c>
      <c r="N28">
        <f>((($K$2*(M28))/(L28)))+0.1</f>
        <v>0.53911111111111121</v>
      </c>
      <c r="O28" s="108">
        <f>I28</f>
        <v>0.48770000000000002</v>
      </c>
    </row>
    <row r="29" spans="1:15">
      <c r="A29" s="100" t="s">
        <v>131</v>
      </c>
      <c r="B29" s="100" t="s">
        <v>132</v>
      </c>
      <c r="C29" s="100" t="s">
        <v>98</v>
      </c>
      <c r="D29" s="100">
        <v>1</v>
      </c>
      <c r="E29" s="100">
        <v>600</v>
      </c>
      <c r="F29" s="99">
        <v>0.43840000000000001</v>
      </c>
      <c r="G29" s="4">
        <f>((E29*12)*F29)</f>
        <v>3156.48</v>
      </c>
      <c r="H29" s="100">
        <v>182</v>
      </c>
      <c r="I29" s="99">
        <v>0.43840000000000001</v>
      </c>
      <c r="J29" s="100">
        <v>132</v>
      </c>
      <c r="K29" s="100">
        <v>226</v>
      </c>
      <c r="L29">
        <f>K29-J29</f>
        <v>94</v>
      </c>
      <c r="M29">
        <f>H29-J29</f>
        <v>50</v>
      </c>
      <c r="N29">
        <f>((($K$2*(M29))/(L29)))+0.1</f>
        <v>0.52553191489361706</v>
      </c>
      <c r="O29" s="108">
        <f>I29</f>
        <v>0.43840000000000001</v>
      </c>
    </row>
    <row r="30" spans="1:15">
      <c r="A30" s="100" t="s">
        <v>133</v>
      </c>
      <c r="B30" s="100" t="s">
        <v>132</v>
      </c>
      <c r="C30" s="100" t="s">
        <v>98</v>
      </c>
      <c r="D30" s="100">
        <v>2</v>
      </c>
      <c r="E30" s="100">
        <v>800</v>
      </c>
      <c r="F30" s="99">
        <v>0.53149999999999997</v>
      </c>
      <c r="G30" s="4">
        <f>((E30*12)*F30)</f>
        <v>5102.3999999999996</v>
      </c>
      <c r="H30" s="100">
        <v>241</v>
      </c>
      <c r="I30" s="99">
        <v>0.53149999999999997</v>
      </c>
      <c r="J30" s="100">
        <v>157</v>
      </c>
      <c r="K30" s="100">
        <v>340</v>
      </c>
      <c r="L30">
        <f>K30-J30</f>
        <v>183</v>
      </c>
      <c r="M30">
        <f>H30-J30</f>
        <v>84</v>
      </c>
      <c r="N30">
        <f>((($K$2*(M30))/(L30)))+0.1</f>
        <v>0.46721311475409844</v>
      </c>
      <c r="O30" s="108">
        <f>I30</f>
        <v>0.53149999999999997</v>
      </c>
    </row>
    <row r="31" spans="1:15">
      <c r="A31" s="100" t="s">
        <v>134</v>
      </c>
      <c r="B31" s="100" t="s">
        <v>132</v>
      </c>
      <c r="C31" s="100" t="s">
        <v>107</v>
      </c>
      <c r="D31" s="100">
        <v>1</v>
      </c>
      <c r="E31" s="100">
        <v>700</v>
      </c>
      <c r="F31" s="99">
        <v>0.13969999999999999</v>
      </c>
      <c r="G31" s="4">
        <f>((E31*12)*F31)</f>
        <v>1173.48</v>
      </c>
      <c r="H31" s="100">
        <v>363</v>
      </c>
      <c r="I31" s="99">
        <v>0.13969999999999999</v>
      </c>
      <c r="J31" s="100">
        <v>215</v>
      </c>
      <c r="K31" s="100">
        <v>377</v>
      </c>
      <c r="L31">
        <f>K31-J31</f>
        <v>162</v>
      </c>
      <c r="M31">
        <f>H31-J31</f>
        <v>148</v>
      </c>
      <c r="N31">
        <f>((($K$2*(M31))/(L31)))+0.1</f>
        <v>0.83086419753086416</v>
      </c>
      <c r="O31" s="108">
        <f>I31</f>
        <v>0.13969999999999999</v>
      </c>
    </row>
    <row r="32" spans="1:15">
      <c r="A32" s="100" t="s">
        <v>135</v>
      </c>
      <c r="B32" s="100" t="s">
        <v>132</v>
      </c>
      <c r="C32" s="100" t="s">
        <v>107</v>
      </c>
      <c r="D32" s="100">
        <v>2</v>
      </c>
      <c r="E32" s="100">
        <v>1000</v>
      </c>
      <c r="F32" s="99">
        <v>0.46850000000000003</v>
      </c>
      <c r="G32" s="4">
        <f>((E32*12)*F32)</f>
        <v>5622</v>
      </c>
      <c r="H32" s="100">
        <v>301</v>
      </c>
      <c r="I32" s="99">
        <v>0.46850000000000003</v>
      </c>
      <c r="J32" s="100">
        <v>202</v>
      </c>
      <c r="K32" s="100">
        <v>374</v>
      </c>
      <c r="L32">
        <f>K32-J32</f>
        <v>172</v>
      </c>
      <c r="M32">
        <f>H32-J32</f>
        <v>99</v>
      </c>
      <c r="N32">
        <f>((($K$2*(M32))/(L32)))+0.1</f>
        <v>0.56046511627906981</v>
      </c>
      <c r="O32" s="108">
        <f>I32</f>
        <v>0.46850000000000003</v>
      </c>
    </row>
    <row r="33" spans="1:15">
      <c r="A33" s="100" t="s">
        <v>136</v>
      </c>
      <c r="B33" s="100" t="s">
        <v>137</v>
      </c>
      <c r="C33" s="100" t="s">
        <v>98</v>
      </c>
      <c r="D33" s="100">
        <v>1</v>
      </c>
      <c r="E33" s="100">
        <v>700</v>
      </c>
      <c r="F33" s="99">
        <v>0.50139999999999996</v>
      </c>
      <c r="G33" s="4">
        <f>((E33*12)*F33)</f>
        <v>4211.7599999999993</v>
      </c>
      <c r="H33" s="100">
        <v>212</v>
      </c>
      <c r="I33" s="99">
        <v>0.50139999999999996</v>
      </c>
      <c r="J33" s="100">
        <v>94</v>
      </c>
      <c r="K33" s="100">
        <v>356</v>
      </c>
      <c r="L33">
        <f>K33-J33</f>
        <v>262</v>
      </c>
      <c r="M33">
        <f>H33-J33</f>
        <v>118</v>
      </c>
      <c r="N33">
        <f>((($K$2*(M33))/(L33)))+0.1</f>
        <v>0.46030534351145036</v>
      </c>
      <c r="O33" s="108">
        <f>I33</f>
        <v>0.50139999999999996</v>
      </c>
    </row>
    <row r="34" spans="1:15">
      <c r="A34" s="100" t="s">
        <v>138</v>
      </c>
      <c r="B34" s="100" t="s">
        <v>137</v>
      </c>
      <c r="C34" s="100" t="s">
        <v>98</v>
      </c>
      <c r="D34" s="100">
        <v>2</v>
      </c>
      <c r="E34" s="100">
        <v>900</v>
      </c>
      <c r="F34" s="99">
        <v>0.30680000000000002</v>
      </c>
      <c r="G34" s="4">
        <f>((E34*12)*F34)</f>
        <v>3313.44</v>
      </c>
      <c r="H34" s="100">
        <v>340</v>
      </c>
      <c r="I34" s="99">
        <v>0.30680000000000002</v>
      </c>
      <c r="J34" s="100">
        <v>69</v>
      </c>
      <c r="K34" s="100">
        <v>485</v>
      </c>
      <c r="L34">
        <f>K34-J34</f>
        <v>416</v>
      </c>
      <c r="M34">
        <f>H34-J34</f>
        <v>271</v>
      </c>
      <c r="N34">
        <f>((($K$2*(M34))/(L34)))+0.1</f>
        <v>0.62115384615384617</v>
      </c>
      <c r="O34" s="108">
        <f>I34</f>
        <v>0.30680000000000002</v>
      </c>
    </row>
    <row r="35" spans="1:15">
      <c r="A35" s="100" t="s">
        <v>139</v>
      </c>
      <c r="B35" s="100" t="s">
        <v>137</v>
      </c>
      <c r="C35" s="100" t="s">
        <v>107</v>
      </c>
      <c r="D35" s="100">
        <v>1</v>
      </c>
      <c r="E35" s="100">
        <v>1000</v>
      </c>
      <c r="F35" s="99">
        <v>0.52049999999999996</v>
      </c>
      <c r="G35" s="4">
        <f>((E35*12)*F35)</f>
        <v>6246</v>
      </c>
      <c r="H35" s="100">
        <v>266</v>
      </c>
      <c r="I35" s="99">
        <v>0.52049999999999996</v>
      </c>
      <c r="J35" s="100">
        <v>84</v>
      </c>
      <c r="K35" s="100">
        <v>376</v>
      </c>
      <c r="L35">
        <f>K35-J35</f>
        <v>292</v>
      </c>
      <c r="M35">
        <f>H35-J35</f>
        <v>182</v>
      </c>
      <c r="N35">
        <f>((($K$2*(M35))/(L35)))+0.1</f>
        <v>0.59863013698630141</v>
      </c>
      <c r="O35" s="108">
        <f>I35</f>
        <v>0.52049999999999996</v>
      </c>
    </row>
    <row r="36" spans="1:15">
      <c r="A36" s="100" t="s">
        <v>140</v>
      </c>
      <c r="B36" s="100" t="s">
        <v>137</v>
      </c>
      <c r="C36" s="100" t="s">
        <v>107</v>
      </c>
      <c r="D36" s="100">
        <v>2</v>
      </c>
      <c r="E36" s="100">
        <v>1200</v>
      </c>
      <c r="F36" s="99">
        <v>0.1288</v>
      </c>
      <c r="G36" s="4">
        <f>((E36*12)*F36)</f>
        <v>1854.72</v>
      </c>
      <c r="H36" s="100">
        <v>442</v>
      </c>
      <c r="I36" s="99">
        <v>0.1288</v>
      </c>
      <c r="J36" s="100">
        <v>109</v>
      </c>
      <c r="K36" s="100">
        <v>490</v>
      </c>
      <c r="L36">
        <f>K36-J36</f>
        <v>381</v>
      </c>
      <c r="M36">
        <f>H36-J36</f>
        <v>333</v>
      </c>
      <c r="N36">
        <f>((($K$2*(M36))/(L36)))+0.1</f>
        <v>0.79921259842519687</v>
      </c>
      <c r="O36" s="108">
        <f>I36</f>
        <v>0.1288</v>
      </c>
    </row>
    <row r="37" spans="1:15">
      <c r="A37" s="100" t="s">
        <v>141</v>
      </c>
      <c r="B37" s="100" t="s">
        <v>142</v>
      </c>
      <c r="C37" s="100" t="s">
        <v>98</v>
      </c>
      <c r="D37" s="100">
        <v>1</v>
      </c>
      <c r="E37" s="100">
        <v>1200</v>
      </c>
      <c r="F37" s="99">
        <v>0.24110000000000001</v>
      </c>
      <c r="G37" s="4">
        <f>((E37*12)*F37)</f>
        <v>3471.84</v>
      </c>
      <c r="H37" s="100">
        <v>354</v>
      </c>
      <c r="I37" s="99">
        <v>0.24110000000000001</v>
      </c>
      <c r="J37" s="100">
        <v>145</v>
      </c>
      <c r="K37" s="100">
        <v>434</v>
      </c>
      <c r="L37">
        <f>K37-J37</f>
        <v>289</v>
      </c>
      <c r="M37">
        <f>H37-J37</f>
        <v>209</v>
      </c>
      <c r="N37">
        <f>((($K$2*(M37))/(L37)))+0.1</f>
        <v>0.67854671280276824</v>
      </c>
      <c r="O37" s="108">
        <f>I37</f>
        <v>0.24110000000000001</v>
      </c>
    </row>
    <row r="38" spans="1:15">
      <c r="A38" s="100" t="s">
        <v>143</v>
      </c>
      <c r="B38" s="100" t="s">
        <v>144</v>
      </c>
      <c r="C38" s="100" t="s">
        <v>98</v>
      </c>
      <c r="D38" s="100">
        <v>2</v>
      </c>
      <c r="E38" s="100">
        <v>920</v>
      </c>
      <c r="F38" s="99">
        <v>0.4521</v>
      </c>
      <c r="G38" s="4">
        <f>((E38*12)*F38)</f>
        <v>4991.1840000000002</v>
      </c>
      <c r="H38" s="100">
        <v>123</v>
      </c>
      <c r="I38" s="99">
        <v>0.4521</v>
      </c>
      <c r="J38" s="100">
        <v>111</v>
      </c>
      <c r="K38" s="100">
        <v>147</v>
      </c>
      <c r="L38">
        <f>K38-J38</f>
        <v>36</v>
      </c>
      <c r="M38">
        <f>H38-J38</f>
        <v>12</v>
      </c>
      <c r="N38">
        <f>((($K$2*(M38))/(L38)))+0.1</f>
        <v>0.3666666666666667</v>
      </c>
      <c r="O38" s="108">
        <f>I38</f>
        <v>0.4521</v>
      </c>
    </row>
    <row r="39" spans="1:15">
      <c r="A39" s="100" t="s">
        <v>145</v>
      </c>
      <c r="B39" s="100" t="s">
        <v>142</v>
      </c>
      <c r="C39" s="100" t="s">
        <v>98</v>
      </c>
      <c r="D39" s="100">
        <v>2</v>
      </c>
      <c r="E39" s="100">
        <v>1300</v>
      </c>
      <c r="F39" s="99">
        <v>0.47949999999999998</v>
      </c>
      <c r="G39" s="4">
        <f>((E39*12)*F39)</f>
        <v>7480.2</v>
      </c>
      <c r="H39" s="100">
        <v>377</v>
      </c>
      <c r="I39" s="99">
        <v>0.47949999999999998</v>
      </c>
      <c r="J39" s="100">
        <v>228</v>
      </c>
      <c r="K39" s="100">
        <v>457</v>
      </c>
      <c r="L39">
        <f>K39-J39</f>
        <v>229</v>
      </c>
      <c r="M39">
        <f>H39-J39</f>
        <v>149</v>
      </c>
      <c r="N39">
        <f>((($K$2*(M39))/(L39)))+0.1</f>
        <v>0.62052401746724895</v>
      </c>
      <c r="O39" s="108">
        <f>I39</f>
        <v>0.47949999999999998</v>
      </c>
    </row>
    <row r="40" spans="1:15">
      <c r="A40" s="100" t="s">
        <v>146</v>
      </c>
      <c r="B40" s="100" t="s">
        <v>142</v>
      </c>
      <c r="C40" s="100" t="s">
        <v>107</v>
      </c>
      <c r="D40" s="100">
        <v>1</v>
      </c>
      <c r="E40" s="100">
        <v>1100</v>
      </c>
      <c r="F40" s="99">
        <v>0.2712</v>
      </c>
      <c r="G40" s="4">
        <f>((E40*12)*F40)</f>
        <v>3579.84</v>
      </c>
      <c r="H40" s="100">
        <v>318</v>
      </c>
      <c r="I40" s="99">
        <v>0.2712</v>
      </c>
      <c r="J40" s="100">
        <v>90</v>
      </c>
      <c r="K40" s="100">
        <v>375</v>
      </c>
      <c r="L40">
        <f>K40-J40</f>
        <v>285</v>
      </c>
      <c r="M40">
        <f>H40-J40</f>
        <v>228</v>
      </c>
      <c r="N40">
        <f>((($K$2*(M40))/(L40)))+0.1</f>
        <v>0.74</v>
      </c>
      <c r="O40" s="108">
        <f>I40</f>
        <v>0.2712</v>
      </c>
    </row>
    <row r="41" spans="1:15">
      <c r="A41" s="100" t="s">
        <v>147</v>
      </c>
      <c r="B41" s="100" t="s">
        <v>142</v>
      </c>
      <c r="C41" s="100" t="s">
        <v>107</v>
      </c>
      <c r="D41" s="100">
        <v>2</v>
      </c>
      <c r="E41" s="100">
        <v>1200</v>
      </c>
      <c r="F41" s="99">
        <v>0.43009999999999998</v>
      </c>
      <c r="G41" s="4">
        <f>((E41*12)*F41)</f>
        <v>6193.44</v>
      </c>
      <c r="H41" s="100">
        <v>198</v>
      </c>
      <c r="I41" s="99">
        <v>0.43009999999999998</v>
      </c>
      <c r="J41" s="100">
        <v>128</v>
      </c>
      <c r="K41" s="100">
        <v>238</v>
      </c>
      <c r="L41">
        <f>K41-J41</f>
        <v>110</v>
      </c>
      <c r="M41">
        <f>H41-J41</f>
        <v>70</v>
      </c>
      <c r="N41">
        <f>((($K$2*(M41))/(L41)))+0.1</f>
        <v>0.60909090909090902</v>
      </c>
      <c r="O41" s="108">
        <f>I41</f>
        <v>0.43009999999999998</v>
      </c>
    </row>
    <row r="42" spans="1:15">
      <c r="A42" s="100" t="s">
        <v>148</v>
      </c>
      <c r="B42" s="100" t="s">
        <v>149</v>
      </c>
      <c r="C42" s="100" t="s">
        <v>98</v>
      </c>
      <c r="D42" s="100">
        <v>1</v>
      </c>
      <c r="E42" s="100">
        <v>1300</v>
      </c>
      <c r="F42" s="99">
        <v>0.56710000000000005</v>
      </c>
      <c r="G42" s="4">
        <f>((E42*12)*F42)</f>
        <v>8846.76</v>
      </c>
      <c r="H42" s="100">
        <v>149</v>
      </c>
      <c r="I42" s="99">
        <v>0.56710000000000005</v>
      </c>
      <c r="J42" s="100">
        <v>126</v>
      </c>
      <c r="K42" s="100">
        <v>188</v>
      </c>
      <c r="L42">
        <f>K42-J42</f>
        <v>62</v>
      </c>
      <c r="M42">
        <f>H42-J42</f>
        <v>23</v>
      </c>
      <c r="N42">
        <f>((($K$2*(M42))/(L42)))+0.1</f>
        <v>0.39677419354838717</v>
      </c>
      <c r="O42" s="108">
        <f>I42</f>
        <v>0.56710000000000005</v>
      </c>
    </row>
    <row r="43" spans="1:15">
      <c r="A43" s="100" t="s">
        <v>150</v>
      </c>
      <c r="B43" s="100" t="s">
        <v>149</v>
      </c>
      <c r="C43" s="100" t="s">
        <v>98</v>
      </c>
      <c r="D43" s="100">
        <v>2</v>
      </c>
      <c r="E43" s="100">
        <v>1700</v>
      </c>
      <c r="F43" s="99">
        <v>0.32050000000000001</v>
      </c>
      <c r="G43" s="4">
        <f>((E43*12)*F43)</f>
        <v>6538.2</v>
      </c>
      <c r="H43" s="100">
        <v>210</v>
      </c>
      <c r="I43" s="99">
        <v>0.32050000000000001</v>
      </c>
      <c r="J43" s="100">
        <v>152</v>
      </c>
      <c r="K43" s="100">
        <v>247</v>
      </c>
      <c r="L43">
        <f>K43-J43</f>
        <v>95</v>
      </c>
      <c r="M43">
        <f>H43-J43</f>
        <v>58</v>
      </c>
      <c r="N43">
        <f>((($K$2*(M43))/(L43)))+0.1</f>
        <v>0.58842105263157907</v>
      </c>
      <c r="O43" s="108">
        <f>I43</f>
        <v>0.32050000000000001</v>
      </c>
    </row>
    <row r="44" spans="1:15">
      <c r="A44" s="100" t="s">
        <v>151</v>
      </c>
      <c r="B44" s="100" t="s">
        <v>149</v>
      </c>
      <c r="C44" s="100" t="s">
        <v>107</v>
      </c>
      <c r="D44" s="100">
        <v>1</v>
      </c>
      <c r="E44" s="100">
        <v>1200</v>
      </c>
      <c r="F44" s="99">
        <v>0.44929999999999998</v>
      </c>
      <c r="G44" s="4">
        <f>((E44*12)*F44)</f>
        <v>6469.92</v>
      </c>
      <c r="H44" s="100">
        <v>187</v>
      </c>
      <c r="I44" s="99">
        <v>0.44929999999999998</v>
      </c>
      <c r="J44" s="100">
        <v>141</v>
      </c>
      <c r="K44" s="100">
        <v>263</v>
      </c>
      <c r="L44">
        <f>K44-J44</f>
        <v>122</v>
      </c>
      <c r="M44">
        <f>H44-J44</f>
        <v>46</v>
      </c>
      <c r="N44">
        <f>((($K$2*(M44))/(L44)))+0.1</f>
        <v>0.40163934426229508</v>
      </c>
      <c r="O44" s="108">
        <f>I44</f>
        <v>0.44929999999999998</v>
      </c>
    </row>
    <row r="45" spans="1:15">
      <c r="A45" s="100" t="s">
        <v>152</v>
      </c>
      <c r="B45" s="100" t="s">
        <v>149</v>
      </c>
      <c r="C45" s="100" t="s">
        <v>107</v>
      </c>
      <c r="D45" s="100">
        <v>2</v>
      </c>
      <c r="E45" s="100">
        <v>1900</v>
      </c>
      <c r="F45" s="99">
        <v>0.50960000000000005</v>
      </c>
      <c r="G45" s="4">
        <f>((E45*12)*F45)</f>
        <v>11618.880000000001</v>
      </c>
      <c r="H45" s="100">
        <v>225</v>
      </c>
      <c r="I45" s="99">
        <v>0.50960000000000005</v>
      </c>
      <c r="J45" s="100">
        <v>157</v>
      </c>
      <c r="K45" s="100">
        <v>314</v>
      </c>
      <c r="L45">
        <f>K45-J45</f>
        <v>157</v>
      </c>
      <c r="M45">
        <f>H45-J45</f>
        <v>68</v>
      </c>
      <c r="N45">
        <f>((($K$2*(M45))/(L45)))+0.1</f>
        <v>0.44649681528662422</v>
      </c>
      <c r="O45" s="108">
        <f>I45</f>
        <v>0.50960000000000005</v>
      </c>
    </row>
    <row r="46" spans="1:15">
      <c r="A46" s="100" t="s">
        <v>153</v>
      </c>
      <c r="B46" s="100" t="s">
        <v>154</v>
      </c>
      <c r="C46" s="100" t="s">
        <v>98</v>
      </c>
      <c r="D46" s="100">
        <v>1</v>
      </c>
      <c r="E46" s="100">
        <v>1000</v>
      </c>
      <c r="F46" s="99">
        <v>0.72050000000000003</v>
      </c>
      <c r="G46" s="4">
        <f>((E46*12)*F46)</f>
        <v>8646</v>
      </c>
      <c r="H46" s="100">
        <v>123</v>
      </c>
      <c r="I46" s="99">
        <v>0.72050000000000003</v>
      </c>
      <c r="J46" s="100">
        <v>93</v>
      </c>
      <c r="K46" s="100">
        <v>159</v>
      </c>
      <c r="L46">
        <f>K46-J46</f>
        <v>66</v>
      </c>
      <c r="M46">
        <f>H46-J46</f>
        <v>30</v>
      </c>
      <c r="N46">
        <f>((($K$2*(M46))/(L46)))+0.1</f>
        <v>0.46363636363636362</v>
      </c>
      <c r="O46" s="108">
        <f>I46</f>
        <v>0.72050000000000003</v>
      </c>
    </row>
    <row r="47" spans="1:15">
      <c r="A47" s="100" t="s">
        <v>155</v>
      </c>
      <c r="B47" s="100" t="s">
        <v>154</v>
      </c>
      <c r="C47" s="100" t="s">
        <v>98</v>
      </c>
      <c r="D47" s="100">
        <v>2</v>
      </c>
      <c r="E47" s="100">
        <v>1500</v>
      </c>
      <c r="F47" s="99">
        <v>0.49590000000000001</v>
      </c>
      <c r="G47" s="4">
        <f>((E47*12)*F47)</f>
        <v>8926.2000000000007</v>
      </c>
      <c r="H47" s="100">
        <v>263</v>
      </c>
      <c r="I47" s="99">
        <v>0.49590000000000001</v>
      </c>
      <c r="J47" s="100">
        <v>145</v>
      </c>
      <c r="K47" s="100">
        <v>462</v>
      </c>
      <c r="L47">
        <f>K47-J47</f>
        <v>317</v>
      </c>
      <c r="M47">
        <f>H47-J47</f>
        <v>118</v>
      </c>
      <c r="N47">
        <f>((($K$2*(M47))/(L47)))+0.1</f>
        <v>0.39779179810725551</v>
      </c>
      <c r="O47" s="108">
        <f>I47</f>
        <v>0.49590000000000001</v>
      </c>
    </row>
    <row r="48" spans="1:15">
      <c r="A48" s="100" t="s">
        <v>156</v>
      </c>
      <c r="B48" s="100" t="s">
        <v>154</v>
      </c>
      <c r="C48" s="100" t="s">
        <v>107</v>
      </c>
      <c r="D48" s="100">
        <v>1</v>
      </c>
      <c r="E48" s="100">
        <v>1300</v>
      </c>
      <c r="F48" s="99">
        <v>0.44929999999999998</v>
      </c>
      <c r="G48" s="4">
        <f>((E48*12)*F48)</f>
        <v>7009.08</v>
      </c>
      <c r="H48" s="100">
        <v>238</v>
      </c>
      <c r="I48" s="99">
        <v>0.44929999999999998</v>
      </c>
      <c r="J48" s="100">
        <v>181</v>
      </c>
      <c r="K48" s="100">
        <v>316</v>
      </c>
      <c r="L48">
        <f>K48-J48</f>
        <v>135</v>
      </c>
      <c r="M48">
        <f>H48-J48</f>
        <v>57</v>
      </c>
      <c r="N48">
        <f>((($K$2*(M48))/(L48)))+0.1</f>
        <v>0.43777777777777782</v>
      </c>
      <c r="O48" s="108">
        <f>I48</f>
        <v>0.44929999999999998</v>
      </c>
    </row>
    <row r="49" spans="1:15">
      <c r="A49" s="100" t="s">
        <v>157</v>
      </c>
      <c r="B49" s="100" t="s">
        <v>144</v>
      </c>
      <c r="C49" s="100" t="s">
        <v>107</v>
      </c>
      <c r="D49" s="100">
        <v>1</v>
      </c>
      <c r="E49" s="100">
        <v>850</v>
      </c>
      <c r="F49" s="99">
        <v>0.53149999999999997</v>
      </c>
      <c r="G49" s="4">
        <f>((E49*12)*F49)</f>
        <v>5421.2999999999993</v>
      </c>
      <c r="H49" s="100">
        <v>146</v>
      </c>
      <c r="I49" s="99">
        <v>0.53149999999999997</v>
      </c>
      <c r="J49" s="100">
        <v>96</v>
      </c>
      <c r="K49" s="100">
        <v>245</v>
      </c>
      <c r="L49">
        <f>K49-J49</f>
        <v>149</v>
      </c>
      <c r="M49">
        <f>H49-J49</f>
        <v>50</v>
      </c>
      <c r="N49">
        <f>((($K$2*(M49))/(L49)))+0.1</f>
        <v>0.36845637583892621</v>
      </c>
      <c r="O49" s="108">
        <f>I49</f>
        <v>0.53149999999999997</v>
      </c>
    </row>
    <row r="50" spans="1:15">
      <c r="A50" s="100" t="s">
        <v>158</v>
      </c>
      <c r="B50" s="100" t="s">
        <v>154</v>
      </c>
      <c r="C50" s="100" t="s">
        <v>107</v>
      </c>
      <c r="D50" s="100">
        <v>2</v>
      </c>
      <c r="E50" s="100">
        <v>1800</v>
      </c>
      <c r="F50" s="99">
        <v>0.1507</v>
      </c>
      <c r="G50" s="4">
        <f>((E50*12)*F50)</f>
        <v>3255.12</v>
      </c>
      <c r="H50" s="100">
        <v>349</v>
      </c>
      <c r="I50" s="99">
        <v>0.1507</v>
      </c>
      <c r="J50" s="100">
        <v>145</v>
      </c>
      <c r="K50" s="100">
        <v>412</v>
      </c>
      <c r="L50">
        <f>K50-J50</f>
        <v>267</v>
      </c>
      <c r="M50">
        <f>H50-J50</f>
        <v>204</v>
      </c>
      <c r="N50">
        <f>((($K$2*(M50))/(L50)))+0.1</f>
        <v>0.71123595505617987</v>
      </c>
      <c r="O50" s="108">
        <f>I50</f>
        <v>0.1507</v>
      </c>
    </row>
    <row r="51" spans="1:15">
      <c r="A51" s="100" t="s">
        <v>159</v>
      </c>
      <c r="B51" s="100" t="s">
        <v>160</v>
      </c>
      <c r="C51" s="100" t="s">
        <v>98</v>
      </c>
      <c r="D51" s="100">
        <v>1</v>
      </c>
      <c r="E51" s="100">
        <v>1100</v>
      </c>
      <c r="F51" s="99">
        <v>0.6</v>
      </c>
      <c r="G51" s="4">
        <f>((E51*12)*F51)</f>
        <v>7920</v>
      </c>
      <c r="H51" s="100">
        <v>147</v>
      </c>
      <c r="I51" s="99">
        <v>0.6</v>
      </c>
      <c r="J51" s="100">
        <v>99</v>
      </c>
      <c r="K51" s="100">
        <v>215</v>
      </c>
      <c r="L51">
        <f>K51-J51</f>
        <v>116</v>
      </c>
      <c r="M51">
        <f>H51-J51</f>
        <v>48</v>
      </c>
      <c r="N51">
        <f>((($K$2*(M51))/(L51)))+0.1</f>
        <v>0.43103448275862077</v>
      </c>
      <c r="O51" s="108">
        <f>I51</f>
        <v>0.6</v>
      </c>
    </row>
    <row r="52" spans="1:15">
      <c r="A52" s="100" t="s">
        <v>161</v>
      </c>
      <c r="B52" s="100" t="s">
        <v>160</v>
      </c>
      <c r="C52" s="100" t="s">
        <v>98</v>
      </c>
      <c r="D52" s="100">
        <v>2</v>
      </c>
      <c r="E52" s="100">
        <v>1400</v>
      </c>
      <c r="F52" s="99">
        <v>0.52600000000000002</v>
      </c>
      <c r="G52" s="4">
        <f>((E52*12)*F52)</f>
        <v>8836.8000000000011</v>
      </c>
      <c r="H52" s="100">
        <v>151</v>
      </c>
      <c r="I52" s="99">
        <v>0.52600000000000002</v>
      </c>
      <c r="J52" s="100">
        <v>120</v>
      </c>
      <c r="K52" s="100">
        <v>188</v>
      </c>
      <c r="L52">
        <f>K52-J52</f>
        <v>68</v>
      </c>
      <c r="M52">
        <f>H52-J52</f>
        <v>31</v>
      </c>
      <c r="N52">
        <f>((($K$2*(M52))/(L52)))+0.1</f>
        <v>0.46470588235294119</v>
      </c>
      <c r="O52" s="108">
        <f>I52</f>
        <v>0.52600000000000002</v>
      </c>
    </row>
    <row r="53" spans="1:15">
      <c r="A53" s="100" t="s">
        <v>162</v>
      </c>
      <c r="B53" s="100" t="s">
        <v>160</v>
      </c>
      <c r="C53" s="100" t="s">
        <v>107</v>
      </c>
      <c r="D53" s="100">
        <v>1</v>
      </c>
      <c r="E53" s="100">
        <v>1300</v>
      </c>
      <c r="F53" s="99">
        <v>0.21099999999999999</v>
      </c>
      <c r="G53" s="4">
        <f>((E53*12)*F53)</f>
        <v>3291.6</v>
      </c>
      <c r="H53" s="100">
        <v>429</v>
      </c>
      <c r="I53" s="99">
        <v>0.21099999999999999</v>
      </c>
      <c r="J53" s="100">
        <v>263</v>
      </c>
      <c r="K53" s="100">
        <v>489</v>
      </c>
      <c r="L53">
        <f>K53-J53</f>
        <v>226</v>
      </c>
      <c r="M53">
        <f>H53-J53</f>
        <v>166</v>
      </c>
      <c r="N53">
        <f>((($K$2*(M53))/(L53)))+0.1</f>
        <v>0.68761061946902657</v>
      </c>
      <c r="O53" s="108">
        <f>I53</f>
        <v>0.21099999999999999</v>
      </c>
    </row>
    <row r="54" spans="1:15">
      <c r="A54" s="100" t="s">
        <v>163</v>
      </c>
      <c r="B54" s="100" t="s">
        <v>160</v>
      </c>
      <c r="C54" s="100" t="s">
        <v>107</v>
      </c>
      <c r="D54" s="100">
        <v>2</v>
      </c>
      <c r="E54" s="100">
        <v>1900</v>
      </c>
      <c r="F54" s="99">
        <v>0.33150000000000002</v>
      </c>
      <c r="G54" s="4">
        <f>((E54*12)*F54)</f>
        <v>7558.2000000000007</v>
      </c>
      <c r="H54" s="100">
        <v>441</v>
      </c>
      <c r="I54" s="99">
        <v>0.33150000000000002</v>
      </c>
      <c r="J54" s="100">
        <v>335</v>
      </c>
      <c r="K54" s="100">
        <v>502</v>
      </c>
      <c r="L54">
        <f>K54-J54</f>
        <v>167</v>
      </c>
      <c r="M54">
        <f>H54-J54</f>
        <v>106</v>
      </c>
      <c r="N54">
        <f>((($K$2*(M54))/(L54)))+0.1</f>
        <v>0.60778443113772462</v>
      </c>
      <c r="O54" s="108">
        <f>I54</f>
        <v>0.33150000000000002</v>
      </c>
    </row>
    <row r="55" spans="1:15">
      <c r="A55" s="100" t="s">
        <v>164</v>
      </c>
      <c r="B55" s="100" t="s">
        <v>165</v>
      </c>
      <c r="C55" s="100" t="s">
        <v>98</v>
      </c>
      <c r="D55" s="100">
        <v>1</v>
      </c>
      <c r="E55" s="100">
        <v>900</v>
      </c>
      <c r="F55" s="99">
        <v>0.32879999999999998</v>
      </c>
      <c r="G55" s="4">
        <f>((E55*12)*F55)</f>
        <v>3551.04</v>
      </c>
      <c r="H55" s="100">
        <v>144</v>
      </c>
      <c r="I55" s="99">
        <v>0.32879999999999998</v>
      </c>
      <c r="J55" s="100">
        <v>98</v>
      </c>
      <c r="K55" s="100">
        <v>195</v>
      </c>
      <c r="L55">
        <f>K55-J55</f>
        <v>97</v>
      </c>
      <c r="M55">
        <f>H55-J55</f>
        <v>46</v>
      </c>
      <c r="N55">
        <f>((($K$2*(M55))/(L55)))+0.1</f>
        <v>0.47938144329896915</v>
      </c>
      <c r="O55" s="108">
        <f>I55</f>
        <v>0.32879999999999998</v>
      </c>
    </row>
    <row r="56" spans="1:15">
      <c r="A56" s="100" t="s">
        <v>166</v>
      </c>
      <c r="B56" s="100" t="s">
        <v>165</v>
      </c>
      <c r="C56" s="100" t="s">
        <v>98</v>
      </c>
      <c r="D56" s="100">
        <v>2</v>
      </c>
      <c r="E56" s="100">
        <v>1400</v>
      </c>
      <c r="F56" s="99">
        <v>0.61919999999999997</v>
      </c>
      <c r="G56" s="4">
        <f>((E56*12)*F56)</f>
        <v>10402.56</v>
      </c>
      <c r="H56" s="100">
        <v>136</v>
      </c>
      <c r="I56" s="99">
        <v>0.61919999999999997</v>
      </c>
      <c r="J56" s="100">
        <v>77</v>
      </c>
      <c r="K56" s="100">
        <v>260</v>
      </c>
      <c r="L56">
        <f>K56-J56</f>
        <v>183</v>
      </c>
      <c r="M56">
        <f>H56-J56</f>
        <v>59</v>
      </c>
      <c r="N56">
        <f>((($K$2*(M56))/(L56)))+0.1</f>
        <v>0.35792349726775963</v>
      </c>
      <c r="O56" s="108">
        <f>I56</f>
        <v>0.61919999999999997</v>
      </c>
    </row>
    <row r="57" spans="1:15">
      <c r="A57" s="100" t="s">
        <v>167</v>
      </c>
      <c r="B57" s="100" t="s">
        <v>165</v>
      </c>
      <c r="C57" s="100" t="s">
        <v>107</v>
      </c>
      <c r="D57" s="100">
        <v>1</v>
      </c>
      <c r="E57" s="100">
        <v>1400</v>
      </c>
      <c r="F57" s="99">
        <v>0.2712</v>
      </c>
      <c r="G57" s="4">
        <f>((E57*12)*F57)</f>
        <v>4556.16</v>
      </c>
      <c r="H57" s="100">
        <v>305</v>
      </c>
      <c r="I57" s="99">
        <v>0.2712</v>
      </c>
      <c r="J57" s="100">
        <v>173</v>
      </c>
      <c r="K57" s="100">
        <v>322</v>
      </c>
      <c r="L57">
        <f>K57-J57</f>
        <v>149</v>
      </c>
      <c r="M57">
        <f>H57-J57</f>
        <v>132</v>
      </c>
      <c r="N57">
        <f>((($K$2*(M57))/(L57)))+0.1</f>
        <v>0.8087248322147651</v>
      </c>
      <c r="O57" s="108">
        <f>I57</f>
        <v>0.2712</v>
      </c>
    </row>
    <row r="58" spans="1:15">
      <c r="A58" s="100" t="s">
        <v>168</v>
      </c>
      <c r="B58" s="100" t="s">
        <v>165</v>
      </c>
      <c r="C58" s="100" t="s">
        <v>107</v>
      </c>
      <c r="D58" s="100">
        <v>2</v>
      </c>
      <c r="E58" s="100">
        <v>1700</v>
      </c>
      <c r="F58" s="99">
        <v>0.32879999999999998</v>
      </c>
      <c r="G58" s="4">
        <f>((E58*12)*F58)</f>
        <v>6707.5199999999995</v>
      </c>
      <c r="H58" s="100">
        <v>425</v>
      </c>
      <c r="I58" s="99">
        <v>0.32879999999999998</v>
      </c>
      <c r="J58" s="100">
        <v>176</v>
      </c>
      <c r="K58" s="100">
        <v>469</v>
      </c>
      <c r="L58">
        <f>K58-J58</f>
        <v>293</v>
      </c>
      <c r="M58">
        <f>H58-J58</f>
        <v>249</v>
      </c>
      <c r="N58">
        <f>((($K$2*(M58))/(L58)))+0.1</f>
        <v>0.779863481228669</v>
      </c>
      <c r="O58" s="108">
        <f>I58</f>
        <v>0.32879999999999998</v>
      </c>
    </row>
    <row r="59" spans="1:15">
      <c r="A59" s="100" t="s">
        <v>169</v>
      </c>
      <c r="B59" s="100" t="s">
        <v>170</v>
      </c>
      <c r="C59" s="100" t="s">
        <v>98</v>
      </c>
      <c r="D59" s="100">
        <v>1</v>
      </c>
      <c r="E59" s="100">
        <v>800</v>
      </c>
      <c r="F59" s="99">
        <v>0.41370000000000001</v>
      </c>
      <c r="G59" s="4">
        <f>((E59*12)*F59)</f>
        <v>3971.52</v>
      </c>
      <c r="H59" s="100">
        <v>176</v>
      </c>
      <c r="I59" s="99">
        <v>0.41370000000000001</v>
      </c>
      <c r="J59" s="100">
        <v>86</v>
      </c>
      <c r="K59" s="100">
        <v>224</v>
      </c>
      <c r="L59">
        <f>K59-J59</f>
        <v>138</v>
      </c>
      <c r="M59">
        <f>H59-J59</f>
        <v>90</v>
      </c>
      <c r="N59">
        <f>((($K$2*(M59))/(L59)))+0.1</f>
        <v>0.62173913043478257</v>
      </c>
      <c r="O59" s="108">
        <f>I59</f>
        <v>0.41370000000000001</v>
      </c>
    </row>
    <row r="60" spans="1:15">
      <c r="A60" s="100" t="s">
        <v>171</v>
      </c>
      <c r="B60" s="100" t="s">
        <v>144</v>
      </c>
      <c r="C60" s="100" t="s">
        <v>107</v>
      </c>
      <c r="D60" s="100">
        <v>2</v>
      </c>
      <c r="E60" s="100">
        <v>900</v>
      </c>
      <c r="F60" s="99">
        <v>0.47949999999999998</v>
      </c>
      <c r="G60" s="4">
        <f>((E60*12)*F60)</f>
        <v>5178.5999999999995</v>
      </c>
      <c r="H60" s="100">
        <v>169</v>
      </c>
      <c r="I60" s="99">
        <v>0.47949999999999998</v>
      </c>
      <c r="J60" s="100">
        <v>111</v>
      </c>
      <c r="K60" s="100">
        <v>276</v>
      </c>
      <c r="L60">
        <f>K60-J60</f>
        <v>165</v>
      </c>
      <c r="M60">
        <f>H60-J60</f>
        <v>58</v>
      </c>
      <c r="N60">
        <f>((($K$2*(M60))/(L60)))+0.1</f>
        <v>0.38121212121212122</v>
      </c>
      <c r="O60" s="108">
        <f>I60</f>
        <v>0.47949999999999998</v>
      </c>
    </row>
    <row r="61" spans="1:15">
      <c r="A61" s="100" t="s">
        <v>172</v>
      </c>
      <c r="B61" s="100" t="s">
        <v>170</v>
      </c>
      <c r="C61" s="100" t="s">
        <v>98</v>
      </c>
      <c r="D61" s="100">
        <v>2</v>
      </c>
      <c r="E61" s="100">
        <v>1300</v>
      </c>
      <c r="F61" s="99">
        <v>0.63009999999999999</v>
      </c>
      <c r="G61" s="4">
        <f>((E61*12)*F61)</f>
        <v>9829.56</v>
      </c>
      <c r="H61" s="100">
        <v>207</v>
      </c>
      <c r="I61" s="99">
        <v>0.63009999999999999</v>
      </c>
      <c r="J61" s="100">
        <v>127</v>
      </c>
      <c r="K61" s="100">
        <v>276</v>
      </c>
      <c r="L61">
        <f>K61-J61</f>
        <v>149</v>
      </c>
      <c r="M61">
        <f>H61-J61</f>
        <v>80</v>
      </c>
      <c r="N61">
        <f>((($K$2*(M61))/(L61)))+0.1</f>
        <v>0.5295302013422819</v>
      </c>
      <c r="O61" s="108">
        <f>I61</f>
        <v>0.63009999999999999</v>
      </c>
    </row>
    <row r="62" spans="1:15">
      <c r="A62" s="100" t="s">
        <v>173</v>
      </c>
      <c r="B62" s="100" t="s">
        <v>170</v>
      </c>
      <c r="C62" s="100" t="s">
        <v>107</v>
      </c>
      <c r="D62" s="100">
        <v>1</v>
      </c>
      <c r="E62" s="100">
        <v>1400</v>
      </c>
      <c r="F62" s="99">
        <v>0.90410000000000001</v>
      </c>
      <c r="G62" s="4">
        <f>((E62*12)*F62)</f>
        <v>15188.880000000001</v>
      </c>
      <c r="H62" s="100">
        <v>244</v>
      </c>
      <c r="I62" s="99">
        <v>0.90410000000000001</v>
      </c>
      <c r="J62" s="100">
        <v>222</v>
      </c>
      <c r="K62" s="100">
        <v>381</v>
      </c>
      <c r="L62">
        <f>K62-J62</f>
        <v>159</v>
      </c>
      <c r="M62">
        <f>H62-J62</f>
        <v>22</v>
      </c>
      <c r="N62">
        <f>((($K$2*(M62))/(L62)))+0.1</f>
        <v>0.21069182389937108</v>
      </c>
      <c r="O62" s="108">
        <f>I62</f>
        <v>0.90410000000000001</v>
      </c>
    </row>
    <row r="63" spans="1:15">
      <c r="A63" s="100" t="s">
        <v>174</v>
      </c>
      <c r="B63" s="100" t="s">
        <v>170</v>
      </c>
      <c r="C63" s="100" t="s">
        <v>107</v>
      </c>
      <c r="D63" s="100">
        <v>2</v>
      </c>
      <c r="E63" s="100">
        <v>1900</v>
      </c>
      <c r="F63" s="99">
        <v>0.54249999999999998</v>
      </c>
      <c r="G63" s="4">
        <f>((E63*12)*F63)</f>
        <v>12369</v>
      </c>
      <c r="H63" s="100">
        <v>536</v>
      </c>
      <c r="I63" s="99">
        <v>0.54249999999999998</v>
      </c>
      <c r="J63" s="100">
        <v>386</v>
      </c>
      <c r="K63" s="100">
        <v>773</v>
      </c>
      <c r="L63">
        <f>K63-J63</f>
        <v>387</v>
      </c>
      <c r="M63">
        <f>H63-J63</f>
        <v>150</v>
      </c>
      <c r="N63">
        <f>((($K$2*(M63))/(L63)))+0.1</f>
        <v>0.41007751937984493</v>
      </c>
      <c r="O63" s="108">
        <f>I63</f>
        <v>0.54249999999999998</v>
      </c>
    </row>
    <row r="64" spans="1:15">
      <c r="A64" s="100" t="s">
        <v>175</v>
      </c>
      <c r="B64" s="100" t="s">
        <v>176</v>
      </c>
      <c r="C64" s="100" t="s">
        <v>98</v>
      </c>
      <c r="D64" s="100">
        <v>1</v>
      </c>
      <c r="E64" s="100">
        <v>1700</v>
      </c>
      <c r="F64" s="99">
        <v>7.9500000000000001E-2</v>
      </c>
      <c r="G64" s="4">
        <f>((E64*12)*F64)</f>
        <v>1621.8</v>
      </c>
      <c r="H64" s="100">
        <v>476</v>
      </c>
      <c r="I64" s="99">
        <v>7.9500000000000001E-2</v>
      </c>
      <c r="J64" s="100">
        <v>136</v>
      </c>
      <c r="K64" s="100">
        <v>476</v>
      </c>
      <c r="L64">
        <f>K64-J64</f>
        <v>340</v>
      </c>
      <c r="M64">
        <f>H64-J64</f>
        <v>340</v>
      </c>
      <c r="N64">
        <f>((($K$2*(M64))/(L64)))+0.1</f>
        <v>0.9</v>
      </c>
      <c r="O64" s="108">
        <f>I64</f>
        <v>7.9500000000000001E-2</v>
      </c>
    </row>
    <row r="65" spans="1:15">
      <c r="A65" s="100" t="s">
        <v>177</v>
      </c>
      <c r="B65" s="100" t="s">
        <v>176</v>
      </c>
      <c r="C65" s="100" t="s">
        <v>98</v>
      </c>
      <c r="D65" s="100">
        <v>2</v>
      </c>
      <c r="E65" s="100">
        <v>2400</v>
      </c>
      <c r="F65" s="99">
        <v>0.55069999999999997</v>
      </c>
      <c r="G65" s="4">
        <f>((E65*12)*F65)</f>
        <v>15860.16</v>
      </c>
      <c r="H65" s="100">
        <v>360</v>
      </c>
      <c r="I65" s="99">
        <v>0.55069999999999997</v>
      </c>
      <c r="J65" s="100">
        <v>173</v>
      </c>
      <c r="K65" s="100">
        <v>690</v>
      </c>
      <c r="L65">
        <f>K65-J65</f>
        <v>517</v>
      </c>
      <c r="M65">
        <f>H65-J65</f>
        <v>187</v>
      </c>
      <c r="N65">
        <f>((($K$2*(M65))/(L65)))+0.1</f>
        <v>0.38936170212765953</v>
      </c>
      <c r="O65" s="108">
        <f>I65</f>
        <v>0.55069999999999997</v>
      </c>
    </row>
    <row r="66" spans="1:15">
      <c r="A66" s="100" t="s">
        <v>178</v>
      </c>
      <c r="B66" s="100" t="s">
        <v>176</v>
      </c>
      <c r="C66" s="100" t="s">
        <v>107</v>
      </c>
      <c r="D66" s="100">
        <v>1</v>
      </c>
      <c r="E66" s="100">
        <v>2100</v>
      </c>
      <c r="F66" s="99">
        <v>0.69320000000000004</v>
      </c>
      <c r="G66" s="4">
        <f>((E66*12)*F66)</f>
        <v>17468.64</v>
      </c>
      <c r="H66" s="100">
        <v>1477</v>
      </c>
      <c r="I66" s="99">
        <v>0.69320000000000004</v>
      </c>
      <c r="J66" s="100">
        <v>448</v>
      </c>
      <c r="K66" s="100">
        <v>2128</v>
      </c>
      <c r="L66">
        <f>K66-J66</f>
        <v>1680</v>
      </c>
      <c r="M66">
        <f>H66-J66</f>
        <v>1029</v>
      </c>
      <c r="N66">
        <f>((($K$2*(M66))/(L66)))+0.1</f>
        <v>0.59000000000000008</v>
      </c>
      <c r="O66" s="108">
        <f>I66</f>
        <v>0.69320000000000004</v>
      </c>
    </row>
    <row r="67" spans="1:15">
      <c r="A67" s="100" t="s">
        <v>179</v>
      </c>
      <c r="B67" s="100" t="s">
        <v>176</v>
      </c>
      <c r="C67" s="100" t="s">
        <v>107</v>
      </c>
      <c r="D67" s="100">
        <v>2</v>
      </c>
      <c r="E67" s="100">
        <v>3200</v>
      </c>
      <c r="F67" s="99">
        <v>0.71509999999999996</v>
      </c>
      <c r="G67" s="4">
        <f>((E67*12)*F67)</f>
        <v>27459.84</v>
      </c>
      <c r="H67" s="100">
        <v>1265</v>
      </c>
      <c r="I67" s="99">
        <v>0.71509999999999996</v>
      </c>
      <c r="J67" s="100">
        <v>450</v>
      </c>
      <c r="K67" s="100">
        <v>2699</v>
      </c>
      <c r="L67">
        <f>K67-J67</f>
        <v>2249</v>
      </c>
      <c r="M67">
        <f>H67-J67</f>
        <v>815</v>
      </c>
      <c r="N67">
        <f>((($K$2*(M67))/(L67)))+0.1</f>
        <v>0.38990662516674079</v>
      </c>
      <c r="O67" s="108">
        <f>I67</f>
        <v>0.71509999999999996</v>
      </c>
    </row>
    <row r="68" spans="1:15">
      <c r="A68" s="100" t="s">
        <v>180</v>
      </c>
      <c r="B68" s="100" t="s">
        <v>181</v>
      </c>
      <c r="C68" s="100" t="s">
        <v>98</v>
      </c>
      <c r="D68" s="100">
        <v>1</v>
      </c>
      <c r="E68" s="100">
        <v>1300</v>
      </c>
      <c r="F68" s="99">
        <v>0.52049999999999996</v>
      </c>
      <c r="G68" s="4">
        <f>((E68*12)*F68)</f>
        <v>8119.7999999999993</v>
      </c>
      <c r="H68" s="100">
        <v>328</v>
      </c>
      <c r="I68" s="99">
        <v>0.52049999999999996</v>
      </c>
      <c r="J68" s="100">
        <v>291</v>
      </c>
      <c r="K68" s="100">
        <v>387</v>
      </c>
      <c r="L68">
        <f>K68-J68</f>
        <v>96</v>
      </c>
      <c r="M68">
        <f>H68-J68</f>
        <v>37</v>
      </c>
      <c r="N68">
        <f>((($K$2*(M68))/(L68)))+0.1</f>
        <v>0.40833333333333333</v>
      </c>
      <c r="O68" s="108">
        <f>I68</f>
        <v>0.52049999999999996</v>
      </c>
    </row>
    <row r="69" spans="1:15">
      <c r="A69" s="100" t="s">
        <v>182</v>
      </c>
      <c r="B69" s="100" t="s">
        <v>181</v>
      </c>
      <c r="C69" s="100" t="s">
        <v>98</v>
      </c>
      <c r="D69" s="100">
        <v>2</v>
      </c>
      <c r="E69" s="100">
        <v>1700</v>
      </c>
      <c r="F69" s="99">
        <v>0.15890000000000001</v>
      </c>
      <c r="G69" s="4">
        <f>((E69*12)*F69)</f>
        <v>3241.5600000000004</v>
      </c>
      <c r="H69" s="100">
        <v>246</v>
      </c>
      <c r="I69" s="99">
        <v>0.15890000000000001</v>
      </c>
      <c r="J69" s="100">
        <v>203</v>
      </c>
      <c r="K69" s="100">
        <v>318</v>
      </c>
      <c r="L69">
        <f>K69-J69</f>
        <v>115</v>
      </c>
      <c r="M69">
        <f>H69-J69</f>
        <v>43</v>
      </c>
      <c r="N69">
        <f>((($K$2*(M69))/(L69)))+0.1</f>
        <v>0.39913043478260868</v>
      </c>
      <c r="O69" s="108">
        <f>I69</f>
        <v>0.15890000000000001</v>
      </c>
    </row>
    <row r="70" spans="1:15">
      <c r="A70" s="100" t="s">
        <v>183</v>
      </c>
      <c r="B70" s="100" t="s">
        <v>181</v>
      </c>
      <c r="C70" s="100" t="s">
        <v>107</v>
      </c>
      <c r="D70" s="100">
        <v>1</v>
      </c>
      <c r="E70" s="100">
        <v>1400</v>
      </c>
      <c r="F70" s="99">
        <v>0.54520000000000002</v>
      </c>
      <c r="G70" s="4">
        <f>((E70*12)*F70)</f>
        <v>9159.36</v>
      </c>
      <c r="H70" s="100">
        <v>325</v>
      </c>
      <c r="I70" s="99">
        <v>0.54520000000000002</v>
      </c>
      <c r="J70" s="100">
        <v>287</v>
      </c>
      <c r="K70" s="100">
        <v>395</v>
      </c>
      <c r="L70">
        <f>K70-J70</f>
        <v>108</v>
      </c>
      <c r="M70">
        <f>H70-J70</f>
        <v>38</v>
      </c>
      <c r="N70">
        <f>((($K$2*(M70))/(L70)))+0.1</f>
        <v>0.38148148148148153</v>
      </c>
      <c r="O70" s="108">
        <f>I70</f>
        <v>0.54520000000000002</v>
      </c>
    </row>
    <row r="71" spans="1:15">
      <c r="A71" s="100" t="s">
        <v>184</v>
      </c>
      <c r="B71" s="100" t="s">
        <v>144</v>
      </c>
      <c r="C71" s="100" t="s">
        <v>98</v>
      </c>
      <c r="D71" s="100">
        <v>1</v>
      </c>
      <c r="E71" s="100">
        <v>750</v>
      </c>
      <c r="F71" s="99">
        <v>0.47949999999999998</v>
      </c>
      <c r="G71" s="4">
        <f>((E71*12)*F71)</f>
        <v>4315.5</v>
      </c>
      <c r="H71" s="100">
        <v>94</v>
      </c>
      <c r="I71" s="99">
        <v>0.47949999999999998</v>
      </c>
      <c r="J71" s="100">
        <v>51</v>
      </c>
      <c r="K71" s="100">
        <v>179</v>
      </c>
      <c r="L71">
        <f>K71-J71</f>
        <v>128</v>
      </c>
      <c r="M71">
        <f>H71-J71</f>
        <v>43</v>
      </c>
      <c r="N71">
        <f>((($K$2*(M71))/(L71)))+0.1</f>
        <v>0.36875000000000002</v>
      </c>
      <c r="O71" s="108">
        <f>I71</f>
        <v>0.47949999999999998</v>
      </c>
    </row>
    <row r="72" spans="1:15">
      <c r="A72" s="100" t="s">
        <v>185</v>
      </c>
      <c r="B72" s="100" t="s">
        <v>181</v>
      </c>
      <c r="C72" s="100" t="s">
        <v>107</v>
      </c>
      <c r="D72" s="100">
        <v>2</v>
      </c>
      <c r="E72" s="100">
        <v>1900</v>
      </c>
      <c r="F72" s="99">
        <v>0.58630000000000004</v>
      </c>
      <c r="G72" s="4">
        <f>((E72*12)*F72)</f>
        <v>13367.640000000001</v>
      </c>
      <c r="H72" s="100">
        <v>428</v>
      </c>
      <c r="I72" s="99">
        <v>0.58630000000000004</v>
      </c>
      <c r="J72" s="100">
        <v>376</v>
      </c>
      <c r="K72" s="100">
        <v>502</v>
      </c>
      <c r="L72">
        <f>K72-J72</f>
        <v>126</v>
      </c>
      <c r="M72">
        <f>H72-J72</f>
        <v>52</v>
      </c>
      <c r="N72">
        <f>((($K$2*(M72))/(L72)))+0.1</f>
        <v>0.43015873015873018</v>
      </c>
      <c r="O72" s="108">
        <f>I72</f>
        <v>0.58630000000000004</v>
      </c>
    </row>
    <row r="73" spans="1:15">
      <c r="A73" s="100" t="s">
        <v>186</v>
      </c>
      <c r="B73" s="100" t="s">
        <v>187</v>
      </c>
      <c r="C73" s="100" t="s">
        <v>98</v>
      </c>
      <c r="D73" s="100">
        <v>1</v>
      </c>
      <c r="E73" s="100">
        <v>1600</v>
      </c>
      <c r="F73" s="99">
        <v>0.67949999999999999</v>
      </c>
      <c r="G73" s="4">
        <f>((E73*12)*F73)</f>
        <v>13046.4</v>
      </c>
      <c r="H73" s="100">
        <v>188</v>
      </c>
      <c r="I73" s="99">
        <v>0.67949999999999999</v>
      </c>
      <c r="J73" s="100">
        <v>126</v>
      </c>
      <c r="K73" s="100">
        <v>352</v>
      </c>
      <c r="L73">
        <f>K73-J73</f>
        <v>226</v>
      </c>
      <c r="M73">
        <f>H73-J73</f>
        <v>62</v>
      </c>
      <c r="N73">
        <f>((($K$2*(M73))/(L73)))+0.1</f>
        <v>0.3194690265486726</v>
      </c>
      <c r="O73" s="108">
        <f>I73</f>
        <v>0.67949999999999999</v>
      </c>
    </row>
    <row r="74" spans="1:15">
      <c r="A74" s="100" t="s">
        <v>188</v>
      </c>
      <c r="B74" s="100" t="s">
        <v>187</v>
      </c>
      <c r="C74" s="100" t="s">
        <v>98</v>
      </c>
      <c r="D74" s="100">
        <v>2</v>
      </c>
      <c r="E74" s="100">
        <v>2200</v>
      </c>
      <c r="F74" s="99">
        <v>0.57809999999999995</v>
      </c>
      <c r="G74" s="4">
        <f>((E74*12)*F74)</f>
        <v>15261.839999999998</v>
      </c>
      <c r="H74" s="100">
        <v>274</v>
      </c>
      <c r="I74" s="99">
        <v>0.57809999999999995</v>
      </c>
      <c r="J74" s="100">
        <v>119</v>
      </c>
      <c r="K74" s="100">
        <v>505</v>
      </c>
      <c r="L74">
        <f>K74-J74</f>
        <v>386</v>
      </c>
      <c r="M74">
        <f>H74-J74</f>
        <v>155</v>
      </c>
      <c r="N74">
        <f>((($K$2*(M74))/(L74)))+0.1</f>
        <v>0.42124352331606219</v>
      </c>
      <c r="O74" s="108">
        <f>I74</f>
        <v>0.57809999999999995</v>
      </c>
    </row>
    <row r="75" spans="1:15">
      <c r="A75" s="100" t="s">
        <v>189</v>
      </c>
      <c r="B75" s="100" t="s">
        <v>187</v>
      </c>
      <c r="C75" s="100" t="s">
        <v>107</v>
      </c>
      <c r="D75" s="100">
        <v>1</v>
      </c>
      <c r="E75" s="100">
        <v>1500</v>
      </c>
      <c r="F75" s="99">
        <v>0.41099999999999998</v>
      </c>
      <c r="G75" s="4">
        <f>((E75*12)*F75)</f>
        <v>7398</v>
      </c>
      <c r="H75" s="100">
        <v>860</v>
      </c>
      <c r="I75" s="99">
        <v>0.41099999999999998</v>
      </c>
      <c r="J75" s="100">
        <v>486</v>
      </c>
      <c r="K75" s="100">
        <v>1215</v>
      </c>
      <c r="L75">
        <f>K75-J75</f>
        <v>729</v>
      </c>
      <c r="M75">
        <f>H75-J75</f>
        <v>374</v>
      </c>
      <c r="N75">
        <f>((($K$2*(M75))/(L75)))+0.1</f>
        <v>0.51042524005486967</v>
      </c>
      <c r="O75" s="108">
        <f>I75</f>
        <v>0.41099999999999998</v>
      </c>
    </row>
    <row r="76" spans="1:15">
      <c r="A76" s="100" t="s">
        <v>190</v>
      </c>
      <c r="B76" s="100" t="s">
        <v>187</v>
      </c>
      <c r="C76" s="100" t="s">
        <v>107</v>
      </c>
      <c r="D76" s="100">
        <v>2</v>
      </c>
      <c r="E76" s="100">
        <v>2400</v>
      </c>
      <c r="F76" s="99">
        <v>0.68220000000000003</v>
      </c>
      <c r="G76" s="4">
        <f>((E76*12)*F76)</f>
        <v>19647.36</v>
      </c>
      <c r="H76" s="100">
        <v>729</v>
      </c>
      <c r="I76" s="99">
        <v>0.68220000000000003</v>
      </c>
      <c r="J76" s="100">
        <v>516</v>
      </c>
      <c r="K76" s="100">
        <v>1650</v>
      </c>
      <c r="L76">
        <f>K76-J76</f>
        <v>1134</v>
      </c>
      <c r="M76">
        <f>H76-J76</f>
        <v>213</v>
      </c>
      <c r="N76">
        <f>((($K$2*(M76))/(L76)))+0.1</f>
        <v>0.2502645502645503</v>
      </c>
      <c r="O76" s="108">
        <f>I76</f>
        <v>0.68220000000000003</v>
      </c>
    </row>
    <row r="77" spans="1:15">
      <c r="A77" s="100" t="s">
        <v>191</v>
      </c>
      <c r="B77" s="100" t="s">
        <v>192</v>
      </c>
      <c r="C77" s="100" t="s">
        <v>98</v>
      </c>
      <c r="D77" s="100">
        <v>1</v>
      </c>
      <c r="E77" s="100">
        <v>1600</v>
      </c>
      <c r="F77" s="99">
        <v>0.82469999999999999</v>
      </c>
      <c r="G77" s="4">
        <f>((E77*12)*F77)</f>
        <v>15834.24</v>
      </c>
      <c r="H77" s="100">
        <v>174</v>
      </c>
      <c r="I77" s="99">
        <v>0.82469999999999999</v>
      </c>
      <c r="J77" s="100">
        <v>160</v>
      </c>
      <c r="K77" s="100">
        <v>321</v>
      </c>
      <c r="L77">
        <f>K77-J77</f>
        <v>161</v>
      </c>
      <c r="M77">
        <f>H77-J77</f>
        <v>14</v>
      </c>
      <c r="N77">
        <f>((($K$2*(M77))/(L77)))+0.1</f>
        <v>0.16956521739130437</v>
      </c>
      <c r="O77" s="108">
        <f>I77</f>
        <v>0.82469999999999999</v>
      </c>
    </row>
    <row r="78" spans="1:15">
      <c r="A78" s="100" t="s">
        <v>193</v>
      </c>
      <c r="B78" s="100" t="s">
        <v>192</v>
      </c>
      <c r="C78" s="100" t="s">
        <v>98</v>
      </c>
      <c r="D78" s="100">
        <v>2</v>
      </c>
      <c r="E78" s="100">
        <v>1900</v>
      </c>
      <c r="F78" s="99">
        <v>0.21640000000000001</v>
      </c>
      <c r="G78" s="4">
        <f>((E78*12)*F78)</f>
        <v>4933.92</v>
      </c>
      <c r="H78" s="100">
        <v>308</v>
      </c>
      <c r="I78" s="99">
        <v>0.21640000000000001</v>
      </c>
      <c r="J78" s="100">
        <v>168</v>
      </c>
      <c r="K78" s="100">
        <v>364</v>
      </c>
      <c r="L78">
        <f>K78-J78</f>
        <v>196</v>
      </c>
      <c r="M78">
        <f>H78-J78</f>
        <v>140</v>
      </c>
      <c r="N78">
        <f>((($K$2*(M78))/(L78)))+0.1</f>
        <v>0.67142857142857137</v>
      </c>
      <c r="O78" s="108">
        <f>I78</f>
        <v>0.21640000000000001</v>
      </c>
    </row>
    <row r="79" spans="1:15">
      <c r="A79" s="100" t="s">
        <v>194</v>
      </c>
      <c r="B79" s="100" t="s">
        <v>192</v>
      </c>
      <c r="C79" s="100" t="s">
        <v>107</v>
      </c>
      <c r="D79" s="100">
        <v>1</v>
      </c>
      <c r="E79" s="100">
        <v>1400</v>
      </c>
      <c r="F79" s="99">
        <v>0.6</v>
      </c>
      <c r="G79" s="4">
        <f>((E79*12)*F79)</f>
        <v>10080</v>
      </c>
      <c r="H79" s="100">
        <v>308</v>
      </c>
      <c r="I79" s="99">
        <v>0.6</v>
      </c>
      <c r="J79" s="100">
        <v>226</v>
      </c>
      <c r="K79" s="100">
        <v>368</v>
      </c>
      <c r="L79">
        <f>K79-J79</f>
        <v>142</v>
      </c>
      <c r="M79">
        <f>H79-J79</f>
        <v>82</v>
      </c>
      <c r="N79">
        <f>((($K$2*(M79))/(L79)))+0.1</f>
        <v>0.56197183098591552</v>
      </c>
      <c r="O79" s="108">
        <f>I79</f>
        <v>0.6</v>
      </c>
    </row>
    <row r="80" spans="1:15">
      <c r="A80" s="100" t="s">
        <v>195</v>
      </c>
      <c r="B80" s="100" t="s">
        <v>192</v>
      </c>
      <c r="C80" s="100" t="s">
        <v>107</v>
      </c>
      <c r="D80" s="100">
        <v>2</v>
      </c>
      <c r="E80" s="100">
        <v>2000</v>
      </c>
      <c r="F80" s="99">
        <v>0.39179999999999998</v>
      </c>
      <c r="G80" s="4">
        <f>((E80*12)*F80)</f>
        <v>9403.1999999999989</v>
      </c>
      <c r="H80" s="100">
        <v>342</v>
      </c>
      <c r="I80" s="99">
        <v>0.39179999999999998</v>
      </c>
      <c r="J80" s="100">
        <v>285</v>
      </c>
      <c r="K80" s="100">
        <v>428</v>
      </c>
      <c r="L80">
        <f>K80-J80</f>
        <v>143</v>
      </c>
      <c r="M80">
        <f>H80-J80</f>
        <v>57</v>
      </c>
      <c r="N80">
        <f>((($K$2*(M80))/(L80)))+0.1</f>
        <v>0.4188811188811189</v>
      </c>
      <c r="O80" s="108">
        <f>I80</f>
        <v>0.39179999999999998</v>
      </c>
    </row>
    <row r="81" spans="1:15">
      <c r="A81" s="100" t="s">
        <v>196</v>
      </c>
      <c r="B81" s="100" t="s">
        <v>197</v>
      </c>
      <c r="C81" s="100" t="s">
        <v>98</v>
      </c>
      <c r="D81" s="100">
        <v>1</v>
      </c>
      <c r="E81" s="100">
        <v>1000</v>
      </c>
      <c r="F81" s="99">
        <v>0.58899999999999997</v>
      </c>
      <c r="G81" s="4">
        <f>((E81*12)*F81)</f>
        <v>7068</v>
      </c>
      <c r="H81" s="100">
        <v>229</v>
      </c>
      <c r="I81" s="99">
        <v>0.58899999999999997</v>
      </c>
      <c r="J81" s="100">
        <v>91</v>
      </c>
      <c r="K81" s="100">
        <v>342</v>
      </c>
      <c r="L81">
        <f>K81-J81</f>
        <v>251</v>
      </c>
      <c r="M81">
        <f>H81-J81</f>
        <v>138</v>
      </c>
      <c r="N81">
        <f>((($K$2*(M81))/(L81)))+0.1</f>
        <v>0.53984063745019928</v>
      </c>
      <c r="O81" s="108">
        <f>I81</f>
        <v>0.58899999999999997</v>
      </c>
    </row>
    <row r="82" spans="1:15">
      <c r="A82" s="100" t="s">
        <v>198</v>
      </c>
      <c r="B82" s="100" t="s">
        <v>199</v>
      </c>
      <c r="C82" s="100" t="s">
        <v>98</v>
      </c>
      <c r="D82" s="100">
        <v>2</v>
      </c>
      <c r="E82" s="100">
        <v>2500</v>
      </c>
      <c r="F82" s="99">
        <v>0.29320000000000002</v>
      </c>
      <c r="G82" s="4">
        <f>((E82*12)*F82)</f>
        <v>8796</v>
      </c>
      <c r="H82" s="100">
        <v>392</v>
      </c>
      <c r="I82" s="99">
        <v>0.29320000000000002</v>
      </c>
      <c r="J82" s="100">
        <v>173</v>
      </c>
      <c r="K82" s="100">
        <v>581</v>
      </c>
      <c r="L82">
        <f>K82-J82</f>
        <v>408</v>
      </c>
      <c r="M82">
        <f>H82-J82</f>
        <v>219</v>
      </c>
      <c r="N82">
        <f>((($K$2*(M82))/(L82)))+0.1</f>
        <v>0.52941176470588236</v>
      </c>
      <c r="O82" s="108">
        <f>I82</f>
        <v>0.29320000000000002</v>
      </c>
    </row>
    <row r="83" spans="1:15">
      <c r="A83" s="100" t="s">
        <v>200</v>
      </c>
      <c r="B83" s="100" t="s">
        <v>197</v>
      </c>
      <c r="C83" s="100" t="s">
        <v>98</v>
      </c>
      <c r="D83" s="100">
        <v>2</v>
      </c>
      <c r="E83" s="100">
        <v>1400</v>
      </c>
      <c r="F83" s="99">
        <v>0.2712</v>
      </c>
      <c r="G83" s="4">
        <f>((E83*12)*F83)</f>
        <v>4556.16</v>
      </c>
      <c r="H83" s="100">
        <v>322</v>
      </c>
      <c r="I83" s="99">
        <v>0.2712</v>
      </c>
      <c r="J83" s="100">
        <v>168</v>
      </c>
      <c r="K83" s="100">
        <v>392</v>
      </c>
      <c r="L83">
        <f>K83-J83</f>
        <v>224</v>
      </c>
      <c r="M83">
        <f>H83-J83</f>
        <v>154</v>
      </c>
      <c r="N83">
        <f>((($K$2*(M83))/(L83)))+0.1</f>
        <v>0.65</v>
      </c>
      <c r="O83" s="108">
        <f>I83</f>
        <v>0.2712</v>
      </c>
    </row>
    <row r="84" spans="1:15">
      <c r="A84" s="100" t="s">
        <v>201</v>
      </c>
      <c r="B84" s="100" t="s">
        <v>197</v>
      </c>
      <c r="C84" s="100" t="s">
        <v>107</v>
      </c>
      <c r="D84" s="100">
        <v>1</v>
      </c>
      <c r="E84" s="100">
        <v>1300</v>
      </c>
      <c r="F84" s="99">
        <v>0.55069999999999997</v>
      </c>
      <c r="G84" s="4">
        <f>((E84*12)*F84)</f>
        <v>8590.92</v>
      </c>
      <c r="H84" s="100">
        <v>257</v>
      </c>
      <c r="I84" s="99">
        <v>0.55069999999999997</v>
      </c>
      <c r="J84" s="100">
        <v>155</v>
      </c>
      <c r="K84" s="100">
        <v>494</v>
      </c>
      <c r="L84">
        <f>K84-J84</f>
        <v>339</v>
      </c>
      <c r="M84">
        <f>H84-J84</f>
        <v>102</v>
      </c>
      <c r="N84">
        <f>((($K$2*(M84))/(L84)))+0.1</f>
        <v>0.34070796460176994</v>
      </c>
      <c r="O84" s="108">
        <f>I84</f>
        <v>0.55069999999999997</v>
      </c>
    </row>
    <row r="85" spans="1:15">
      <c r="A85" s="100" t="s">
        <v>202</v>
      </c>
      <c r="B85" s="100" t="s">
        <v>197</v>
      </c>
      <c r="C85" s="100" t="s">
        <v>107</v>
      </c>
      <c r="D85" s="100">
        <v>2</v>
      </c>
      <c r="E85" s="100">
        <v>1800</v>
      </c>
      <c r="F85" s="99">
        <v>0.4521</v>
      </c>
      <c r="G85" s="4">
        <f>((E85*12)*F85)</f>
        <v>9765.36</v>
      </c>
      <c r="H85" s="100">
        <v>286</v>
      </c>
      <c r="I85" s="99">
        <v>0.4521</v>
      </c>
      <c r="J85" s="100">
        <v>151</v>
      </c>
      <c r="K85" s="100">
        <v>391</v>
      </c>
      <c r="L85">
        <f>K85-J85</f>
        <v>240</v>
      </c>
      <c r="M85">
        <f>H85-J85</f>
        <v>135</v>
      </c>
      <c r="N85">
        <f>((($K$2*(M85))/(L85)))+0.1</f>
        <v>0.55000000000000004</v>
      </c>
      <c r="O85" s="108">
        <f>I85</f>
        <v>0.4521</v>
      </c>
    </row>
    <row r="86" spans="1:15">
      <c r="A86" s="100" t="s">
        <v>203</v>
      </c>
      <c r="B86" s="100" t="s">
        <v>204</v>
      </c>
      <c r="C86" s="100" t="s">
        <v>98</v>
      </c>
      <c r="D86" s="100">
        <v>1</v>
      </c>
      <c r="E86" s="100">
        <v>700</v>
      </c>
      <c r="F86" s="99">
        <v>0.51780000000000004</v>
      </c>
      <c r="G86" s="4">
        <f>((E86*12)*F86)</f>
        <v>4349.5200000000004</v>
      </c>
      <c r="H86" s="100">
        <v>180</v>
      </c>
      <c r="I86" s="99">
        <v>0.51780000000000004</v>
      </c>
      <c r="J86" s="100">
        <v>99</v>
      </c>
      <c r="K86" s="100">
        <v>265</v>
      </c>
      <c r="L86">
        <f>K86-J86</f>
        <v>166</v>
      </c>
      <c r="M86">
        <f>H86-J86</f>
        <v>81</v>
      </c>
      <c r="N86">
        <f>((($K$2*(M86))/(L86)))+0.1</f>
        <v>0.49036144578313257</v>
      </c>
      <c r="O86" s="108">
        <f>I86</f>
        <v>0.51780000000000004</v>
      </c>
    </row>
    <row r="87" spans="1:15">
      <c r="A87" s="100" t="s">
        <v>205</v>
      </c>
      <c r="B87" s="100" t="s">
        <v>204</v>
      </c>
      <c r="C87" s="100" t="s">
        <v>98</v>
      </c>
      <c r="D87" s="100">
        <v>2</v>
      </c>
      <c r="E87" s="100">
        <v>900</v>
      </c>
      <c r="F87" s="99">
        <v>0.52049999999999996</v>
      </c>
      <c r="G87" s="4">
        <f>((E87*12)*F87)</f>
        <v>5621.4</v>
      </c>
      <c r="H87" s="100">
        <v>230</v>
      </c>
      <c r="I87" s="99">
        <v>0.52049999999999996</v>
      </c>
      <c r="J87" s="100">
        <v>154</v>
      </c>
      <c r="K87" s="100">
        <v>286</v>
      </c>
      <c r="L87">
        <f>K87-J87</f>
        <v>132</v>
      </c>
      <c r="M87">
        <f>H87-J87</f>
        <v>76</v>
      </c>
      <c r="N87">
        <f>((($K$2*(M87))/(L87)))+0.1</f>
        <v>0.56060606060606066</v>
      </c>
      <c r="O87" s="108">
        <f>I87</f>
        <v>0.52049999999999996</v>
      </c>
    </row>
    <row r="88" spans="1:15">
      <c r="A88" s="100" t="s">
        <v>206</v>
      </c>
      <c r="B88" s="100" t="s">
        <v>204</v>
      </c>
      <c r="C88" s="100" t="s">
        <v>107</v>
      </c>
      <c r="D88" s="100">
        <v>1</v>
      </c>
      <c r="E88" s="100">
        <v>1000</v>
      </c>
      <c r="F88" s="99">
        <v>0.63009999999999999</v>
      </c>
      <c r="G88" s="4">
        <f>((E88*12)*F88)</f>
        <v>7561.2</v>
      </c>
      <c r="H88" s="100">
        <v>221</v>
      </c>
      <c r="I88" s="99">
        <v>0.63009999999999999</v>
      </c>
      <c r="J88" s="100">
        <v>190</v>
      </c>
      <c r="K88" s="100">
        <v>462</v>
      </c>
      <c r="L88">
        <f>K88-J88</f>
        <v>272</v>
      </c>
      <c r="M88">
        <f>H88-J88</f>
        <v>31</v>
      </c>
      <c r="N88">
        <f>((($K$2*(M88))/(L88)))+0.1</f>
        <v>0.19117647058823531</v>
      </c>
      <c r="O88" s="108">
        <f>I88</f>
        <v>0.63009999999999999</v>
      </c>
    </row>
    <row r="89" spans="1:15">
      <c r="A89" s="100" t="s">
        <v>207</v>
      </c>
      <c r="B89" s="100" t="s">
        <v>204</v>
      </c>
      <c r="C89" s="100" t="s">
        <v>107</v>
      </c>
      <c r="D89" s="100">
        <v>2</v>
      </c>
      <c r="E89" s="100">
        <v>1200</v>
      </c>
      <c r="F89" s="99">
        <v>0.36990000000000001</v>
      </c>
      <c r="G89" s="4">
        <f>((E89*12)*F89)</f>
        <v>5326.56</v>
      </c>
      <c r="H89" s="100">
        <v>316</v>
      </c>
      <c r="I89" s="99">
        <v>0.36990000000000001</v>
      </c>
      <c r="J89" s="100">
        <v>205</v>
      </c>
      <c r="K89" s="100">
        <v>411</v>
      </c>
      <c r="L89">
        <f>K89-J89</f>
        <v>206</v>
      </c>
      <c r="M89">
        <f>H89-J89</f>
        <v>111</v>
      </c>
      <c r="N89">
        <f>((($K$2*(M89))/(L89)))+0.1</f>
        <v>0.53106796116504862</v>
      </c>
      <c r="O89" s="108">
        <f>I89</f>
        <v>0.36990000000000001</v>
      </c>
    </row>
    <row r="90" spans="1:15">
      <c r="A90" s="100" t="s">
        <v>208</v>
      </c>
      <c r="B90" s="100" t="s">
        <v>209</v>
      </c>
      <c r="C90" s="100" t="s">
        <v>98</v>
      </c>
      <c r="D90" s="100">
        <v>1</v>
      </c>
      <c r="E90" s="100">
        <v>700</v>
      </c>
      <c r="F90" s="99">
        <v>0.56989999999999996</v>
      </c>
      <c r="G90" s="4">
        <f>((E90*12)*F90)</f>
        <v>4787.16</v>
      </c>
      <c r="H90" s="100">
        <v>245</v>
      </c>
      <c r="I90" s="99">
        <v>0.56989999999999996</v>
      </c>
      <c r="J90" s="100">
        <v>192</v>
      </c>
      <c r="K90" s="100">
        <v>313</v>
      </c>
      <c r="L90">
        <f>K90-J90</f>
        <v>121</v>
      </c>
      <c r="M90">
        <f>H90-J90</f>
        <v>53</v>
      </c>
      <c r="N90">
        <f>((($K$2*(M90))/(L90)))+0.1</f>
        <v>0.45041322314049592</v>
      </c>
      <c r="O90" s="108">
        <f>I90</f>
        <v>0.56989999999999996</v>
      </c>
    </row>
    <row r="91" spans="1:15">
      <c r="A91" s="100" t="s">
        <v>210</v>
      </c>
      <c r="B91" s="100" t="s">
        <v>209</v>
      </c>
      <c r="C91" s="100" t="s">
        <v>98</v>
      </c>
      <c r="D91" s="100">
        <v>2</v>
      </c>
      <c r="E91" s="100">
        <v>1000</v>
      </c>
      <c r="F91" s="99">
        <v>0.41920000000000002</v>
      </c>
      <c r="G91" s="4">
        <f>((E91*12)*F91)</f>
        <v>5030.4000000000005</v>
      </c>
      <c r="H91" s="100">
        <v>266</v>
      </c>
      <c r="I91" s="99">
        <v>0.41920000000000002</v>
      </c>
      <c r="J91" s="100">
        <v>192</v>
      </c>
      <c r="K91" s="100">
        <v>357</v>
      </c>
      <c r="L91">
        <f>K91-J91</f>
        <v>165</v>
      </c>
      <c r="M91">
        <f>H91-J91</f>
        <v>74</v>
      </c>
      <c r="N91">
        <f>((($K$2*(M91))/(L91)))+0.1</f>
        <v>0.45878787878787886</v>
      </c>
      <c r="O91" s="108">
        <f>I91</f>
        <v>0.41920000000000002</v>
      </c>
    </row>
    <row r="92" spans="1:15">
      <c r="A92" s="100" t="s">
        <v>211</v>
      </c>
      <c r="B92" s="100" t="s">
        <v>209</v>
      </c>
      <c r="C92" s="100" t="s">
        <v>107</v>
      </c>
      <c r="D92" s="100">
        <v>1</v>
      </c>
      <c r="E92" s="100">
        <v>800</v>
      </c>
      <c r="F92" s="99">
        <v>0.45479999999999998</v>
      </c>
      <c r="G92" s="4">
        <f>((E92*12)*F92)</f>
        <v>4366.08</v>
      </c>
      <c r="H92" s="100">
        <v>325</v>
      </c>
      <c r="I92" s="99">
        <v>0.45479999999999998</v>
      </c>
      <c r="J92" s="100">
        <v>186</v>
      </c>
      <c r="K92" s="100">
        <v>465</v>
      </c>
      <c r="L92">
        <f>K92-J92</f>
        <v>279</v>
      </c>
      <c r="M92">
        <f>H92-J92</f>
        <v>139</v>
      </c>
      <c r="N92">
        <f>((($K$2*(M92))/(L92)))+0.1</f>
        <v>0.49856630824372761</v>
      </c>
      <c r="O92" s="108">
        <f>I92</f>
        <v>0.45479999999999998</v>
      </c>
    </row>
    <row r="93" spans="1:15">
      <c r="A93" s="100" t="s">
        <v>212</v>
      </c>
      <c r="B93" s="100" t="s">
        <v>199</v>
      </c>
      <c r="C93" s="100" t="s">
        <v>107</v>
      </c>
      <c r="D93" s="100">
        <v>1</v>
      </c>
      <c r="E93" s="100">
        <v>2500</v>
      </c>
      <c r="F93" s="99">
        <v>0.62190000000000001</v>
      </c>
      <c r="G93" s="4">
        <f>((E93*12)*F93)</f>
        <v>18657</v>
      </c>
      <c r="H93" s="100">
        <v>393</v>
      </c>
      <c r="I93" s="99">
        <v>0.62190000000000001</v>
      </c>
      <c r="J93" s="100">
        <v>189</v>
      </c>
      <c r="K93" s="100">
        <v>588</v>
      </c>
      <c r="L93">
        <f>K93-J93</f>
        <v>399</v>
      </c>
      <c r="M93">
        <f>H93-J93</f>
        <v>204</v>
      </c>
      <c r="N93">
        <f>((($K$2*(M93))/(L93)))+0.1</f>
        <v>0.50902255639097749</v>
      </c>
      <c r="O93" s="108">
        <f>I93</f>
        <v>0.62190000000000001</v>
      </c>
    </row>
    <row r="94" spans="1:15">
      <c r="A94" s="100" t="s">
        <v>213</v>
      </c>
      <c r="B94" s="100" t="s">
        <v>209</v>
      </c>
      <c r="C94" s="100" t="s">
        <v>107</v>
      </c>
      <c r="D94" s="100">
        <v>2</v>
      </c>
      <c r="E94" s="100">
        <v>900</v>
      </c>
      <c r="F94" s="99">
        <v>0.70960000000000001</v>
      </c>
      <c r="G94" s="4">
        <f>((E94*12)*F94)</f>
        <v>7663.68</v>
      </c>
      <c r="H94" s="100">
        <v>256</v>
      </c>
      <c r="I94" s="99">
        <v>0.70960000000000001</v>
      </c>
      <c r="J94" s="100">
        <v>209</v>
      </c>
      <c r="K94" s="100">
        <v>358</v>
      </c>
      <c r="L94">
        <f>K94-J94</f>
        <v>149</v>
      </c>
      <c r="M94">
        <f>H94-J94</f>
        <v>47</v>
      </c>
      <c r="N94">
        <f>((($K$2*(M94))/(L94)))+0.1</f>
        <v>0.3523489932885906</v>
      </c>
      <c r="O94" s="108">
        <f>I94</f>
        <v>0.70960000000000001</v>
      </c>
    </row>
    <row r="95" spans="1:15">
      <c r="A95" s="100" t="s">
        <v>214</v>
      </c>
      <c r="B95" s="100" t="s">
        <v>215</v>
      </c>
      <c r="C95" s="100" t="s">
        <v>98</v>
      </c>
      <c r="D95" s="100">
        <v>1</v>
      </c>
      <c r="E95" s="100">
        <v>700</v>
      </c>
      <c r="F95" s="99">
        <v>0.30959999999999999</v>
      </c>
      <c r="G95" s="4">
        <f>((E95*12)*F95)</f>
        <v>2600.64</v>
      </c>
      <c r="H95" s="100">
        <v>184</v>
      </c>
      <c r="I95" s="99">
        <v>0.30959999999999999</v>
      </c>
      <c r="J95" s="100">
        <v>42</v>
      </c>
      <c r="K95" s="100">
        <v>252</v>
      </c>
      <c r="L95">
        <f>K95-J95</f>
        <v>210</v>
      </c>
      <c r="M95">
        <f>H95-J95</f>
        <v>142</v>
      </c>
      <c r="N95">
        <f>((($K$2*(M95))/(L95)))+0.1</f>
        <v>0.64095238095238094</v>
      </c>
      <c r="O95" s="108">
        <f>I95</f>
        <v>0.30959999999999999</v>
      </c>
    </row>
    <row r="96" spans="1:15">
      <c r="A96" s="100" t="s">
        <v>216</v>
      </c>
      <c r="B96" s="100" t="s">
        <v>215</v>
      </c>
      <c r="C96" s="100" t="s">
        <v>98</v>
      </c>
      <c r="D96" s="100">
        <v>2</v>
      </c>
      <c r="E96" s="100">
        <v>1000</v>
      </c>
      <c r="F96" s="99">
        <v>0.24110000000000001</v>
      </c>
      <c r="G96" s="4">
        <f>((E96*12)*F96)</f>
        <v>2893.2000000000003</v>
      </c>
      <c r="H96" s="100">
        <v>427</v>
      </c>
      <c r="I96" s="99">
        <v>0.24110000000000001</v>
      </c>
      <c r="J96" s="100">
        <v>94</v>
      </c>
      <c r="K96" s="100">
        <v>531</v>
      </c>
      <c r="L96">
        <f>K96-J96</f>
        <v>437</v>
      </c>
      <c r="M96">
        <f>H96-J96</f>
        <v>333</v>
      </c>
      <c r="N96">
        <f>((($K$2*(M96))/(L96)))+0.1</f>
        <v>0.70961098398169342</v>
      </c>
      <c r="O96" s="108">
        <f>I96</f>
        <v>0.24110000000000001</v>
      </c>
    </row>
    <row r="97" spans="1:15">
      <c r="A97" s="100" t="s">
        <v>217</v>
      </c>
      <c r="B97" s="100" t="s">
        <v>215</v>
      </c>
      <c r="C97" s="100" t="s">
        <v>107</v>
      </c>
      <c r="D97" s="100">
        <v>1</v>
      </c>
      <c r="E97" s="100">
        <v>900</v>
      </c>
      <c r="F97" s="99">
        <v>4.6600000000000003E-2</v>
      </c>
      <c r="G97" s="4">
        <f>((E97*12)*F97)</f>
        <v>503.28000000000003</v>
      </c>
      <c r="H97" s="100">
        <v>418</v>
      </c>
      <c r="I97" s="99">
        <v>4.6600000000000003E-2</v>
      </c>
      <c r="J97" s="100">
        <v>86</v>
      </c>
      <c r="K97" s="100">
        <v>488</v>
      </c>
      <c r="L97">
        <f>K97-J97</f>
        <v>402</v>
      </c>
      <c r="M97">
        <f>H97-J97</f>
        <v>332</v>
      </c>
      <c r="N97">
        <f>((($K$2*(M97))/(L97)))+0.1</f>
        <v>0.76069651741293531</v>
      </c>
      <c r="O97" s="108">
        <f>I97</f>
        <v>4.6600000000000003E-2</v>
      </c>
    </row>
    <row r="98" spans="1:15">
      <c r="A98" s="100" t="s">
        <v>218</v>
      </c>
      <c r="B98" s="100" t="s">
        <v>215</v>
      </c>
      <c r="C98" s="100" t="s">
        <v>107</v>
      </c>
      <c r="D98" s="100">
        <v>2</v>
      </c>
      <c r="E98" s="100">
        <v>1200</v>
      </c>
      <c r="F98" s="99">
        <v>0.63560000000000005</v>
      </c>
      <c r="G98" s="4">
        <f>((E98*12)*F98)</f>
        <v>9152.6400000000012</v>
      </c>
      <c r="H98" s="100">
        <v>219</v>
      </c>
      <c r="I98" s="99">
        <v>0.63560000000000005</v>
      </c>
      <c r="J98" s="100">
        <v>83</v>
      </c>
      <c r="K98" s="100">
        <v>556</v>
      </c>
      <c r="L98">
        <f>K98-J98</f>
        <v>473</v>
      </c>
      <c r="M98">
        <f>H98-J98</f>
        <v>136</v>
      </c>
      <c r="N98">
        <f>((($K$2*(M98))/(L98)))+0.1</f>
        <v>0.33002114164904867</v>
      </c>
      <c r="O98" s="108">
        <f>I98</f>
        <v>0.63560000000000005</v>
      </c>
    </row>
    <row r="99" spans="1:15">
      <c r="A99" s="100" t="s">
        <v>219</v>
      </c>
      <c r="B99" s="100" t="s">
        <v>220</v>
      </c>
      <c r="C99" s="100" t="s">
        <v>98</v>
      </c>
      <c r="D99" s="100">
        <v>1</v>
      </c>
      <c r="E99" s="100">
        <v>1100</v>
      </c>
      <c r="F99" s="99">
        <v>0.43009999999999998</v>
      </c>
      <c r="G99" s="4">
        <f>((E99*12)*F99)</f>
        <v>5677.32</v>
      </c>
      <c r="H99" s="100">
        <v>220</v>
      </c>
      <c r="I99" s="99">
        <v>0.43009999999999998</v>
      </c>
      <c r="J99" s="100">
        <v>84</v>
      </c>
      <c r="K99" s="100">
        <v>301</v>
      </c>
      <c r="L99">
        <f>K99-J99</f>
        <v>217</v>
      </c>
      <c r="M99">
        <f>H99-J99</f>
        <v>136</v>
      </c>
      <c r="N99">
        <f>((($K$2*(M99))/(L99)))+0.1</f>
        <v>0.60138248847926268</v>
      </c>
      <c r="O99" s="108">
        <f>I99</f>
        <v>0.43009999999999998</v>
      </c>
    </row>
    <row r="100" spans="1:15">
      <c r="A100" s="100" t="s">
        <v>221</v>
      </c>
      <c r="B100" s="100" t="s">
        <v>220</v>
      </c>
      <c r="C100" s="100" t="s">
        <v>98</v>
      </c>
      <c r="D100" s="100">
        <v>2</v>
      </c>
      <c r="E100" s="100">
        <v>1400</v>
      </c>
      <c r="F100" s="99">
        <v>0.38080000000000003</v>
      </c>
      <c r="G100" s="4">
        <f>((E100*12)*F100)</f>
        <v>6397.4400000000005</v>
      </c>
      <c r="H100" s="100">
        <v>481</v>
      </c>
      <c r="I100" s="99">
        <v>0.38080000000000003</v>
      </c>
      <c r="J100" s="100">
        <v>134</v>
      </c>
      <c r="K100" s="100">
        <v>568</v>
      </c>
      <c r="L100">
        <f>K100-J100</f>
        <v>434</v>
      </c>
      <c r="M100">
        <f>H100-J100</f>
        <v>347</v>
      </c>
      <c r="N100">
        <f>((($K$2*(M100))/(L100)))+0.1</f>
        <v>0.73963133640553003</v>
      </c>
      <c r="O100" s="108">
        <f>I100</f>
        <v>0.38080000000000003</v>
      </c>
    </row>
    <row r="101" spans="1:15">
      <c r="A101" s="100" t="s">
        <v>222</v>
      </c>
      <c r="B101" s="100" t="s">
        <v>220</v>
      </c>
      <c r="C101" s="100" t="s">
        <v>107</v>
      </c>
      <c r="D101" s="100">
        <v>1</v>
      </c>
      <c r="E101" s="100">
        <v>1300</v>
      </c>
      <c r="F101" s="99">
        <v>0.45750000000000002</v>
      </c>
      <c r="G101" s="4">
        <f>((E101*12)*F101)</f>
        <v>7137</v>
      </c>
      <c r="H101" s="100">
        <v>280</v>
      </c>
      <c r="I101" s="99">
        <v>0.45750000000000002</v>
      </c>
      <c r="J101" s="100">
        <v>109</v>
      </c>
      <c r="K101" s="100">
        <v>615</v>
      </c>
      <c r="L101">
        <f>K101-J101</f>
        <v>506</v>
      </c>
      <c r="M101">
        <f>H101-J101</f>
        <v>171</v>
      </c>
      <c r="N101">
        <f>((($K$2*(M101))/(L101)))+0.1</f>
        <v>0.37035573122529653</v>
      </c>
      <c r="O101" s="108">
        <f>I101</f>
        <v>0.45750000000000002</v>
      </c>
    </row>
    <row r="102" spans="1:15">
      <c r="A102" s="100" t="s">
        <v>223</v>
      </c>
      <c r="B102" s="100" t="s">
        <v>220</v>
      </c>
      <c r="C102" s="100" t="s">
        <v>107</v>
      </c>
      <c r="D102" s="100">
        <v>2</v>
      </c>
      <c r="E102" s="100">
        <v>1900</v>
      </c>
      <c r="F102" s="99">
        <v>0.189</v>
      </c>
      <c r="G102" s="4">
        <f>((E102*12)*F102)</f>
        <v>4309.2</v>
      </c>
      <c r="H102" s="100">
        <v>568</v>
      </c>
      <c r="I102" s="99">
        <v>0.189</v>
      </c>
      <c r="J102" s="100">
        <v>227</v>
      </c>
      <c r="K102" s="100">
        <v>861</v>
      </c>
      <c r="L102">
        <f>K102-J102</f>
        <v>634</v>
      </c>
      <c r="M102">
        <f>H102-J102</f>
        <v>341</v>
      </c>
      <c r="N102">
        <f>((($K$2*(M102))/(L102)))+0.1</f>
        <v>0.53028391167192435</v>
      </c>
      <c r="O102" s="108">
        <f>I102</f>
        <v>0.189</v>
      </c>
    </row>
    <row r="103" spans="1:15">
      <c r="A103" s="100" t="s">
        <v>224</v>
      </c>
      <c r="B103" s="100" t="s">
        <v>225</v>
      </c>
      <c r="C103" s="100" t="s">
        <v>98</v>
      </c>
      <c r="D103" s="100">
        <v>1</v>
      </c>
      <c r="E103" s="100">
        <v>900</v>
      </c>
      <c r="F103" s="99">
        <v>0.29039999999999999</v>
      </c>
      <c r="G103" s="4">
        <f>((E103*12)*F103)</f>
        <v>3136.3199999999997</v>
      </c>
      <c r="H103" s="100">
        <v>318</v>
      </c>
      <c r="I103" s="99">
        <v>0.29039999999999999</v>
      </c>
      <c r="J103" s="100">
        <v>176</v>
      </c>
      <c r="K103" s="100">
        <v>440</v>
      </c>
      <c r="L103">
        <f>K103-J103</f>
        <v>264</v>
      </c>
      <c r="M103">
        <f>H103-J103</f>
        <v>142</v>
      </c>
      <c r="N103">
        <f>((($K$2*(M103))/(L103)))+0.1</f>
        <v>0.53030303030303039</v>
      </c>
      <c r="O103" s="108">
        <f>I103</f>
        <v>0.29039999999999999</v>
      </c>
    </row>
    <row r="104" spans="1:15">
      <c r="A104" s="100" t="s">
        <v>226</v>
      </c>
      <c r="B104" s="100" t="s">
        <v>199</v>
      </c>
      <c r="C104" s="100" t="s">
        <v>107</v>
      </c>
      <c r="D104" s="100">
        <v>2</v>
      </c>
      <c r="E104" s="100">
        <v>2800</v>
      </c>
      <c r="F104" s="99">
        <v>0.29859999999999998</v>
      </c>
      <c r="G104" s="4">
        <f>((E104*12)*F104)</f>
        <v>10032.959999999999</v>
      </c>
      <c r="H104" s="100">
        <v>556</v>
      </c>
      <c r="I104" s="99">
        <v>0.29859999999999998</v>
      </c>
      <c r="J104" s="100">
        <v>191</v>
      </c>
      <c r="K104" s="100">
        <v>826</v>
      </c>
      <c r="L104">
        <f>K104-J104</f>
        <v>635</v>
      </c>
      <c r="M104">
        <f>H104-J104</f>
        <v>365</v>
      </c>
      <c r="N104">
        <f>((($K$2*(M104))/(L104)))+0.1</f>
        <v>0.5598425196850394</v>
      </c>
      <c r="O104" s="108">
        <f>I104</f>
        <v>0.29859999999999998</v>
      </c>
    </row>
    <row r="105" spans="1:15">
      <c r="A105" s="100" t="s">
        <v>227</v>
      </c>
      <c r="B105" s="100" t="s">
        <v>225</v>
      </c>
      <c r="C105" s="100" t="s">
        <v>98</v>
      </c>
      <c r="D105" s="100">
        <v>2</v>
      </c>
      <c r="E105" s="100">
        <v>1100</v>
      </c>
      <c r="F105" s="99">
        <v>0.58079999999999998</v>
      </c>
      <c r="G105" s="4">
        <f>((E105*12)*F105)</f>
        <v>7666.5599999999995</v>
      </c>
      <c r="H105" s="100">
        <v>538</v>
      </c>
      <c r="I105" s="99">
        <v>0.58079999999999998</v>
      </c>
      <c r="J105" s="100">
        <v>225</v>
      </c>
      <c r="K105" s="100">
        <v>1033</v>
      </c>
      <c r="L105">
        <f>K105-J105</f>
        <v>808</v>
      </c>
      <c r="M105">
        <f>H105-J105</f>
        <v>313</v>
      </c>
      <c r="N105">
        <f>((($K$2*(M105))/(L105)))+0.1</f>
        <v>0.40990099009900993</v>
      </c>
      <c r="O105" s="108">
        <f>I105</f>
        <v>0.58079999999999998</v>
      </c>
    </row>
    <row r="106" spans="1:15">
      <c r="A106" s="100" t="s">
        <v>228</v>
      </c>
      <c r="B106" s="100" t="s">
        <v>225</v>
      </c>
      <c r="C106" s="100" t="s">
        <v>107</v>
      </c>
      <c r="D106" s="100">
        <v>1</v>
      </c>
      <c r="E106" s="100">
        <v>1300</v>
      </c>
      <c r="F106" s="99">
        <v>0.39179999999999998</v>
      </c>
      <c r="G106" s="4">
        <f>((E106*12)*F106)</f>
        <v>6112.08</v>
      </c>
      <c r="H106" s="100">
        <v>318</v>
      </c>
      <c r="I106" s="99">
        <v>0.39179999999999998</v>
      </c>
      <c r="J106" s="100">
        <v>157</v>
      </c>
      <c r="K106" s="100">
        <v>471</v>
      </c>
      <c r="L106">
        <f>K106-J106</f>
        <v>314</v>
      </c>
      <c r="M106">
        <f>H106-J106</f>
        <v>161</v>
      </c>
      <c r="N106">
        <f>((($K$2*(M106))/(L106)))+0.1</f>
        <v>0.51019108280254777</v>
      </c>
      <c r="O106" s="108">
        <f>I106</f>
        <v>0.39179999999999998</v>
      </c>
    </row>
    <row r="107" spans="1:15">
      <c r="A107" s="100" t="s">
        <v>229</v>
      </c>
      <c r="B107" s="100" t="s">
        <v>225</v>
      </c>
      <c r="C107" s="100" t="s">
        <v>107</v>
      </c>
      <c r="D107" s="100">
        <v>2</v>
      </c>
      <c r="E107" s="100">
        <v>1600</v>
      </c>
      <c r="F107" s="99">
        <v>0.38629999999999998</v>
      </c>
      <c r="G107" s="4">
        <f>((E107*12)*F107)</f>
        <v>7416.9599999999991</v>
      </c>
      <c r="H107" s="100">
        <v>680</v>
      </c>
      <c r="I107" s="99">
        <v>0.38629999999999998</v>
      </c>
      <c r="J107" s="100">
        <v>253</v>
      </c>
      <c r="K107" s="100">
        <v>886</v>
      </c>
      <c r="L107">
        <f>K107-J107</f>
        <v>633</v>
      </c>
      <c r="M107">
        <f>H107-J107</f>
        <v>427</v>
      </c>
      <c r="N107">
        <f>((($K$2*(M107))/(L107)))+0.1</f>
        <v>0.63965244865718796</v>
      </c>
      <c r="O107" s="108">
        <f>I107</f>
        <v>0.38629999999999998</v>
      </c>
    </row>
    <row r="108" spans="1:15">
      <c r="A108" s="100" t="s">
        <v>230</v>
      </c>
      <c r="B108" s="100" t="s">
        <v>231</v>
      </c>
      <c r="C108" s="100" t="s">
        <v>98</v>
      </c>
      <c r="D108" s="100">
        <v>1</v>
      </c>
      <c r="E108" s="100">
        <v>1400</v>
      </c>
      <c r="F108" s="99">
        <v>0.48770000000000002</v>
      </c>
      <c r="G108" s="4">
        <f>((E108*12)*F108)</f>
        <v>8193.36</v>
      </c>
      <c r="H108" s="100">
        <v>202</v>
      </c>
      <c r="I108" s="99">
        <v>0.48770000000000002</v>
      </c>
      <c r="J108" s="100">
        <v>76</v>
      </c>
      <c r="K108" s="100">
        <v>342</v>
      </c>
      <c r="L108">
        <f>K108-J108</f>
        <v>266</v>
      </c>
      <c r="M108">
        <f>H108-J108</f>
        <v>126</v>
      </c>
      <c r="N108">
        <f>((($K$2*(M108))/(L108)))+0.1</f>
        <v>0.47894736842105268</v>
      </c>
      <c r="O108" s="108">
        <f>I108</f>
        <v>0.48770000000000002</v>
      </c>
    </row>
    <row r="109" spans="1:15">
      <c r="A109" s="100" t="s">
        <v>232</v>
      </c>
      <c r="B109" s="100" t="s">
        <v>231</v>
      </c>
      <c r="C109" s="100" t="s">
        <v>98</v>
      </c>
      <c r="D109" s="100">
        <v>2</v>
      </c>
      <c r="E109" s="100">
        <v>2000</v>
      </c>
      <c r="F109" s="99">
        <v>0.41099999999999998</v>
      </c>
      <c r="G109" s="4">
        <f>((E109*12)*F109)</f>
        <v>9864</v>
      </c>
      <c r="H109" s="100">
        <v>579</v>
      </c>
      <c r="I109" s="99">
        <v>0.41099999999999998</v>
      </c>
      <c r="J109" s="100">
        <v>107</v>
      </c>
      <c r="K109" s="100">
        <v>781</v>
      </c>
      <c r="L109">
        <f>K109-J109</f>
        <v>674</v>
      </c>
      <c r="M109">
        <f>H109-J109</f>
        <v>472</v>
      </c>
      <c r="N109">
        <f>((($K$2*(M109))/(L109)))+0.1</f>
        <v>0.66023738872403559</v>
      </c>
      <c r="O109" s="108">
        <f>I109</f>
        <v>0.41099999999999998</v>
      </c>
    </row>
    <row r="110" spans="1:15">
      <c r="A110" s="100" t="s">
        <v>233</v>
      </c>
      <c r="B110" s="100" t="s">
        <v>231</v>
      </c>
      <c r="C110" s="100" t="s">
        <v>107</v>
      </c>
      <c r="D110" s="100">
        <v>1</v>
      </c>
      <c r="E110" s="100">
        <v>1700</v>
      </c>
      <c r="F110" s="99">
        <v>0.50409999999999999</v>
      </c>
      <c r="G110" s="4">
        <f>((E110*12)*F110)</f>
        <v>10283.64</v>
      </c>
      <c r="H110" s="100">
        <v>524</v>
      </c>
      <c r="I110" s="99">
        <v>0.50409999999999999</v>
      </c>
      <c r="J110" s="100">
        <v>162</v>
      </c>
      <c r="K110" s="100">
        <v>614</v>
      </c>
      <c r="L110">
        <f>K110-J110</f>
        <v>452</v>
      </c>
      <c r="M110">
        <f>H110-J110</f>
        <v>362</v>
      </c>
      <c r="N110">
        <f>((($K$2*(M110))/(L110)))+0.1</f>
        <v>0.74070796460176991</v>
      </c>
      <c r="O110" s="108">
        <f>I110</f>
        <v>0.50409999999999999</v>
      </c>
    </row>
    <row r="111" spans="1:15">
      <c r="A111" s="100" t="s">
        <v>234</v>
      </c>
      <c r="B111" s="100" t="s">
        <v>231</v>
      </c>
      <c r="C111" s="100" t="s">
        <v>107</v>
      </c>
      <c r="D111" s="100">
        <v>2</v>
      </c>
      <c r="E111" s="100">
        <v>2500</v>
      </c>
      <c r="F111" s="99">
        <v>0.2767</v>
      </c>
      <c r="G111" s="4">
        <f>((E111*12)*F111)</f>
        <v>8301</v>
      </c>
      <c r="H111" s="100">
        <v>560</v>
      </c>
      <c r="I111" s="99">
        <v>0.2767</v>
      </c>
      <c r="J111" s="100">
        <v>158</v>
      </c>
      <c r="K111" s="100">
        <v>906</v>
      </c>
      <c r="L111">
        <f>K111-J111</f>
        <v>748</v>
      </c>
      <c r="M111">
        <f>H111-J111</f>
        <v>402</v>
      </c>
      <c r="N111">
        <f>((($K$2*(M111))/(L111)))+0.1</f>
        <v>0.5299465240641712</v>
      </c>
      <c r="O111" s="108">
        <f>I111</f>
        <v>0.2767</v>
      </c>
    </row>
    <row r="112" spans="1:15">
      <c r="A112" s="100" t="s">
        <v>235</v>
      </c>
      <c r="B112" s="100" t="s">
        <v>236</v>
      </c>
      <c r="C112" s="100" t="s">
        <v>98</v>
      </c>
      <c r="D112" s="100">
        <v>1</v>
      </c>
      <c r="E112" s="100">
        <v>1800</v>
      </c>
      <c r="F112" s="99">
        <v>0.32879999999999998</v>
      </c>
      <c r="G112" s="4">
        <f>((E112*12)*F112)</f>
        <v>7102.08</v>
      </c>
      <c r="H112" s="100">
        <v>362</v>
      </c>
      <c r="I112" s="99">
        <v>0.32879999999999998</v>
      </c>
      <c r="J112" s="100">
        <v>199</v>
      </c>
      <c r="K112" s="100">
        <v>432</v>
      </c>
      <c r="L112">
        <f>K112-J112</f>
        <v>233</v>
      </c>
      <c r="M112">
        <f>H112-J112</f>
        <v>163</v>
      </c>
      <c r="N112">
        <f>((($K$2*(M112))/(L112)))+0.1</f>
        <v>0.65965665236051507</v>
      </c>
      <c r="O112" s="108">
        <f>I112</f>
        <v>0.32879999999999998</v>
      </c>
    </row>
    <row r="113" spans="1:15">
      <c r="A113" s="100" t="s">
        <v>237</v>
      </c>
      <c r="B113" s="100" t="s">
        <v>236</v>
      </c>
      <c r="C113" s="100" t="s">
        <v>98</v>
      </c>
      <c r="D113" s="100">
        <v>2</v>
      </c>
      <c r="E113" s="100">
        <v>2600</v>
      </c>
      <c r="F113" s="99">
        <v>0.53149999999999997</v>
      </c>
      <c r="G113" s="4">
        <f>((E113*12)*F113)</f>
        <v>16582.8</v>
      </c>
      <c r="H113" s="100">
        <v>417</v>
      </c>
      <c r="I113" s="99">
        <v>0.53149999999999997</v>
      </c>
      <c r="J113" s="100">
        <v>366</v>
      </c>
      <c r="K113" s="100">
        <v>594</v>
      </c>
      <c r="L113">
        <f>K113-J113</f>
        <v>228</v>
      </c>
      <c r="M113">
        <f>H113-J113</f>
        <v>51</v>
      </c>
      <c r="N113">
        <f>((($K$2*(M113))/(L113)))+0.1</f>
        <v>0.27894736842105267</v>
      </c>
      <c r="O113" s="108">
        <f>I113</f>
        <v>0.53149999999999997</v>
      </c>
    </row>
    <row r="114" spans="1:15">
      <c r="A114" s="100" t="s">
        <v>238</v>
      </c>
      <c r="B114" s="100" t="s">
        <v>236</v>
      </c>
      <c r="C114" s="100" t="s">
        <v>107</v>
      </c>
      <c r="D114" s="100">
        <v>1</v>
      </c>
      <c r="E114" s="100">
        <v>2500</v>
      </c>
      <c r="F114" s="99">
        <v>0.4274</v>
      </c>
      <c r="G114" s="4">
        <f>((E114*12)*F114)</f>
        <v>12822</v>
      </c>
      <c r="H114" s="100">
        <v>474</v>
      </c>
      <c r="I114" s="99">
        <v>0.4274</v>
      </c>
      <c r="J114" s="100">
        <v>333</v>
      </c>
      <c r="K114" s="100">
        <v>665</v>
      </c>
      <c r="L114">
        <f>K114-J114</f>
        <v>332</v>
      </c>
      <c r="M114">
        <f>H114-J114</f>
        <v>141</v>
      </c>
      <c r="N114">
        <f>((($K$2*(M114))/(L114)))+0.1</f>
        <v>0.43975903614457834</v>
      </c>
      <c r="O114" s="108">
        <f>I114</f>
        <v>0.4274</v>
      </c>
    </row>
    <row r="115" spans="1:15">
      <c r="A115" s="100" t="s">
        <v>239</v>
      </c>
      <c r="B115" s="100" t="s">
        <v>97</v>
      </c>
      <c r="C115" s="100" t="s">
        <v>107</v>
      </c>
      <c r="D115" s="100">
        <v>1</v>
      </c>
      <c r="E115" s="100">
        <v>1500</v>
      </c>
      <c r="F115" s="99">
        <v>0.24110000000000001</v>
      </c>
      <c r="G115" s="4">
        <f>((E115*12)*F115)</f>
        <v>4339.8</v>
      </c>
      <c r="H115" s="100">
        <v>146</v>
      </c>
      <c r="I115" s="99">
        <v>0.24110000000000001</v>
      </c>
      <c r="J115" s="100">
        <v>81</v>
      </c>
      <c r="K115" s="100">
        <v>205</v>
      </c>
      <c r="L115">
        <f>K115-J115</f>
        <v>124</v>
      </c>
      <c r="M115">
        <f>H115-J115</f>
        <v>65</v>
      </c>
      <c r="N115">
        <f>((($K$2*(M115))/(L115)))+0.1</f>
        <v>0.51935483870967747</v>
      </c>
      <c r="O115" s="108">
        <f>I115</f>
        <v>0.24110000000000001</v>
      </c>
    </row>
    <row r="116" spans="1:15">
      <c r="A116" s="100" t="s">
        <v>240</v>
      </c>
      <c r="B116" s="100" t="s">
        <v>199</v>
      </c>
      <c r="C116" s="100" t="s">
        <v>98</v>
      </c>
      <c r="D116" s="100">
        <v>1</v>
      </c>
      <c r="E116" s="100">
        <v>1700</v>
      </c>
      <c r="F116" s="99">
        <v>0.41099999999999998</v>
      </c>
      <c r="G116" s="4">
        <f>((E116*12)*F116)</f>
        <v>8384.4</v>
      </c>
      <c r="H116" s="100">
        <v>312</v>
      </c>
      <c r="I116" s="99">
        <v>0.41099999999999998</v>
      </c>
      <c r="J116" s="100">
        <v>106</v>
      </c>
      <c r="K116" s="100">
        <v>465</v>
      </c>
      <c r="L116">
        <f>K116-J116</f>
        <v>359</v>
      </c>
      <c r="M116">
        <f>H116-J116</f>
        <v>206</v>
      </c>
      <c r="N116">
        <f>((($K$2*(M116))/(L116)))+0.1</f>
        <v>0.55905292479108637</v>
      </c>
      <c r="O116" s="108">
        <f>I116</f>
        <v>0.41099999999999998</v>
      </c>
    </row>
    <row r="117" spans="1:15">
      <c r="A117" s="100" t="s">
        <v>241</v>
      </c>
      <c r="B117" s="100" t="s">
        <v>236</v>
      </c>
      <c r="C117" s="100" t="s">
        <v>107</v>
      </c>
      <c r="D117" s="100">
        <v>2</v>
      </c>
      <c r="E117" s="100">
        <v>3600</v>
      </c>
      <c r="F117" s="99">
        <v>0.39729999999999999</v>
      </c>
      <c r="G117" s="4">
        <f>((E117*12)*F117)</f>
        <v>17163.36</v>
      </c>
      <c r="H117" s="100">
        <v>491</v>
      </c>
      <c r="I117" s="99">
        <v>0.39729999999999999</v>
      </c>
      <c r="J117" s="100">
        <v>336</v>
      </c>
      <c r="K117" s="100">
        <v>624</v>
      </c>
      <c r="L117">
        <f>K117-J117</f>
        <v>288</v>
      </c>
      <c r="M117">
        <f>H117-J117</f>
        <v>155</v>
      </c>
      <c r="N117">
        <f>((($K$2*(M117))/(L117)))+0.1</f>
        <v>0.53055555555555556</v>
      </c>
      <c r="O117" s="108">
        <f>I117</f>
        <v>0.39729999999999999</v>
      </c>
    </row>
    <row r="118" spans="1:15">
      <c r="A118" s="100" t="s">
        <v>242</v>
      </c>
      <c r="B118" s="100" t="s">
        <v>243</v>
      </c>
      <c r="C118" s="100" t="s">
        <v>98</v>
      </c>
      <c r="D118" s="100">
        <v>1</v>
      </c>
      <c r="E118" s="100">
        <v>1200</v>
      </c>
      <c r="F118" s="99">
        <v>0.79730000000000001</v>
      </c>
      <c r="G118" s="4">
        <f>((E118*12)*F118)</f>
        <v>11481.12</v>
      </c>
      <c r="H118" s="100">
        <v>204</v>
      </c>
      <c r="I118" s="99">
        <v>0.79730000000000001</v>
      </c>
      <c r="J118" s="100">
        <v>173</v>
      </c>
      <c r="K118" s="100">
        <v>395</v>
      </c>
      <c r="L118">
        <f>K118-J118</f>
        <v>222</v>
      </c>
      <c r="M118">
        <f>H118-J118</f>
        <v>31</v>
      </c>
      <c r="N118">
        <f>((($K$2*(M118))/(L118)))+0.1</f>
        <v>0.21171171171171171</v>
      </c>
      <c r="O118" s="108">
        <f>I118</f>
        <v>0.79730000000000001</v>
      </c>
    </row>
    <row r="119" spans="1:15">
      <c r="A119" s="100" t="s">
        <v>244</v>
      </c>
      <c r="B119" s="100" t="s">
        <v>243</v>
      </c>
      <c r="C119" s="100" t="s">
        <v>98</v>
      </c>
      <c r="D119" s="100">
        <v>2</v>
      </c>
      <c r="E119" s="100">
        <v>1600</v>
      </c>
      <c r="F119" s="99">
        <v>0.68769999999999998</v>
      </c>
      <c r="G119" s="4">
        <f>((E119*12)*F119)</f>
        <v>13203.84</v>
      </c>
      <c r="H119" s="100">
        <v>245</v>
      </c>
      <c r="I119" s="99">
        <v>0.68769999999999998</v>
      </c>
      <c r="J119" s="100">
        <v>228</v>
      </c>
      <c r="K119" s="100">
        <v>456</v>
      </c>
      <c r="L119">
        <f>K119-J119</f>
        <v>228</v>
      </c>
      <c r="M119">
        <f>H119-J119</f>
        <v>17</v>
      </c>
      <c r="N119">
        <f>((($K$2*(M119))/(L119)))+0.1</f>
        <v>0.15964912280701754</v>
      </c>
      <c r="O119" s="108">
        <f>I119</f>
        <v>0.68769999999999998</v>
      </c>
    </row>
    <row r="120" spans="1:15">
      <c r="A120" s="100" t="s">
        <v>245</v>
      </c>
      <c r="B120" s="100" t="s">
        <v>243</v>
      </c>
      <c r="C120" s="100" t="s">
        <v>107</v>
      </c>
      <c r="D120" s="100">
        <v>1</v>
      </c>
      <c r="E120" s="100">
        <v>1000</v>
      </c>
      <c r="F120" s="99">
        <v>0.58899999999999997</v>
      </c>
      <c r="G120" s="4">
        <f>((E120*12)*F120)</f>
        <v>7068</v>
      </c>
      <c r="H120" s="100">
        <v>197</v>
      </c>
      <c r="I120" s="99">
        <v>0.58899999999999997</v>
      </c>
      <c r="J120" s="100">
        <v>155</v>
      </c>
      <c r="K120" s="100">
        <v>252</v>
      </c>
      <c r="L120">
        <f>K120-J120</f>
        <v>97</v>
      </c>
      <c r="M120">
        <f>H120-J120</f>
        <v>42</v>
      </c>
      <c r="N120">
        <f>((($K$2*(M120))/(L120)))+0.1</f>
        <v>0.44639175257731956</v>
      </c>
      <c r="O120" s="108">
        <f>I120</f>
        <v>0.58899999999999997</v>
      </c>
    </row>
    <row r="121" spans="1:15">
      <c r="A121" s="100" t="s">
        <v>246</v>
      </c>
      <c r="B121" s="100" t="s">
        <v>243</v>
      </c>
      <c r="C121" s="100" t="s">
        <v>107</v>
      </c>
      <c r="D121" s="100">
        <v>2</v>
      </c>
      <c r="E121" s="100">
        <v>1500</v>
      </c>
      <c r="F121" s="99">
        <v>0.61919999999999997</v>
      </c>
      <c r="G121" s="4">
        <f>((E121*12)*F121)</f>
        <v>11145.6</v>
      </c>
      <c r="H121" s="100">
        <v>195</v>
      </c>
      <c r="I121" s="99">
        <v>0.61919999999999997</v>
      </c>
      <c r="J121" s="100">
        <v>158</v>
      </c>
      <c r="K121" s="100">
        <v>236</v>
      </c>
      <c r="L121">
        <f>K121-J121</f>
        <v>78</v>
      </c>
      <c r="M121">
        <f>H121-J121</f>
        <v>37</v>
      </c>
      <c r="N121">
        <f>((($K$2*(M121))/(L121)))+0.1</f>
        <v>0.47948717948717956</v>
      </c>
      <c r="O121" s="108">
        <f>I121</f>
        <v>0.61919999999999997</v>
      </c>
    </row>
    <row r="122" spans="1:15">
      <c r="A122" s="100" t="s">
        <v>247</v>
      </c>
      <c r="B122" s="100" t="s">
        <v>248</v>
      </c>
      <c r="C122" s="100" t="s">
        <v>98</v>
      </c>
      <c r="D122" s="100">
        <v>1</v>
      </c>
      <c r="E122" s="100">
        <v>750</v>
      </c>
      <c r="F122" s="99">
        <v>0.45479999999999998</v>
      </c>
      <c r="G122" s="4">
        <f>((E122*12)*F122)</f>
        <v>4093.2</v>
      </c>
      <c r="H122" s="100">
        <v>124</v>
      </c>
      <c r="I122" s="99">
        <v>0.45479999999999998</v>
      </c>
      <c r="J122" s="100">
        <v>89</v>
      </c>
      <c r="K122" s="100">
        <v>155</v>
      </c>
      <c r="L122">
        <f>K122-J122</f>
        <v>66</v>
      </c>
      <c r="M122">
        <f>H122-J122</f>
        <v>35</v>
      </c>
      <c r="N122">
        <f>((($K$2*(M122))/(L122)))+0.1</f>
        <v>0.52424242424242429</v>
      </c>
      <c r="O122" s="108">
        <f>I122</f>
        <v>0.45479999999999998</v>
      </c>
    </row>
    <row r="123" spans="1:15">
      <c r="A123" s="100" t="s">
        <v>249</v>
      </c>
      <c r="B123" s="100" t="s">
        <v>248</v>
      </c>
      <c r="C123" s="100" t="s">
        <v>98</v>
      </c>
      <c r="D123" s="100">
        <v>2</v>
      </c>
      <c r="E123" s="100">
        <v>1040</v>
      </c>
      <c r="F123" s="99">
        <v>0.48770000000000002</v>
      </c>
      <c r="G123" s="4">
        <f>((E123*12)*F123)</f>
        <v>6086.4960000000001</v>
      </c>
      <c r="H123" s="100">
        <v>156</v>
      </c>
      <c r="I123" s="99">
        <v>0.48770000000000002</v>
      </c>
      <c r="J123" s="100">
        <v>115</v>
      </c>
      <c r="K123" s="100">
        <v>179</v>
      </c>
      <c r="L123">
        <f>K123-J123</f>
        <v>64</v>
      </c>
      <c r="M123">
        <f>H123-J123</f>
        <v>41</v>
      </c>
      <c r="N123">
        <f>((($K$2*(M123))/(L123)))+0.1</f>
        <v>0.61250000000000004</v>
      </c>
      <c r="O123" s="108">
        <f>I123</f>
        <v>0.48770000000000002</v>
      </c>
    </row>
    <row r="124" spans="1:15">
      <c r="A124" s="100" t="s">
        <v>250</v>
      </c>
      <c r="B124" s="100" t="s">
        <v>248</v>
      </c>
      <c r="C124" s="100" t="s">
        <v>107</v>
      </c>
      <c r="D124" s="100">
        <v>1</v>
      </c>
      <c r="E124" s="100">
        <v>900</v>
      </c>
      <c r="F124" s="99">
        <v>0.47949999999999998</v>
      </c>
      <c r="G124" s="4">
        <f>((E124*12)*F124)</f>
        <v>5178.5999999999995</v>
      </c>
      <c r="H124" s="100">
        <v>256</v>
      </c>
      <c r="I124" s="99">
        <v>0.47949999999999998</v>
      </c>
      <c r="J124" s="100">
        <v>152</v>
      </c>
      <c r="K124" s="100">
        <v>300</v>
      </c>
      <c r="L124">
        <f>K124-J124</f>
        <v>148</v>
      </c>
      <c r="M124">
        <f>H124-J124</f>
        <v>104</v>
      </c>
      <c r="N124">
        <f>((($K$2*(M124))/(L124)))+0.1</f>
        <v>0.66216216216216217</v>
      </c>
      <c r="O124" s="108">
        <f>I124</f>
        <v>0.47949999999999998</v>
      </c>
    </row>
    <row r="125" spans="1:15">
      <c r="A125" s="100" t="s">
        <v>251</v>
      </c>
      <c r="B125" s="100" t="s">
        <v>248</v>
      </c>
      <c r="C125" s="100" t="s">
        <v>107</v>
      </c>
      <c r="D125" s="100">
        <v>2</v>
      </c>
      <c r="E125" s="100">
        <v>1400</v>
      </c>
      <c r="F125" s="99">
        <v>0.49320000000000003</v>
      </c>
      <c r="G125" s="4">
        <f>((E125*12)*F125)</f>
        <v>8285.76</v>
      </c>
      <c r="H125" s="100">
        <v>284</v>
      </c>
      <c r="I125" s="99">
        <v>0.49320000000000003</v>
      </c>
      <c r="J125" s="100">
        <v>175</v>
      </c>
      <c r="K125" s="100">
        <v>368</v>
      </c>
      <c r="L125">
        <f>K125-J125</f>
        <v>193</v>
      </c>
      <c r="M125">
        <f>H125-J125</f>
        <v>109</v>
      </c>
      <c r="N125">
        <f>((($K$2*(M125))/(L125)))+0.1</f>
        <v>0.55181347150259075</v>
      </c>
      <c r="O125" s="108">
        <f>I125</f>
        <v>0.49320000000000003</v>
      </c>
    </row>
    <row r="126" spans="1:15">
      <c r="A126" s="100" t="s">
        <v>252</v>
      </c>
      <c r="B126" s="100" t="s">
        <v>253</v>
      </c>
      <c r="C126" s="100" t="s">
        <v>98</v>
      </c>
      <c r="D126" s="100">
        <v>1</v>
      </c>
      <c r="E126" s="100">
        <v>825</v>
      </c>
      <c r="F126" s="99">
        <v>0.36159999999999998</v>
      </c>
      <c r="G126" s="4">
        <f>((E126*12)*F126)</f>
        <v>3579.8399999999997</v>
      </c>
      <c r="H126" s="100">
        <v>128</v>
      </c>
      <c r="I126" s="99">
        <v>0.36159999999999998</v>
      </c>
      <c r="J126" s="100">
        <v>77</v>
      </c>
      <c r="K126" s="100">
        <v>161</v>
      </c>
      <c r="L126">
        <f>K126-J126</f>
        <v>84</v>
      </c>
      <c r="M126">
        <f>H126-J126</f>
        <v>51</v>
      </c>
      <c r="N126">
        <f>((($K$2*(M126))/(L126)))+0.1</f>
        <v>0.58571428571428574</v>
      </c>
      <c r="O126" s="108">
        <f>I126</f>
        <v>0.36159999999999998</v>
      </c>
    </row>
    <row r="127" spans="1:15">
      <c r="A127" s="100" t="s">
        <v>254</v>
      </c>
      <c r="B127" s="100" t="s">
        <v>255</v>
      </c>
      <c r="C127" s="100" t="s">
        <v>98</v>
      </c>
      <c r="D127" s="100">
        <v>2</v>
      </c>
      <c r="E127" s="100">
        <v>2700</v>
      </c>
      <c r="F127" s="99">
        <v>0.4219</v>
      </c>
      <c r="G127" s="4">
        <f>((E127*12)*F127)</f>
        <v>13669.56</v>
      </c>
      <c r="H127" s="100">
        <v>337</v>
      </c>
      <c r="I127" s="99">
        <v>0.4219</v>
      </c>
      <c r="J127" s="100">
        <v>157</v>
      </c>
      <c r="K127" s="100">
        <v>526</v>
      </c>
      <c r="L127">
        <f>K127-J127</f>
        <v>369</v>
      </c>
      <c r="M127">
        <f>H127-J127</f>
        <v>180</v>
      </c>
      <c r="N127">
        <f>((($K$2*(M127))/(L127)))+0.1</f>
        <v>0.49024390243902438</v>
      </c>
      <c r="O127" s="108">
        <f>I127</f>
        <v>0.4219</v>
      </c>
    </row>
    <row r="128" spans="1:15">
      <c r="A128" s="100" t="s">
        <v>256</v>
      </c>
      <c r="B128" s="100" t="s">
        <v>253</v>
      </c>
      <c r="C128" s="100" t="s">
        <v>98</v>
      </c>
      <c r="D128" s="100">
        <v>2</v>
      </c>
      <c r="E128" s="100">
        <v>1300</v>
      </c>
      <c r="F128" s="99">
        <v>0.74250000000000005</v>
      </c>
      <c r="G128" s="4">
        <f>((E128*12)*F128)</f>
        <v>11583</v>
      </c>
      <c r="H128" s="100">
        <v>139</v>
      </c>
      <c r="I128" s="99">
        <v>0.74250000000000005</v>
      </c>
      <c r="J128" s="100">
        <v>125</v>
      </c>
      <c r="K128" s="100">
        <v>170</v>
      </c>
      <c r="L128">
        <f>K128-J128</f>
        <v>45</v>
      </c>
      <c r="M128">
        <f>H128-J128</f>
        <v>14</v>
      </c>
      <c r="N128">
        <f>((($K$2*(M128))/(L128)))+0.1</f>
        <v>0.34888888888888892</v>
      </c>
      <c r="O128" s="108">
        <f>I128</f>
        <v>0.74250000000000005</v>
      </c>
    </row>
    <row r="129" spans="1:15">
      <c r="A129" s="100" t="s">
        <v>257</v>
      </c>
      <c r="B129" s="100" t="s">
        <v>253</v>
      </c>
      <c r="C129" s="100" t="s">
        <v>107</v>
      </c>
      <c r="D129" s="100">
        <v>1</v>
      </c>
      <c r="E129" s="100">
        <v>1000</v>
      </c>
      <c r="F129" s="99">
        <v>0.36990000000000001</v>
      </c>
      <c r="G129" s="4">
        <f>((E129*12)*F129)</f>
        <v>4438.8</v>
      </c>
      <c r="H129" s="100">
        <v>240</v>
      </c>
      <c r="I129" s="99">
        <v>0.36990000000000001</v>
      </c>
      <c r="J129" s="100">
        <v>140</v>
      </c>
      <c r="K129" s="100">
        <v>288</v>
      </c>
      <c r="L129">
        <f>K129-J129</f>
        <v>148</v>
      </c>
      <c r="M129">
        <f>H129-J129</f>
        <v>100</v>
      </c>
      <c r="N129">
        <f>((($K$2*(M129))/(L129)))+0.1</f>
        <v>0.64054054054054055</v>
      </c>
      <c r="O129" s="108">
        <f>I129</f>
        <v>0.36990000000000001</v>
      </c>
    </row>
    <row r="130" spans="1:15">
      <c r="A130" s="100" t="s">
        <v>258</v>
      </c>
      <c r="B130" s="100" t="s">
        <v>253</v>
      </c>
      <c r="C130" s="100" t="s">
        <v>107</v>
      </c>
      <c r="D130" s="100">
        <v>2</v>
      </c>
      <c r="E130" s="100">
        <v>1480</v>
      </c>
      <c r="F130" s="99">
        <v>0.44109999999999999</v>
      </c>
      <c r="G130" s="4">
        <f>((E130*12)*F130)</f>
        <v>7833.9359999999997</v>
      </c>
      <c r="H130" s="100">
        <v>249</v>
      </c>
      <c r="I130" s="99">
        <v>0.44109999999999999</v>
      </c>
      <c r="J130" s="100">
        <v>175</v>
      </c>
      <c r="K130" s="100">
        <v>310</v>
      </c>
      <c r="L130">
        <f>K130-J130</f>
        <v>135</v>
      </c>
      <c r="M130">
        <f>H130-J130</f>
        <v>74</v>
      </c>
      <c r="N130">
        <f>((($K$2*(M130))/(L130)))+0.1</f>
        <v>0.53851851851851851</v>
      </c>
      <c r="O130" s="108">
        <f>I130</f>
        <v>0.44109999999999999</v>
      </c>
    </row>
    <row r="131" spans="1:15">
      <c r="A131" s="100" t="s">
        <v>259</v>
      </c>
      <c r="B131" s="100" t="s">
        <v>260</v>
      </c>
      <c r="C131" s="100" t="s">
        <v>98</v>
      </c>
      <c r="D131" s="100">
        <v>1</v>
      </c>
      <c r="E131" s="100">
        <v>650</v>
      </c>
      <c r="F131" s="99">
        <v>0.47949999999999998</v>
      </c>
      <c r="G131" s="4">
        <f>((E131*12)*F131)</f>
        <v>3740.1</v>
      </c>
      <c r="H131" s="100">
        <v>107</v>
      </c>
      <c r="I131" s="99">
        <v>0.47949999999999998</v>
      </c>
      <c r="J131" s="100">
        <v>80</v>
      </c>
      <c r="K131" s="100">
        <v>156</v>
      </c>
      <c r="L131">
        <f>K131-J131</f>
        <v>76</v>
      </c>
      <c r="M131">
        <f>H131-J131</f>
        <v>27</v>
      </c>
      <c r="N131">
        <f>((($K$2*(M131))/(L131)))+0.1</f>
        <v>0.38421052631578945</v>
      </c>
      <c r="O131" s="108">
        <f>I131</f>
        <v>0.47949999999999998</v>
      </c>
    </row>
    <row r="132" spans="1:15">
      <c r="A132" s="100" t="s">
        <v>261</v>
      </c>
      <c r="B132" s="100" t="s">
        <v>260</v>
      </c>
      <c r="C132" s="100" t="s">
        <v>98</v>
      </c>
      <c r="D132" s="100">
        <v>2</v>
      </c>
      <c r="E132" s="100">
        <v>920</v>
      </c>
      <c r="F132" s="99">
        <v>0.41370000000000001</v>
      </c>
      <c r="G132" s="4">
        <f>((E132*12)*F132)</f>
        <v>4567.2480000000005</v>
      </c>
      <c r="H132" s="100">
        <v>147</v>
      </c>
      <c r="I132" s="99">
        <v>0.41370000000000001</v>
      </c>
      <c r="J132" s="100">
        <v>108</v>
      </c>
      <c r="K132" s="100">
        <v>205</v>
      </c>
      <c r="L132">
        <f>K132-J132</f>
        <v>97</v>
      </c>
      <c r="M132">
        <f>H132-J132</f>
        <v>39</v>
      </c>
      <c r="N132">
        <f>((($K$2*(M132))/(L132)))+0.1</f>
        <v>0.42164948453608253</v>
      </c>
      <c r="O132" s="108">
        <f>I132</f>
        <v>0.41370000000000001</v>
      </c>
    </row>
    <row r="133" spans="1:15">
      <c r="A133" s="100" t="s">
        <v>262</v>
      </c>
      <c r="B133" s="100" t="s">
        <v>260</v>
      </c>
      <c r="C133" s="100" t="s">
        <v>107</v>
      </c>
      <c r="D133" s="100">
        <v>1</v>
      </c>
      <c r="E133" s="100">
        <v>880</v>
      </c>
      <c r="F133" s="99">
        <v>0.44379999999999997</v>
      </c>
      <c r="G133" s="4">
        <f>((E133*12)*F133)</f>
        <v>4686.5279999999993</v>
      </c>
      <c r="H133" s="100">
        <v>246</v>
      </c>
      <c r="I133" s="99">
        <v>0.44379999999999997</v>
      </c>
      <c r="J133" s="100">
        <v>145</v>
      </c>
      <c r="K133" s="100">
        <v>333</v>
      </c>
      <c r="L133">
        <f>K133-J133</f>
        <v>188</v>
      </c>
      <c r="M133">
        <f>H133-J133</f>
        <v>101</v>
      </c>
      <c r="N133">
        <f>((($K$2*(M133))/(L133)))+0.1</f>
        <v>0.52978723404255323</v>
      </c>
      <c r="O133" s="108">
        <f>I133</f>
        <v>0.44379999999999997</v>
      </c>
    </row>
    <row r="134" spans="1:15">
      <c r="A134" s="100" t="s">
        <v>263</v>
      </c>
      <c r="B134" s="100" t="s">
        <v>260</v>
      </c>
      <c r="C134" s="100" t="s">
        <v>107</v>
      </c>
      <c r="D134" s="100">
        <v>2</v>
      </c>
      <c r="E134" s="100">
        <v>1200</v>
      </c>
      <c r="F134" s="99">
        <v>0.61919999999999997</v>
      </c>
      <c r="G134" s="4">
        <f>((E134*12)*F134)</f>
        <v>8916.48</v>
      </c>
      <c r="H134" s="100">
        <v>169</v>
      </c>
      <c r="I134" s="99">
        <v>0.61919999999999997</v>
      </c>
      <c r="J134" s="100">
        <v>160</v>
      </c>
      <c r="K134" s="100">
        <v>310</v>
      </c>
      <c r="L134">
        <f>K134-J134</f>
        <v>150</v>
      </c>
      <c r="M134">
        <f>H134-J134</f>
        <v>9</v>
      </c>
      <c r="N134">
        <f>((($K$2*(M134))/(L134)))+0.1</f>
        <v>0.14800000000000002</v>
      </c>
      <c r="O134" s="108">
        <f>I134</f>
        <v>0.61919999999999997</v>
      </c>
    </row>
    <row r="135" spans="1:15">
      <c r="A135" s="100" t="s">
        <v>264</v>
      </c>
      <c r="B135" s="100" t="s">
        <v>265</v>
      </c>
      <c r="C135" s="100" t="s">
        <v>98</v>
      </c>
      <c r="D135" s="100">
        <v>1</v>
      </c>
      <c r="E135" s="100">
        <v>1000</v>
      </c>
      <c r="F135" s="99">
        <v>0.54790000000000005</v>
      </c>
      <c r="G135" s="4">
        <f>((E135*12)*F135)</f>
        <v>6574.8000000000011</v>
      </c>
      <c r="H135" s="100">
        <v>174</v>
      </c>
      <c r="I135" s="99">
        <v>0.54790000000000005</v>
      </c>
      <c r="J135" s="100">
        <v>95</v>
      </c>
      <c r="K135" s="100">
        <v>280</v>
      </c>
      <c r="L135">
        <f>K135-J135</f>
        <v>185</v>
      </c>
      <c r="M135">
        <f>H135-J135</f>
        <v>79</v>
      </c>
      <c r="N135">
        <f>((($K$2*(M135))/(L135)))+0.1</f>
        <v>0.44162162162162166</v>
      </c>
      <c r="O135" s="108">
        <f>I135</f>
        <v>0.54790000000000005</v>
      </c>
    </row>
    <row r="136" spans="1:15">
      <c r="A136" s="100" t="s">
        <v>266</v>
      </c>
      <c r="B136" s="100" t="s">
        <v>265</v>
      </c>
      <c r="C136" s="100" t="s">
        <v>98</v>
      </c>
      <c r="D136" s="100">
        <v>2</v>
      </c>
      <c r="E136" s="100">
        <v>1200</v>
      </c>
      <c r="F136" s="99">
        <v>0.2712</v>
      </c>
      <c r="G136" s="4">
        <f>((E136*12)*F136)</f>
        <v>3905.2799999999997</v>
      </c>
      <c r="H136" s="100">
        <v>203</v>
      </c>
      <c r="I136" s="99">
        <v>0.2712</v>
      </c>
      <c r="J136" s="100">
        <v>125</v>
      </c>
      <c r="K136" s="100">
        <v>277</v>
      </c>
      <c r="L136">
        <f>K136-J136</f>
        <v>152</v>
      </c>
      <c r="M136">
        <f>H136-J136</f>
        <v>78</v>
      </c>
      <c r="N136">
        <f>((($K$2*(M136))/(L136)))+0.1</f>
        <v>0.51052631578947372</v>
      </c>
      <c r="O136" s="108">
        <f>I136</f>
        <v>0.2712</v>
      </c>
    </row>
    <row r="137" spans="1:15">
      <c r="A137" s="100" t="s">
        <v>267</v>
      </c>
      <c r="B137" s="100" t="s">
        <v>265</v>
      </c>
      <c r="C137" s="100" t="s">
        <v>107</v>
      </c>
      <c r="D137" s="100">
        <v>1</v>
      </c>
      <c r="E137" s="100">
        <v>1400</v>
      </c>
      <c r="F137" s="99">
        <v>0.76160000000000005</v>
      </c>
      <c r="G137" s="4">
        <f>((E137*12)*F137)</f>
        <v>12794.880000000001</v>
      </c>
      <c r="H137" s="100">
        <v>240</v>
      </c>
      <c r="I137" s="99">
        <v>0.76160000000000005</v>
      </c>
      <c r="J137" s="100">
        <v>209</v>
      </c>
      <c r="K137" s="100">
        <v>384</v>
      </c>
      <c r="L137">
        <f>K137-J137</f>
        <v>175</v>
      </c>
      <c r="M137">
        <f>H137-J137</f>
        <v>31</v>
      </c>
      <c r="N137">
        <f>((($K$2*(M137))/(L137)))+0.1</f>
        <v>0.24171428571428571</v>
      </c>
      <c r="O137" s="108">
        <f>I137</f>
        <v>0.76160000000000005</v>
      </c>
    </row>
    <row r="138" spans="1:15">
      <c r="A138" s="100" t="s">
        <v>268</v>
      </c>
      <c r="B138" s="100" t="s">
        <v>255</v>
      </c>
      <c r="C138" s="100" t="s">
        <v>107</v>
      </c>
      <c r="D138" s="100">
        <v>1</v>
      </c>
      <c r="E138" s="100">
        <v>2700</v>
      </c>
      <c r="F138" s="99">
        <v>0.51229999999999998</v>
      </c>
      <c r="G138" s="4">
        <f>((E138*12)*F138)</f>
        <v>16598.52</v>
      </c>
      <c r="H138" s="100">
        <v>389</v>
      </c>
      <c r="I138" s="99">
        <v>0.51229999999999998</v>
      </c>
      <c r="J138" s="100">
        <v>202</v>
      </c>
      <c r="K138" s="100">
        <v>629</v>
      </c>
      <c r="L138">
        <f>K138-J138</f>
        <v>427</v>
      </c>
      <c r="M138">
        <f>H138-J138</f>
        <v>187</v>
      </c>
      <c r="N138">
        <f>((($K$2*(M138))/(L138)))+0.1</f>
        <v>0.45035128805620606</v>
      </c>
      <c r="O138" s="108">
        <f>I138</f>
        <v>0.51229999999999998</v>
      </c>
    </row>
    <row r="139" spans="1:15">
      <c r="A139" s="100" t="s">
        <v>269</v>
      </c>
      <c r="B139" s="100" t="s">
        <v>265</v>
      </c>
      <c r="C139" s="100" t="s">
        <v>107</v>
      </c>
      <c r="D139" s="100">
        <v>2</v>
      </c>
      <c r="E139" s="100">
        <v>1600</v>
      </c>
      <c r="F139" s="99">
        <v>0.60819999999999996</v>
      </c>
      <c r="G139" s="4">
        <f>((E139*12)*F139)</f>
        <v>11677.439999999999</v>
      </c>
      <c r="H139" s="100">
        <v>312</v>
      </c>
      <c r="I139" s="99">
        <v>0.60819999999999996</v>
      </c>
      <c r="J139" s="100">
        <v>220</v>
      </c>
      <c r="K139" s="100">
        <v>418</v>
      </c>
      <c r="L139">
        <f>K139-J139</f>
        <v>198</v>
      </c>
      <c r="M139">
        <f>H139-J139</f>
        <v>92</v>
      </c>
      <c r="N139">
        <f>((($K$2*(M139))/(L139)))+0.1</f>
        <v>0.47171717171717176</v>
      </c>
      <c r="O139" s="108">
        <f>I139</f>
        <v>0.60819999999999996</v>
      </c>
    </row>
    <row r="140" spans="1:15">
      <c r="A140" s="100" t="s">
        <v>270</v>
      </c>
      <c r="B140" s="100" t="s">
        <v>271</v>
      </c>
      <c r="C140" s="100" t="s">
        <v>98</v>
      </c>
      <c r="D140" s="100">
        <v>1</v>
      </c>
      <c r="E140" s="100">
        <v>1105</v>
      </c>
      <c r="F140" s="99">
        <v>0.61099999999999999</v>
      </c>
      <c r="G140" s="4">
        <f>((E140*12)*F140)</f>
        <v>8101.86</v>
      </c>
      <c r="H140" s="100">
        <v>111</v>
      </c>
      <c r="I140" s="99">
        <v>0.61099999999999999</v>
      </c>
      <c r="J140" s="100">
        <v>82</v>
      </c>
      <c r="K140" s="100">
        <v>235</v>
      </c>
      <c r="L140">
        <f>K140-J140</f>
        <v>153</v>
      </c>
      <c r="M140">
        <f>H140-J140</f>
        <v>29</v>
      </c>
      <c r="N140">
        <f>((($K$2*(M140))/(L140)))+0.1</f>
        <v>0.25163398692810457</v>
      </c>
      <c r="O140" s="108">
        <f>I140</f>
        <v>0.61099999999999999</v>
      </c>
    </row>
    <row r="141" spans="1:15">
      <c r="A141" s="100" t="s">
        <v>272</v>
      </c>
      <c r="B141" s="100" t="s">
        <v>271</v>
      </c>
      <c r="C141" s="100" t="s">
        <v>98</v>
      </c>
      <c r="D141" s="100">
        <v>2</v>
      </c>
      <c r="E141" s="100">
        <v>1665</v>
      </c>
      <c r="F141" s="99">
        <v>0.30680000000000002</v>
      </c>
      <c r="G141" s="4">
        <f>((E141*12)*F141)</f>
        <v>6129.8640000000005</v>
      </c>
      <c r="H141" s="100">
        <v>169</v>
      </c>
      <c r="I141" s="99">
        <v>0.30680000000000002</v>
      </c>
      <c r="J141" s="100">
        <v>130</v>
      </c>
      <c r="K141" s="100">
        <v>200</v>
      </c>
      <c r="L141">
        <f>K141-J141</f>
        <v>70</v>
      </c>
      <c r="M141">
        <f>H141-J141</f>
        <v>39</v>
      </c>
      <c r="N141">
        <f>((($K$2*(M141))/(L141)))+0.1</f>
        <v>0.54571428571428571</v>
      </c>
      <c r="O141" s="108">
        <f>I141</f>
        <v>0.30680000000000002</v>
      </c>
    </row>
    <row r="142" spans="1:15">
      <c r="A142" s="100" t="s">
        <v>273</v>
      </c>
      <c r="B142" s="100" t="s">
        <v>271</v>
      </c>
      <c r="C142" s="100" t="s">
        <v>107</v>
      </c>
      <c r="D142" s="100">
        <v>1</v>
      </c>
      <c r="E142" s="100">
        <v>1175</v>
      </c>
      <c r="F142" s="99">
        <v>0.52329999999999999</v>
      </c>
      <c r="G142" s="4">
        <f>((E142*12)*F142)</f>
        <v>7378.53</v>
      </c>
      <c r="H142" s="100">
        <v>201</v>
      </c>
      <c r="I142" s="99">
        <v>0.52329999999999999</v>
      </c>
      <c r="J142" s="100">
        <v>106</v>
      </c>
      <c r="K142" s="100">
        <v>267</v>
      </c>
      <c r="L142">
        <f>K142-J142</f>
        <v>161</v>
      </c>
      <c r="M142">
        <f>H142-J142</f>
        <v>95</v>
      </c>
      <c r="N142">
        <f>((($K$2*(M142))/(L142)))+0.1</f>
        <v>0.57204968944099377</v>
      </c>
      <c r="O142" s="108">
        <f>I142</f>
        <v>0.52329999999999999</v>
      </c>
    </row>
    <row r="143" spans="1:15">
      <c r="A143" s="100" t="s">
        <v>274</v>
      </c>
      <c r="B143" s="100" t="s">
        <v>271</v>
      </c>
      <c r="C143" s="100" t="s">
        <v>107</v>
      </c>
      <c r="D143" s="100">
        <v>2</v>
      </c>
      <c r="E143" s="100">
        <v>1725</v>
      </c>
      <c r="F143" s="99">
        <v>0.48220000000000002</v>
      </c>
      <c r="G143" s="4">
        <f>((E143*12)*F143)</f>
        <v>9981.5400000000009</v>
      </c>
      <c r="H143" s="100">
        <v>242</v>
      </c>
      <c r="I143" s="99">
        <v>0.48220000000000002</v>
      </c>
      <c r="J143" s="100">
        <v>195</v>
      </c>
      <c r="K143" s="100">
        <v>305</v>
      </c>
      <c r="L143">
        <f>K143-J143</f>
        <v>110</v>
      </c>
      <c r="M143">
        <f>H143-J143</f>
        <v>47</v>
      </c>
      <c r="N143">
        <f>((($K$2*(M143))/(L143)))+0.1</f>
        <v>0.44181818181818189</v>
      </c>
      <c r="O143" s="108">
        <f>I143</f>
        <v>0.48220000000000002</v>
      </c>
    </row>
    <row r="144" spans="1:15">
      <c r="A144" s="100" t="s">
        <v>275</v>
      </c>
      <c r="B144" s="100" t="s">
        <v>276</v>
      </c>
      <c r="C144" s="100" t="s">
        <v>98</v>
      </c>
      <c r="D144" s="100">
        <v>1</v>
      </c>
      <c r="E144" s="100">
        <v>709</v>
      </c>
      <c r="F144" s="99">
        <v>0.22189999999999999</v>
      </c>
      <c r="G144" s="4">
        <f>((E144*12)*F144)</f>
        <v>1887.9251999999999</v>
      </c>
      <c r="H144" s="100">
        <v>158</v>
      </c>
      <c r="I144" s="99">
        <v>0.22189999999999999</v>
      </c>
      <c r="J144" s="100">
        <v>86</v>
      </c>
      <c r="K144" s="100">
        <v>192</v>
      </c>
      <c r="L144">
        <f>K144-J144</f>
        <v>106</v>
      </c>
      <c r="M144">
        <f>H144-J144</f>
        <v>72</v>
      </c>
      <c r="N144">
        <f>((($K$2*(M144))/(L144)))+0.1</f>
        <v>0.64339622641509431</v>
      </c>
      <c r="O144" s="108">
        <f>I144</f>
        <v>0.22189999999999999</v>
      </c>
    </row>
    <row r="145" spans="1:15">
      <c r="A145" s="100" t="s">
        <v>277</v>
      </c>
      <c r="B145" s="100" t="s">
        <v>276</v>
      </c>
      <c r="C145" s="100" t="s">
        <v>98</v>
      </c>
      <c r="D145" s="100">
        <v>2</v>
      </c>
      <c r="E145" s="100">
        <v>869</v>
      </c>
      <c r="F145" s="99">
        <v>0.38900000000000001</v>
      </c>
      <c r="G145" s="4">
        <f>((E145*12)*F145)</f>
        <v>4056.4920000000002</v>
      </c>
      <c r="H145" s="100">
        <v>246</v>
      </c>
      <c r="I145" s="99">
        <v>0.38900000000000001</v>
      </c>
      <c r="J145" s="100">
        <v>135</v>
      </c>
      <c r="K145" s="100">
        <v>305</v>
      </c>
      <c r="L145">
        <f>K145-J145</f>
        <v>170</v>
      </c>
      <c r="M145">
        <f>H145-J145</f>
        <v>111</v>
      </c>
      <c r="N145">
        <f>((($K$2*(M145))/(L145)))+0.1</f>
        <v>0.62235294117647066</v>
      </c>
      <c r="O145" s="108">
        <f>I145</f>
        <v>0.38900000000000001</v>
      </c>
    </row>
    <row r="146" spans="1:15">
      <c r="A146" s="100" t="s">
        <v>278</v>
      </c>
      <c r="B146" s="100" t="s">
        <v>276</v>
      </c>
      <c r="C146" s="100" t="s">
        <v>107</v>
      </c>
      <c r="D146" s="100">
        <v>1</v>
      </c>
      <c r="E146" s="100">
        <v>925</v>
      </c>
      <c r="F146" s="99">
        <v>0.41639999999999999</v>
      </c>
      <c r="G146" s="4">
        <f>((E146*12)*F146)</f>
        <v>4622.04</v>
      </c>
      <c r="H146" s="100">
        <v>207</v>
      </c>
      <c r="I146" s="99">
        <v>0.41639999999999999</v>
      </c>
      <c r="J146" s="100">
        <v>125</v>
      </c>
      <c r="K146" s="100">
        <v>288</v>
      </c>
      <c r="L146">
        <f>K146-J146</f>
        <v>163</v>
      </c>
      <c r="M146">
        <f>H146-J146</f>
        <v>82</v>
      </c>
      <c r="N146">
        <f>((($K$2*(M146))/(L146)))+0.1</f>
        <v>0.50245398773006145</v>
      </c>
      <c r="O146" s="108">
        <f>I146</f>
        <v>0.41639999999999999</v>
      </c>
    </row>
    <row r="147" spans="1:15">
      <c r="A147" s="100" t="s">
        <v>279</v>
      </c>
      <c r="B147" s="100" t="s">
        <v>276</v>
      </c>
      <c r="C147" s="100" t="s">
        <v>107</v>
      </c>
      <c r="D147" s="100">
        <v>2</v>
      </c>
      <c r="E147" s="100">
        <v>1350</v>
      </c>
      <c r="F147" s="99">
        <v>0.4849</v>
      </c>
      <c r="G147" s="4">
        <f>((E147*12)*F147)</f>
        <v>7855.38</v>
      </c>
      <c r="H147" s="100">
        <v>224</v>
      </c>
      <c r="I147" s="99">
        <v>0.4849</v>
      </c>
      <c r="J147" s="100">
        <v>119</v>
      </c>
      <c r="K147" s="100">
        <v>360</v>
      </c>
      <c r="L147">
        <f>K147-J147</f>
        <v>241</v>
      </c>
      <c r="M147">
        <f>H147-J147</f>
        <v>105</v>
      </c>
      <c r="N147">
        <f>((($K$2*(M147))/(L147)))+0.1</f>
        <v>0.44854771784232361</v>
      </c>
      <c r="O147" s="108">
        <f>I147</f>
        <v>0.4849</v>
      </c>
    </row>
    <row r="148" spans="1:15">
      <c r="A148" s="100" t="s">
        <v>280</v>
      </c>
      <c r="B148" s="100" t="s">
        <v>281</v>
      </c>
      <c r="C148" s="100" t="s">
        <v>98</v>
      </c>
      <c r="D148" s="100">
        <v>1</v>
      </c>
      <c r="E148" s="100">
        <v>900</v>
      </c>
      <c r="F148" s="99">
        <v>0.55069999999999997</v>
      </c>
      <c r="G148" s="4">
        <f>((E148*12)*F148)</f>
        <v>5947.5599999999995</v>
      </c>
      <c r="H148" s="100">
        <v>139</v>
      </c>
      <c r="I148" s="99">
        <v>0.55069999999999997</v>
      </c>
      <c r="J148" s="100">
        <v>89</v>
      </c>
      <c r="K148" s="100">
        <v>177</v>
      </c>
      <c r="L148">
        <f>K148-J148</f>
        <v>88</v>
      </c>
      <c r="M148">
        <f>H148-J148</f>
        <v>50</v>
      </c>
      <c r="N148">
        <f>((($K$2*(M148))/(L148)))+0.1</f>
        <v>0.55454545454545456</v>
      </c>
      <c r="O148" s="108">
        <f>I148</f>
        <v>0.55069999999999997</v>
      </c>
    </row>
    <row r="149" spans="1:15">
      <c r="A149" s="100" t="s">
        <v>282</v>
      </c>
      <c r="B149" s="100" t="s">
        <v>255</v>
      </c>
      <c r="C149" s="100" t="s">
        <v>107</v>
      </c>
      <c r="D149" s="100">
        <v>2</v>
      </c>
      <c r="E149" s="100">
        <v>3200</v>
      </c>
      <c r="F149" s="99">
        <v>0.81640000000000001</v>
      </c>
      <c r="G149" s="4">
        <f>((E149*12)*F149)</f>
        <v>31349.760000000002</v>
      </c>
      <c r="H149" s="100">
        <v>325</v>
      </c>
      <c r="I149" s="99">
        <v>0.81640000000000001</v>
      </c>
      <c r="J149" s="100">
        <v>195</v>
      </c>
      <c r="K149" s="100">
        <v>844</v>
      </c>
      <c r="L149">
        <f>K149-J149</f>
        <v>649</v>
      </c>
      <c r="M149">
        <f>H149-J149</f>
        <v>130</v>
      </c>
      <c r="N149">
        <f>((($K$2*(M149))/(L149)))+0.1</f>
        <v>0.26024653312788903</v>
      </c>
      <c r="O149" s="108">
        <f>I149</f>
        <v>0.81640000000000001</v>
      </c>
    </row>
    <row r="150" spans="1:15">
      <c r="A150" s="100" t="s">
        <v>283</v>
      </c>
      <c r="B150" s="100" t="s">
        <v>281</v>
      </c>
      <c r="C150" s="100" t="s">
        <v>98</v>
      </c>
      <c r="D150" s="100">
        <v>2</v>
      </c>
      <c r="E150" s="100">
        <v>1325</v>
      </c>
      <c r="F150" s="99">
        <v>0.29320000000000002</v>
      </c>
      <c r="G150" s="4">
        <f>((E150*12)*F150)</f>
        <v>4661.88</v>
      </c>
      <c r="H150" s="100">
        <v>283</v>
      </c>
      <c r="I150" s="99">
        <v>0.29320000000000002</v>
      </c>
      <c r="J150" s="100">
        <v>161</v>
      </c>
      <c r="K150" s="100">
        <v>319</v>
      </c>
      <c r="L150">
        <f>K150-J150</f>
        <v>158</v>
      </c>
      <c r="M150">
        <f>H150-J150</f>
        <v>122</v>
      </c>
      <c r="N150">
        <f>((($K$2*(M150))/(L150)))+0.1</f>
        <v>0.71772151898734182</v>
      </c>
      <c r="O150" s="108">
        <f>I150</f>
        <v>0.29320000000000002</v>
      </c>
    </row>
    <row r="151" spans="1:15">
      <c r="A151" s="100" t="s">
        <v>284</v>
      </c>
      <c r="B151" s="100" t="s">
        <v>281</v>
      </c>
      <c r="C151" s="100" t="s">
        <v>107</v>
      </c>
      <c r="D151" s="100">
        <v>1</v>
      </c>
      <c r="E151" s="100">
        <v>975</v>
      </c>
      <c r="F151" s="99">
        <v>0.50139999999999996</v>
      </c>
      <c r="G151" s="4">
        <f>((E151*12)*F151)</f>
        <v>5866.3799999999992</v>
      </c>
      <c r="H151" s="100">
        <v>192</v>
      </c>
      <c r="I151" s="99">
        <v>0.50139999999999996</v>
      </c>
      <c r="J151" s="100">
        <v>145</v>
      </c>
      <c r="K151" s="100">
        <v>300</v>
      </c>
      <c r="L151">
        <f>K151-J151</f>
        <v>155</v>
      </c>
      <c r="M151">
        <f>H151-J151</f>
        <v>47</v>
      </c>
      <c r="N151">
        <f>((($K$2*(M151))/(L151)))+0.1</f>
        <v>0.34258064516129033</v>
      </c>
      <c r="O151" s="108">
        <f>I151</f>
        <v>0.50139999999999996</v>
      </c>
    </row>
    <row r="152" spans="1:15">
      <c r="A152" s="100" t="s">
        <v>285</v>
      </c>
      <c r="B152" s="100" t="s">
        <v>281</v>
      </c>
      <c r="C152" s="100" t="s">
        <v>107</v>
      </c>
      <c r="D152" s="100">
        <v>2</v>
      </c>
      <c r="E152" s="100">
        <v>1550</v>
      </c>
      <c r="F152" s="99">
        <v>0.3014</v>
      </c>
      <c r="G152" s="4">
        <f>((E152*12)*F152)</f>
        <v>5606.04</v>
      </c>
      <c r="H152" s="100">
        <v>307</v>
      </c>
      <c r="I152" s="99">
        <v>0.3014</v>
      </c>
      <c r="J152" s="100">
        <v>185</v>
      </c>
      <c r="K152" s="100">
        <v>376</v>
      </c>
      <c r="L152">
        <f>K152-J152</f>
        <v>191</v>
      </c>
      <c r="M152">
        <f>H152-J152</f>
        <v>122</v>
      </c>
      <c r="N152">
        <f>((($K$2*(M152))/(L152)))+0.1</f>
        <v>0.61099476439790579</v>
      </c>
      <c r="O152" s="108">
        <f>I152</f>
        <v>0.3014</v>
      </c>
    </row>
    <row r="153" spans="1:15">
      <c r="A153" s="100" t="s">
        <v>286</v>
      </c>
      <c r="B153" s="100" t="s">
        <v>287</v>
      </c>
      <c r="C153" s="100" t="s">
        <v>98</v>
      </c>
      <c r="D153" s="100">
        <v>1</v>
      </c>
      <c r="E153" s="100">
        <v>1165</v>
      </c>
      <c r="F153" s="99">
        <v>0.34250000000000003</v>
      </c>
      <c r="G153" s="4">
        <f>((E153*12)*F153)</f>
        <v>4788.1500000000005</v>
      </c>
      <c r="H153" s="100">
        <v>180</v>
      </c>
      <c r="I153" s="99">
        <v>0.34250000000000003</v>
      </c>
      <c r="J153" s="100">
        <v>135</v>
      </c>
      <c r="K153" s="100">
        <v>220</v>
      </c>
      <c r="L153">
        <f>K153-J153</f>
        <v>85</v>
      </c>
      <c r="M153">
        <f>H153-J153</f>
        <v>45</v>
      </c>
      <c r="N153">
        <f>((($K$2*(M153))/(L153)))+0.1</f>
        <v>0.52352941176470591</v>
      </c>
      <c r="O153" s="108">
        <f>I153</f>
        <v>0.34250000000000003</v>
      </c>
    </row>
    <row r="154" spans="1:15">
      <c r="A154" s="100" t="s">
        <v>288</v>
      </c>
      <c r="B154" s="100" t="s">
        <v>287</v>
      </c>
      <c r="C154" s="100" t="s">
        <v>98</v>
      </c>
      <c r="D154" s="100">
        <v>2</v>
      </c>
      <c r="E154" s="100">
        <v>1625</v>
      </c>
      <c r="F154" s="99">
        <v>0.6</v>
      </c>
      <c r="G154" s="4">
        <f>((E154*12)*F154)</f>
        <v>11700</v>
      </c>
      <c r="H154" s="100">
        <v>260</v>
      </c>
      <c r="I154" s="99">
        <v>0.6</v>
      </c>
      <c r="J154" s="100">
        <v>220</v>
      </c>
      <c r="K154" s="100">
        <v>312</v>
      </c>
      <c r="L154">
        <f>K154-J154</f>
        <v>92</v>
      </c>
      <c r="M154">
        <f>H154-J154</f>
        <v>40</v>
      </c>
      <c r="N154">
        <f>((($K$2*(M154))/(L154)))+0.1</f>
        <v>0.44782608695652171</v>
      </c>
      <c r="O154" s="108">
        <f>I154</f>
        <v>0.6</v>
      </c>
    </row>
    <row r="155" spans="1:15">
      <c r="A155" s="100" t="s">
        <v>289</v>
      </c>
      <c r="B155" s="100" t="s">
        <v>287</v>
      </c>
      <c r="C155" s="100" t="s">
        <v>107</v>
      </c>
      <c r="D155" s="100">
        <v>1</v>
      </c>
      <c r="E155" s="100">
        <v>1400</v>
      </c>
      <c r="F155" s="99">
        <v>0.49859999999999999</v>
      </c>
      <c r="G155" s="4">
        <f>((E155*12)*F155)</f>
        <v>8376.48</v>
      </c>
      <c r="H155" s="100">
        <v>232</v>
      </c>
      <c r="I155" s="99">
        <v>0.49859999999999999</v>
      </c>
      <c r="J155" s="100">
        <v>135</v>
      </c>
      <c r="K155" s="100">
        <v>287</v>
      </c>
      <c r="L155">
        <f>K155-J155</f>
        <v>152</v>
      </c>
      <c r="M155">
        <f>H155-J155</f>
        <v>97</v>
      </c>
      <c r="N155">
        <f>((($K$2*(M155))/(L155)))+0.1</f>
        <v>0.61052631578947369</v>
      </c>
      <c r="O155" s="108">
        <f>I155</f>
        <v>0.49859999999999999</v>
      </c>
    </row>
    <row r="156" spans="1:15">
      <c r="A156" s="100" t="s">
        <v>290</v>
      </c>
      <c r="B156" s="100" t="s">
        <v>287</v>
      </c>
      <c r="C156" s="100" t="s">
        <v>107</v>
      </c>
      <c r="D156" s="100">
        <v>2</v>
      </c>
      <c r="E156" s="100">
        <v>1995</v>
      </c>
      <c r="F156" s="99">
        <v>0.63839999999999997</v>
      </c>
      <c r="G156" s="4">
        <f>((E156*12)*F156)</f>
        <v>15283.295999999998</v>
      </c>
      <c r="H156" s="100">
        <v>292</v>
      </c>
      <c r="I156" s="99">
        <v>0.63839999999999997</v>
      </c>
      <c r="J156" s="100">
        <v>224</v>
      </c>
      <c r="K156" s="100">
        <v>331</v>
      </c>
      <c r="L156">
        <f>K156-J156</f>
        <v>107</v>
      </c>
      <c r="M156">
        <f>H156-J156</f>
        <v>68</v>
      </c>
      <c r="N156">
        <f>((($K$2*(M156))/(L156)))+0.1</f>
        <v>0.60841121495327111</v>
      </c>
      <c r="O156" s="108">
        <f>I156</f>
        <v>0.63839999999999997</v>
      </c>
    </row>
    <row r="157" spans="1:15">
      <c r="A157" s="100" t="s">
        <v>291</v>
      </c>
      <c r="B157" s="100" t="s">
        <v>292</v>
      </c>
      <c r="C157" s="100" t="s">
        <v>98</v>
      </c>
      <c r="D157" s="100">
        <v>1</v>
      </c>
      <c r="E157" s="100">
        <v>760</v>
      </c>
      <c r="F157" s="99">
        <v>0.29039999999999999</v>
      </c>
      <c r="G157" s="4">
        <f>((E157*12)*F157)</f>
        <v>2648.4479999999999</v>
      </c>
      <c r="H157" s="100">
        <v>169</v>
      </c>
      <c r="I157" s="99">
        <v>0.29039999999999999</v>
      </c>
      <c r="J157" s="100">
        <v>100</v>
      </c>
      <c r="K157" s="100">
        <v>195</v>
      </c>
      <c r="L157">
        <f>K157-J157</f>
        <v>95</v>
      </c>
      <c r="M157">
        <f>H157-J157</f>
        <v>69</v>
      </c>
      <c r="N157">
        <f>((($K$2*(M157))/(L157)))+0.1</f>
        <v>0.68105263157894735</v>
      </c>
      <c r="O157" s="108">
        <f>I157</f>
        <v>0.29039999999999999</v>
      </c>
    </row>
    <row r="158" spans="1:15">
      <c r="A158" s="100" t="s">
        <v>293</v>
      </c>
      <c r="B158" s="100" t="s">
        <v>292</v>
      </c>
      <c r="C158" s="100" t="s">
        <v>98</v>
      </c>
      <c r="D158" s="100">
        <v>2</v>
      </c>
      <c r="E158" s="100">
        <v>965</v>
      </c>
      <c r="F158" s="99">
        <v>0.53969999999999996</v>
      </c>
      <c r="G158" s="4">
        <f>((E158*12)*F158)</f>
        <v>6249.7259999999997</v>
      </c>
      <c r="H158" s="100">
        <v>189</v>
      </c>
      <c r="I158" s="99">
        <v>0.53969999999999996</v>
      </c>
      <c r="J158" s="100">
        <v>135</v>
      </c>
      <c r="K158" s="100">
        <v>284</v>
      </c>
      <c r="L158">
        <f>K158-J158</f>
        <v>149</v>
      </c>
      <c r="M158">
        <f>H158-J158</f>
        <v>54</v>
      </c>
      <c r="N158">
        <f>((($K$2*(M158))/(L158)))+0.1</f>
        <v>0.38993288590604025</v>
      </c>
      <c r="O158" s="108">
        <f>I158</f>
        <v>0.53969999999999996</v>
      </c>
    </row>
    <row r="159" spans="1:15">
      <c r="A159" s="100" t="s">
        <v>294</v>
      </c>
      <c r="B159" s="100" t="s">
        <v>292</v>
      </c>
      <c r="C159" s="100" t="s">
        <v>107</v>
      </c>
      <c r="D159" s="100">
        <v>1</v>
      </c>
      <c r="E159" s="100">
        <v>1185</v>
      </c>
      <c r="F159" s="99">
        <v>0.27950000000000003</v>
      </c>
      <c r="G159" s="4">
        <f>((E159*12)*F159)</f>
        <v>3974.4900000000002</v>
      </c>
      <c r="H159" s="100">
        <v>289</v>
      </c>
      <c r="I159" s="99">
        <v>0.27950000000000003</v>
      </c>
      <c r="J159" s="100">
        <v>157</v>
      </c>
      <c r="K159" s="100">
        <v>320</v>
      </c>
      <c r="L159">
        <f>K159-J159</f>
        <v>163</v>
      </c>
      <c r="M159">
        <f>H159-J159</f>
        <v>132</v>
      </c>
      <c r="N159">
        <f>((($K$2*(M159))/(L159)))+0.1</f>
        <v>0.74785276073619633</v>
      </c>
      <c r="O159" s="108">
        <f>I159</f>
        <v>0.27950000000000003</v>
      </c>
    </row>
    <row r="160" spans="1:15">
      <c r="A160" s="100" t="s">
        <v>295</v>
      </c>
      <c r="B160" s="100" t="s">
        <v>255</v>
      </c>
      <c r="C160" s="100" t="s">
        <v>98</v>
      </c>
      <c r="D160" s="100">
        <v>1</v>
      </c>
      <c r="E160" s="100">
        <v>1700</v>
      </c>
      <c r="F160" s="99">
        <v>0.67669999999999997</v>
      </c>
      <c r="G160" s="4">
        <f>((E160*12)*F160)</f>
        <v>13804.679999999998</v>
      </c>
      <c r="H160" s="100">
        <v>239</v>
      </c>
      <c r="I160" s="99">
        <v>0.67669999999999997</v>
      </c>
      <c r="J160" s="100">
        <v>98</v>
      </c>
      <c r="K160" s="100">
        <v>430</v>
      </c>
      <c r="L160">
        <f>K160-J160</f>
        <v>332</v>
      </c>
      <c r="M160">
        <f>H160-J160</f>
        <v>141</v>
      </c>
      <c r="N160">
        <f>((($K$2*(M160))/(L160)))+0.1</f>
        <v>0.43975903614457834</v>
      </c>
      <c r="O160" s="108">
        <f>I160</f>
        <v>0.67669999999999997</v>
      </c>
    </row>
    <row r="161" spans="1:15">
      <c r="A161" s="100" t="s">
        <v>296</v>
      </c>
      <c r="B161" s="100" t="s">
        <v>292</v>
      </c>
      <c r="C161" s="100" t="s">
        <v>107</v>
      </c>
      <c r="D161" s="100">
        <v>2</v>
      </c>
      <c r="E161" s="100">
        <v>1340</v>
      </c>
      <c r="F161" s="99">
        <v>0.38900000000000001</v>
      </c>
      <c r="G161" s="4">
        <f>((E161*12)*F161)</f>
        <v>6255.12</v>
      </c>
      <c r="H161" s="100">
        <v>278</v>
      </c>
      <c r="I161" s="99">
        <v>0.38900000000000001</v>
      </c>
      <c r="J161" s="100">
        <v>135</v>
      </c>
      <c r="K161" s="100">
        <v>347</v>
      </c>
      <c r="L161">
        <f>K161-J161</f>
        <v>212</v>
      </c>
      <c r="M161">
        <f>H161-J161</f>
        <v>143</v>
      </c>
      <c r="N161">
        <f>((($K$2*(M161))/(L161)))+0.1</f>
        <v>0.63962264150943393</v>
      </c>
      <c r="O161" s="108">
        <f>I161</f>
        <v>0.38900000000000001</v>
      </c>
    </row>
    <row r="162" spans="1:15">
      <c r="A162" s="100" t="s">
        <v>297</v>
      </c>
      <c r="B162" s="100" t="s">
        <v>298</v>
      </c>
      <c r="C162" s="100" t="s">
        <v>98</v>
      </c>
      <c r="D162" s="100">
        <v>1</v>
      </c>
      <c r="E162" s="100">
        <v>1150</v>
      </c>
      <c r="F162" s="99">
        <v>0.57530000000000003</v>
      </c>
      <c r="G162" s="4">
        <f>((E162*12)*F162)</f>
        <v>7939.14</v>
      </c>
      <c r="H162" s="100">
        <v>183</v>
      </c>
      <c r="I162" s="99">
        <v>0.57530000000000003</v>
      </c>
      <c r="J162" s="100">
        <v>80</v>
      </c>
      <c r="K162" s="100">
        <v>267</v>
      </c>
      <c r="L162">
        <f>K162-J162</f>
        <v>187</v>
      </c>
      <c r="M162">
        <f>H162-J162</f>
        <v>103</v>
      </c>
      <c r="N162">
        <f>((($K$2*(M162))/(L162)))+0.1</f>
        <v>0.54064171122994653</v>
      </c>
      <c r="O162" s="108">
        <f>I162</f>
        <v>0.57530000000000003</v>
      </c>
    </row>
    <row r="163" spans="1:15">
      <c r="A163" s="100" t="s">
        <v>299</v>
      </c>
      <c r="B163" s="100" t="s">
        <v>298</v>
      </c>
      <c r="C163" s="100" t="s">
        <v>98</v>
      </c>
      <c r="D163" s="100">
        <v>2</v>
      </c>
      <c r="E163" s="100">
        <v>2000</v>
      </c>
      <c r="F163" s="99">
        <v>0.31230000000000002</v>
      </c>
      <c r="G163" s="4">
        <f>((E163*12)*F163)</f>
        <v>7495.2000000000007</v>
      </c>
      <c r="H163" s="100">
        <v>237</v>
      </c>
      <c r="I163" s="99">
        <v>0.31230000000000002</v>
      </c>
      <c r="J163" s="100">
        <v>160</v>
      </c>
      <c r="K163" s="100">
        <v>323</v>
      </c>
      <c r="L163">
        <f>K163-J163</f>
        <v>163</v>
      </c>
      <c r="M163">
        <f>H163-J163</f>
        <v>77</v>
      </c>
      <c r="N163">
        <f>((($K$2*(M163))/(L163)))+0.1</f>
        <v>0.47791411042944787</v>
      </c>
      <c r="O163" s="108">
        <f>I163</f>
        <v>0.31230000000000002</v>
      </c>
    </row>
    <row r="164" spans="1:15">
      <c r="A164" s="100" t="s">
        <v>300</v>
      </c>
      <c r="B164" s="100" t="s">
        <v>298</v>
      </c>
      <c r="C164" s="100" t="s">
        <v>107</v>
      </c>
      <c r="D164" s="100">
        <v>1</v>
      </c>
      <c r="E164" s="100">
        <v>1600</v>
      </c>
      <c r="F164" s="99">
        <v>0.4521</v>
      </c>
      <c r="G164" s="4">
        <f>((E164*12)*F164)</f>
        <v>8680.32</v>
      </c>
      <c r="H164" s="100">
        <v>297</v>
      </c>
      <c r="I164" s="99">
        <v>0.4521</v>
      </c>
      <c r="J164" s="100">
        <v>225</v>
      </c>
      <c r="K164" s="100">
        <v>406</v>
      </c>
      <c r="L164">
        <f>K164-J164</f>
        <v>181</v>
      </c>
      <c r="M164">
        <f>H164-J164</f>
        <v>72</v>
      </c>
      <c r="N164">
        <f>((($K$2*(M164))/(L164)))+0.1</f>
        <v>0.41823204419889504</v>
      </c>
      <c r="O164" s="108">
        <f>I164</f>
        <v>0.4521</v>
      </c>
    </row>
    <row r="165" spans="1:15">
      <c r="A165" s="100" t="s">
        <v>301</v>
      </c>
      <c r="B165" s="100" t="s">
        <v>298</v>
      </c>
      <c r="C165" s="100" t="s">
        <v>107</v>
      </c>
      <c r="D165" s="100">
        <v>2</v>
      </c>
      <c r="E165" s="100">
        <v>2150</v>
      </c>
      <c r="F165" s="99">
        <v>0.53149999999999997</v>
      </c>
      <c r="G165" s="4">
        <f>((E165*12)*F165)</f>
        <v>13712.699999999999</v>
      </c>
      <c r="H165" s="100">
        <v>360</v>
      </c>
      <c r="I165" s="99">
        <v>0.53149999999999997</v>
      </c>
      <c r="J165" s="100">
        <v>170</v>
      </c>
      <c r="K165" s="100">
        <v>447</v>
      </c>
      <c r="L165">
        <f>K165-J165</f>
        <v>277</v>
      </c>
      <c r="M165">
        <f>H165-J165</f>
        <v>190</v>
      </c>
      <c r="N165">
        <f>((($K$2*(M165))/(L165)))+0.1</f>
        <v>0.64873646209386282</v>
      </c>
      <c r="O165" s="108">
        <f>I165</f>
        <v>0.53149999999999997</v>
      </c>
    </row>
    <row r="166" spans="1:15">
      <c r="A166" s="100" t="s">
        <v>302</v>
      </c>
      <c r="B166" s="100" t="s">
        <v>303</v>
      </c>
      <c r="C166" s="100" t="s">
        <v>98</v>
      </c>
      <c r="D166" s="100">
        <v>1</v>
      </c>
      <c r="E166" s="100">
        <v>1600</v>
      </c>
      <c r="F166" s="99">
        <v>0.53969999999999996</v>
      </c>
      <c r="G166" s="4">
        <f>((E166*12)*F166)</f>
        <v>10362.24</v>
      </c>
      <c r="H166" s="100">
        <v>209</v>
      </c>
      <c r="I166" s="99">
        <v>0.53969999999999996</v>
      </c>
      <c r="J166" s="100">
        <v>94</v>
      </c>
      <c r="K166" s="100">
        <v>411</v>
      </c>
      <c r="L166">
        <f>K166-J166</f>
        <v>317</v>
      </c>
      <c r="M166">
        <f>H166-J166</f>
        <v>115</v>
      </c>
      <c r="N166">
        <f>((($K$2*(M166))/(L166)))+0.1</f>
        <v>0.39022082018927451</v>
      </c>
      <c r="O166" s="108">
        <f>I166</f>
        <v>0.53969999999999996</v>
      </c>
    </row>
    <row r="167" spans="1:15">
      <c r="A167" s="100" t="s">
        <v>304</v>
      </c>
      <c r="B167" s="100" t="s">
        <v>303</v>
      </c>
      <c r="C167" s="100" t="s">
        <v>98</v>
      </c>
      <c r="D167" s="100">
        <v>2</v>
      </c>
      <c r="E167" s="100">
        <v>2100</v>
      </c>
      <c r="F167" s="99">
        <v>0.4027</v>
      </c>
      <c r="G167" s="4">
        <f>((E167*12)*F167)</f>
        <v>10148.040000000001</v>
      </c>
      <c r="H167" s="100">
        <v>265</v>
      </c>
      <c r="I167" s="99">
        <v>0.4027</v>
      </c>
      <c r="J167" s="100">
        <v>130</v>
      </c>
      <c r="K167" s="100">
        <v>438</v>
      </c>
      <c r="L167">
        <f>K167-J167</f>
        <v>308</v>
      </c>
      <c r="M167">
        <f>H167-J167</f>
        <v>135</v>
      </c>
      <c r="N167">
        <f>((($K$2*(M167))/(L167)))+0.1</f>
        <v>0.45064935064935063</v>
      </c>
      <c r="O167" s="108">
        <f>I167</f>
        <v>0.4027</v>
      </c>
    </row>
    <row r="168" spans="1:15">
      <c r="A168" s="100" t="s">
        <v>305</v>
      </c>
      <c r="B168" s="100" t="s">
        <v>303</v>
      </c>
      <c r="C168" s="100" t="s">
        <v>107</v>
      </c>
      <c r="D168" s="100">
        <v>1</v>
      </c>
      <c r="E168" s="100">
        <v>1200</v>
      </c>
      <c r="F168" s="99">
        <v>0.4</v>
      </c>
      <c r="G168" s="4">
        <f>((E168*12)*F168)</f>
        <v>5760</v>
      </c>
      <c r="H168" s="100">
        <v>435</v>
      </c>
      <c r="I168" s="99">
        <v>0.4</v>
      </c>
      <c r="J168" s="100">
        <v>162</v>
      </c>
      <c r="K168" s="100">
        <v>504</v>
      </c>
      <c r="L168">
        <f>K168-J168</f>
        <v>342</v>
      </c>
      <c r="M168">
        <f>H168-J168</f>
        <v>273</v>
      </c>
      <c r="N168">
        <f>((($K$2*(M168))/(L168)))+0.1</f>
        <v>0.73859649122807014</v>
      </c>
      <c r="O168" s="108">
        <f>I168</f>
        <v>0.4</v>
      </c>
    </row>
    <row r="169" spans="1:15">
      <c r="A169" s="100" t="s">
        <v>306</v>
      </c>
      <c r="B169" s="100" t="s">
        <v>303</v>
      </c>
      <c r="C169" s="100" t="s">
        <v>107</v>
      </c>
      <c r="D169" s="100">
        <v>2</v>
      </c>
      <c r="E169" s="100">
        <v>2100</v>
      </c>
      <c r="F169" s="99">
        <v>0.43009999999999998</v>
      </c>
      <c r="G169" s="4">
        <f>((E169*12)*F169)</f>
        <v>10838.52</v>
      </c>
      <c r="H169" s="100">
        <v>487</v>
      </c>
      <c r="I169" s="99">
        <v>0.43009999999999998</v>
      </c>
      <c r="J169" s="100">
        <v>175</v>
      </c>
      <c r="K169" s="100">
        <v>755</v>
      </c>
      <c r="L169">
        <f>K169-J169</f>
        <v>580</v>
      </c>
      <c r="M169">
        <f>H169-J169</f>
        <v>312</v>
      </c>
      <c r="N169">
        <f>((($K$2*(M169))/(L169)))+0.1</f>
        <v>0.53034482758620693</v>
      </c>
      <c r="O169" s="108">
        <f>I169</f>
        <v>0.43009999999999998</v>
      </c>
    </row>
    <row r="170" spans="1:15">
      <c r="A170" s="100" t="s">
        <v>307</v>
      </c>
      <c r="B170" s="100" t="s">
        <v>308</v>
      </c>
      <c r="C170" s="100" t="s">
        <v>98</v>
      </c>
      <c r="D170" s="100">
        <v>2</v>
      </c>
      <c r="E170" s="100">
        <v>2500</v>
      </c>
      <c r="F170" s="99">
        <v>0.4027</v>
      </c>
      <c r="G170" s="4">
        <f>((E170*12)*F170)</f>
        <v>12081</v>
      </c>
      <c r="H170" s="100">
        <v>231</v>
      </c>
      <c r="I170" s="99">
        <v>0.4027</v>
      </c>
      <c r="J170" s="100">
        <v>129</v>
      </c>
      <c r="K170" s="100">
        <v>431</v>
      </c>
      <c r="L170">
        <f>K170-J170</f>
        <v>302</v>
      </c>
      <c r="M170">
        <f>H170-J170</f>
        <v>102</v>
      </c>
      <c r="N170">
        <f>((($K$2*(M170))/(L170)))+0.1</f>
        <v>0.37019867549668872</v>
      </c>
      <c r="O170" s="108">
        <f>I170</f>
        <v>0.4027</v>
      </c>
    </row>
    <row r="171" spans="1:15">
      <c r="A171" s="100" t="s">
        <v>309</v>
      </c>
      <c r="B171" s="100" t="s">
        <v>97</v>
      </c>
      <c r="C171" s="100" t="s">
        <v>107</v>
      </c>
      <c r="D171" s="100">
        <v>2</v>
      </c>
      <c r="E171" s="100">
        <v>2000</v>
      </c>
      <c r="F171" s="99">
        <v>0.31230000000000002</v>
      </c>
      <c r="G171" s="4">
        <f>((E171*12)*F171)</f>
        <v>7495.2000000000007</v>
      </c>
      <c r="H171" s="100">
        <v>199</v>
      </c>
      <c r="I171" s="99">
        <v>0.31230000000000002</v>
      </c>
      <c r="J171" s="100">
        <v>97</v>
      </c>
      <c r="K171" s="100">
        <v>240</v>
      </c>
      <c r="L171">
        <f>K171-J171</f>
        <v>143</v>
      </c>
      <c r="M171">
        <f>H171-J171</f>
        <v>102</v>
      </c>
      <c r="N171">
        <f>((($K$2*(M171))/(L171)))+0.1</f>
        <v>0.67062937062937067</v>
      </c>
      <c r="O171" s="108">
        <f>I171</f>
        <v>0.31230000000000002</v>
      </c>
    </row>
    <row r="172" spans="1:15">
      <c r="A172" s="100" t="s">
        <v>310</v>
      </c>
      <c r="B172" s="100" t="s">
        <v>308</v>
      </c>
      <c r="C172" s="100" t="s">
        <v>107</v>
      </c>
      <c r="D172" s="100">
        <v>1</v>
      </c>
      <c r="E172" s="100">
        <v>2500</v>
      </c>
      <c r="F172" s="99">
        <v>0.2301</v>
      </c>
      <c r="G172" s="4">
        <f>((E172*12)*F172)</f>
        <v>6903</v>
      </c>
      <c r="H172" s="100">
        <v>490</v>
      </c>
      <c r="I172" s="99">
        <v>0.2301</v>
      </c>
      <c r="J172" s="100">
        <v>186</v>
      </c>
      <c r="K172" s="100">
        <v>578</v>
      </c>
      <c r="L172">
        <f>K172-J172</f>
        <v>392</v>
      </c>
      <c r="M172">
        <f>H172-J172</f>
        <v>304</v>
      </c>
      <c r="N172">
        <f>((($K$2*(M172))/(L172)))+0.1</f>
        <v>0.7204081632653061</v>
      </c>
      <c r="O172" s="108">
        <f>I172</f>
        <v>0.2301</v>
      </c>
    </row>
    <row r="173" spans="1:15">
      <c r="A173" s="100" t="s">
        <v>311</v>
      </c>
      <c r="B173" s="100" t="s">
        <v>308</v>
      </c>
      <c r="C173" s="100" t="s">
        <v>107</v>
      </c>
      <c r="D173" s="100">
        <v>2</v>
      </c>
      <c r="E173" s="100">
        <v>2750</v>
      </c>
      <c r="F173" s="99">
        <v>0.6</v>
      </c>
      <c r="G173" s="4">
        <f>((E173*12)*F173)</f>
        <v>19800</v>
      </c>
      <c r="H173" s="100">
        <v>538</v>
      </c>
      <c r="I173" s="99">
        <v>0.6</v>
      </c>
      <c r="J173" s="100">
        <v>188</v>
      </c>
      <c r="K173" s="100">
        <v>810</v>
      </c>
      <c r="L173">
        <f>K173-J173</f>
        <v>622</v>
      </c>
      <c r="M173">
        <f>H173-J173</f>
        <v>350</v>
      </c>
      <c r="N173">
        <f>((($K$2*(M173))/(L173)))+0.1</f>
        <v>0.5501607717041801</v>
      </c>
      <c r="O173" s="108">
        <f>I173</f>
        <v>0.6</v>
      </c>
    </row>
    <row r="174" spans="1:15">
      <c r="A174" s="100" t="s">
        <v>312</v>
      </c>
      <c r="B174" s="100" t="s">
        <v>308</v>
      </c>
      <c r="C174" s="100" t="s">
        <v>98</v>
      </c>
      <c r="D174" s="100">
        <v>1</v>
      </c>
      <c r="E174" s="100">
        <v>1800</v>
      </c>
      <c r="F174" s="99">
        <v>0.2329</v>
      </c>
      <c r="G174" s="4">
        <f>((E174*12)*F174)</f>
        <v>5030.6400000000003</v>
      </c>
      <c r="H174" s="100">
        <v>288</v>
      </c>
      <c r="I174" s="99">
        <v>0.2329</v>
      </c>
      <c r="J174" s="100">
        <v>89</v>
      </c>
      <c r="K174" s="100">
        <v>390</v>
      </c>
      <c r="L174">
        <f>K174-J174</f>
        <v>301</v>
      </c>
      <c r="M174">
        <f>H174-J174</f>
        <v>199</v>
      </c>
      <c r="N174">
        <f>((($K$2*(M174))/(L174)))+0.1</f>
        <v>0.62890365448504992</v>
      </c>
      <c r="O174" s="108">
        <f>I174</f>
        <v>0.2329</v>
      </c>
    </row>
    <row r="175" spans="1:15">
      <c r="A175" s="100" t="s">
        <v>313</v>
      </c>
      <c r="B175" s="100" t="s">
        <v>314</v>
      </c>
      <c r="C175" s="100" t="s">
        <v>98</v>
      </c>
      <c r="D175" s="100">
        <v>2</v>
      </c>
      <c r="E175" s="100">
        <v>3000</v>
      </c>
      <c r="F175" s="99">
        <v>0.40820000000000001</v>
      </c>
      <c r="G175" s="4">
        <f>((E175*12)*F175)</f>
        <v>14695.2</v>
      </c>
      <c r="H175" s="100">
        <v>415</v>
      </c>
      <c r="I175" s="99">
        <v>0.40820000000000001</v>
      </c>
      <c r="J175" s="100">
        <v>193</v>
      </c>
      <c r="K175" s="100">
        <v>648</v>
      </c>
      <c r="L175">
        <f>K175-J175</f>
        <v>455</v>
      </c>
      <c r="M175">
        <f>H175-J175</f>
        <v>222</v>
      </c>
      <c r="N175">
        <f>((($K$2*(M175))/(L175)))+0.1</f>
        <v>0.49032967032967034</v>
      </c>
      <c r="O175" s="108">
        <f>I175</f>
        <v>0.40820000000000001</v>
      </c>
    </row>
    <row r="176" spans="1:15">
      <c r="A176" s="100" t="s">
        <v>315</v>
      </c>
      <c r="B176" s="100" t="s">
        <v>314</v>
      </c>
      <c r="C176" s="100" t="s">
        <v>107</v>
      </c>
      <c r="D176" s="100">
        <v>1</v>
      </c>
      <c r="E176" s="100">
        <v>2000</v>
      </c>
      <c r="F176" s="99">
        <v>0.32600000000000001</v>
      </c>
      <c r="G176" s="4">
        <f>((E176*12)*F176)</f>
        <v>7824</v>
      </c>
      <c r="H176" s="100">
        <v>387</v>
      </c>
      <c r="I176" s="99">
        <v>0.32600000000000001</v>
      </c>
      <c r="J176" s="100">
        <v>193</v>
      </c>
      <c r="K176" s="100">
        <v>600</v>
      </c>
      <c r="L176">
        <f>K176-J176</f>
        <v>407</v>
      </c>
      <c r="M176">
        <f>H176-J176</f>
        <v>194</v>
      </c>
      <c r="N176">
        <f>((($K$2*(M176))/(L176)))+0.1</f>
        <v>0.48132678132678142</v>
      </c>
      <c r="O176" s="108">
        <f>I176</f>
        <v>0.32600000000000001</v>
      </c>
    </row>
    <row r="177" spans="1:15">
      <c r="A177" s="100" t="s">
        <v>316</v>
      </c>
      <c r="B177" s="100" t="s">
        <v>314</v>
      </c>
      <c r="C177" s="100" t="s">
        <v>107</v>
      </c>
      <c r="D177" s="100">
        <v>2</v>
      </c>
      <c r="E177" s="100">
        <v>2950</v>
      </c>
      <c r="F177" s="99">
        <v>0.38900000000000001</v>
      </c>
      <c r="G177" s="4">
        <f>((E177*12)*F177)</f>
        <v>13770.6</v>
      </c>
      <c r="H177" s="100">
        <v>575</v>
      </c>
      <c r="I177" s="99">
        <v>0.38900000000000001</v>
      </c>
      <c r="J177" s="100">
        <v>192</v>
      </c>
      <c r="K177" s="100">
        <v>829</v>
      </c>
      <c r="L177">
        <f>K177-J177</f>
        <v>637</v>
      </c>
      <c r="M177">
        <f>H177-J177</f>
        <v>383</v>
      </c>
      <c r="N177">
        <f>((($K$2*(M177))/(L177)))+0.1</f>
        <v>0.58100470957613826</v>
      </c>
      <c r="O177" s="108">
        <f>I177</f>
        <v>0.38900000000000001</v>
      </c>
    </row>
    <row r="178" spans="1:15">
      <c r="A178" s="100" t="s">
        <v>317</v>
      </c>
      <c r="B178" s="100" t="s">
        <v>314</v>
      </c>
      <c r="C178" s="100" t="s">
        <v>98</v>
      </c>
      <c r="D178" s="100">
        <v>1</v>
      </c>
      <c r="E178" s="100">
        <v>1700</v>
      </c>
      <c r="F178" s="99">
        <v>0.52049999999999996</v>
      </c>
      <c r="G178" s="4">
        <f>((E178*12)*F178)</f>
        <v>10618.199999999999</v>
      </c>
      <c r="H178" s="100">
        <v>228</v>
      </c>
      <c r="I178" s="99">
        <v>0.52049999999999996</v>
      </c>
      <c r="J178" s="100">
        <v>98</v>
      </c>
      <c r="K178" s="100">
        <v>432</v>
      </c>
      <c r="L178">
        <f>K178-J178</f>
        <v>334</v>
      </c>
      <c r="M178">
        <f>H178-J178</f>
        <v>130</v>
      </c>
      <c r="N178">
        <f>((($K$2*(M178))/(L178)))+0.1</f>
        <v>0.41137724550898203</v>
      </c>
      <c r="O178" s="108">
        <f>I178</f>
        <v>0.52049999999999996</v>
      </c>
    </row>
    <row r="179" spans="1:15">
      <c r="A179" s="100" t="s">
        <v>318</v>
      </c>
      <c r="B179" s="100" t="s">
        <v>319</v>
      </c>
      <c r="C179" s="100" t="s">
        <v>98</v>
      </c>
      <c r="D179" s="100">
        <v>1</v>
      </c>
      <c r="E179" s="100">
        <v>3000</v>
      </c>
      <c r="F179" s="99">
        <v>0.46300000000000002</v>
      </c>
      <c r="G179" s="4">
        <f>((E179*12)*F179)</f>
        <v>16668</v>
      </c>
      <c r="H179" s="100">
        <v>337</v>
      </c>
      <c r="I179" s="99">
        <v>0.46300000000000002</v>
      </c>
      <c r="J179" s="100">
        <v>87</v>
      </c>
      <c r="K179" s="100">
        <v>512</v>
      </c>
      <c r="L179">
        <f>K179-J179</f>
        <v>425</v>
      </c>
      <c r="M179">
        <f>H179-J179</f>
        <v>250</v>
      </c>
      <c r="N179">
        <f>((($K$2*(M179))/(L179)))+0.1</f>
        <v>0.57058823529411762</v>
      </c>
      <c r="O179" s="108">
        <f>I179</f>
        <v>0.46300000000000002</v>
      </c>
    </row>
    <row r="180" spans="1:15">
      <c r="A180" s="100" t="s">
        <v>320</v>
      </c>
      <c r="B180" s="100" t="s">
        <v>319</v>
      </c>
      <c r="C180" s="100" t="s">
        <v>98</v>
      </c>
      <c r="D180" s="100">
        <v>2</v>
      </c>
      <c r="E180" s="100">
        <v>3200</v>
      </c>
      <c r="F180" s="99">
        <v>0.67949999999999999</v>
      </c>
      <c r="G180" s="4">
        <f>((E180*12)*F180)</f>
        <v>26092.799999999999</v>
      </c>
      <c r="H180" s="100">
        <v>154</v>
      </c>
      <c r="I180" s="99">
        <v>0.67949999999999999</v>
      </c>
      <c r="J180" s="100">
        <v>154</v>
      </c>
      <c r="K180" s="100">
        <v>480</v>
      </c>
      <c r="L180">
        <f>K180-J180</f>
        <v>326</v>
      </c>
      <c r="M180">
        <f>H180-J180</f>
        <v>0</v>
      </c>
      <c r="N180">
        <f>((($K$2*(M180))/(L180)))+0.1</f>
        <v>0.1</v>
      </c>
      <c r="O180" s="108">
        <f>I180</f>
        <v>0.67949999999999999</v>
      </c>
    </row>
    <row r="181" spans="1:15">
      <c r="A181" s="100" t="s">
        <v>321</v>
      </c>
      <c r="B181" s="100" t="s">
        <v>322</v>
      </c>
      <c r="C181" s="100" t="s">
        <v>98</v>
      </c>
      <c r="D181" s="100">
        <v>2</v>
      </c>
      <c r="E181" s="100">
        <v>4500</v>
      </c>
      <c r="F181" s="99">
        <v>0.68220000000000003</v>
      </c>
      <c r="G181" s="4">
        <f>((E181*12)*F181)</f>
        <v>36838.800000000003</v>
      </c>
      <c r="H181" s="100">
        <v>432</v>
      </c>
      <c r="I181" s="99">
        <v>0.68220000000000003</v>
      </c>
      <c r="J181" s="100">
        <v>273</v>
      </c>
      <c r="K181" s="100">
        <v>853</v>
      </c>
      <c r="L181">
        <f>K181-J181</f>
        <v>580</v>
      </c>
      <c r="M181">
        <f>H181-J181</f>
        <v>159</v>
      </c>
      <c r="N181">
        <f>((($K$2*(M181))/(L181)))+0.1</f>
        <v>0.31931034482758625</v>
      </c>
      <c r="O181" s="108">
        <f>I181</f>
        <v>0.68220000000000003</v>
      </c>
    </row>
    <row r="182" spans="1:15">
      <c r="A182" s="100" t="s">
        <v>323</v>
      </c>
      <c r="B182" s="100" t="s">
        <v>97</v>
      </c>
      <c r="C182" s="100" t="s">
        <v>98</v>
      </c>
      <c r="D182" s="100">
        <v>1</v>
      </c>
      <c r="E182" s="100">
        <v>800</v>
      </c>
      <c r="F182" s="99">
        <v>0.56989999999999996</v>
      </c>
      <c r="G182" s="4">
        <f>((E182*12)*F182)</f>
        <v>5471.04</v>
      </c>
      <c r="H182" s="100">
        <v>104</v>
      </c>
      <c r="I182" s="99">
        <v>0.56989999999999996</v>
      </c>
      <c r="J182" s="100">
        <v>53</v>
      </c>
      <c r="K182" s="100">
        <v>188</v>
      </c>
      <c r="L182">
        <f>K182-J182</f>
        <v>135</v>
      </c>
      <c r="M182">
        <f>H182-J182</f>
        <v>51</v>
      </c>
      <c r="N182">
        <f>((($K$2*(M182))/(L182)))+0.1</f>
        <v>0.40222222222222226</v>
      </c>
      <c r="O182" s="108">
        <f>I182</f>
        <v>0.56989999999999996</v>
      </c>
    </row>
    <row r="183" spans="1:15">
      <c r="A183" s="100" t="s">
        <v>324</v>
      </c>
      <c r="B183" s="100" t="s">
        <v>322</v>
      </c>
      <c r="C183" s="100" t="s">
        <v>107</v>
      </c>
      <c r="D183" s="100">
        <v>1</v>
      </c>
      <c r="E183" s="100">
        <v>4500</v>
      </c>
      <c r="F183" s="99">
        <v>0.86850000000000005</v>
      </c>
      <c r="G183" s="4">
        <f>((E183*12)*F183)</f>
        <v>46899</v>
      </c>
      <c r="H183" s="100">
        <v>200</v>
      </c>
      <c r="I183" s="99">
        <v>0.86850000000000005</v>
      </c>
      <c r="J183" s="100">
        <v>103</v>
      </c>
      <c r="K183" s="100">
        <v>807</v>
      </c>
      <c r="L183">
        <f>K183-J183</f>
        <v>704</v>
      </c>
      <c r="M183">
        <f>H183-J183</f>
        <v>97</v>
      </c>
      <c r="N183">
        <f>((($K$2*(M183))/(L183)))+0.1</f>
        <v>0.21022727272727276</v>
      </c>
      <c r="O183" s="108">
        <f>I183</f>
        <v>0.86850000000000005</v>
      </c>
    </row>
    <row r="184" spans="1:15">
      <c r="A184" s="100" t="s">
        <v>325</v>
      </c>
      <c r="B184" s="100" t="s">
        <v>322</v>
      </c>
      <c r="C184" s="100" t="s">
        <v>107</v>
      </c>
      <c r="D184" s="100">
        <v>2</v>
      </c>
      <c r="E184" s="100">
        <v>5500</v>
      </c>
      <c r="F184" s="99">
        <v>0.52329999999999999</v>
      </c>
      <c r="G184" s="4">
        <f>((E184*12)*F184)</f>
        <v>34537.799999999996</v>
      </c>
      <c r="H184" s="100">
        <v>428</v>
      </c>
      <c r="I184" s="99">
        <v>0.52329999999999999</v>
      </c>
      <c r="J184" s="100">
        <v>200</v>
      </c>
      <c r="K184" s="100">
        <v>770</v>
      </c>
      <c r="L184">
        <f>K184-J184</f>
        <v>570</v>
      </c>
      <c r="M184">
        <f>H184-J184</f>
        <v>228</v>
      </c>
      <c r="N184">
        <f>((($K$2*(M184))/(L184)))+0.1</f>
        <v>0.42000000000000004</v>
      </c>
      <c r="O184" s="108">
        <f>I184</f>
        <v>0.52329999999999999</v>
      </c>
    </row>
    <row r="185" spans="1:15">
      <c r="A185" s="100" t="s">
        <v>326</v>
      </c>
      <c r="B185" s="100" t="s">
        <v>322</v>
      </c>
      <c r="C185" s="100" t="s">
        <v>98</v>
      </c>
      <c r="D185" s="100">
        <v>1</v>
      </c>
      <c r="E185" s="100">
        <v>3500</v>
      </c>
      <c r="F185" s="99">
        <v>0.46029999999999999</v>
      </c>
      <c r="G185" s="4">
        <f>((E185*12)*F185)</f>
        <v>19332.599999999999</v>
      </c>
      <c r="H185" s="100">
        <v>576</v>
      </c>
      <c r="I185" s="99">
        <v>0.46029999999999999</v>
      </c>
      <c r="J185" s="100">
        <v>151</v>
      </c>
      <c r="K185" s="100">
        <v>890</v>
      </c>
      <c r="L185">
        <f>K185-J185</f>
        <v>739</v>
      </c>
      <c r="M185">
        <f>H185-J185</f>
        <v>425</v>
      </c>
      <c r="N185">
        <f>((($K$2*(M185))/(L185)))+0.1</f>
        <v>0.56008119079837615</v>
      </c>
      <c r="O185" s="108">
        <f>I185</f>
        <v>0.46029999999999999</v>
      </c>
    </row>
    <row r="186" spans="1:15">
      <c r="A186" s="100" t="s">
        <v>327</v>
      </c>
      <c r="B186" s="100" t="s">
        <v>328</v>
      </c>
      <c r="C186" s="100" t="s">
        <v>98</v>
      </c>
      <c r="D186" s="100">
        <v>2</v>
      </c>
      <c r="E186" s="100">
        <v>4000</v>
      </c>
      <c r="F186" s="99">
        <v>0.35339999999999999</v>
      </c>
      <c r="G186" s="4">
        <f>((E186*12)*F186)</f>
        <v>16963.2</v>
      </c>
      <c r="H186" s="100">
        <v>560</v>
      </c>
      <c r="I186" s="99">
        <v>0.35339999999999999</v>
      </c>
      <c r="J186" s="100">
        <v>218</v>
      </c>
      <c r="K186" s="100">
        <v>681</v>
      </c>
      <c r="L186">
        <f>K186-J186</f>
        <v>463</v>
      </c>
      <c r="M186">
        <f>H186-J186</f>
        <v>342</v>
      </c>
      <c r="N186">
        <f>((($K$2*(M186))/(L186)))+0.1</f>
        <v>0.69092872570194386</v>
      </c>
      <c r="O186" s="108">
        <f>I186</f>
        <v>0.35339999999999999</v>
      </c>
    </row>
    <row r="187" spans="1:15">
      <c r="A187" s="100" t="s">
        <v>329</v>
      </c>
      <c r="B187" s="100" t="s">
        <v>328</v>
      </c>
      <c r="C187" s="100" t="s">
        <v>98</v>
      </c>
      <c r="D187" s="100">
        <v>1</v>
      </c>
      <c r="E187" s="100">
        <v>3000</v>
      </c>
      <c r="F187" s="99">
        <v>0.49859999999999999</v>
      </c>
      <c r="G187" s="4">
        <f>((E187*12)*F187)</f>
        <v>17949.599999999999</v>
      </c>
      <c r="H187" s="100">
        <v>288</v>
      </c>
      <c r="I187" s="99">
        <v>0.49859999999999999</v>
      </c>
      <c r="J187" s="100">
        <v>109</v>
      </c>
      <c r="K187" s="100">
        <v>640</v>
      </c>
      <c r="L187">
        <f>K187-J187</f>
        <v>531</v>
      </c>
      <c r="M187">
        <f>H187-J187</f>
        <v>179</v>
      </c>
      <c r="N187">
        <f>((($K$2*(M187))/(L187)))+0.1</f>
        <v>0.36967984934086628</v>
      </c>
      <c r="O187" s="108">
        <f>I187</f>
        <v>0.49859999999999999</v>
      </c>
    </row>
    <row r="188" spans="1:15">
      <c r="A188" s="100" t="s">
        <v>330</v>
      </c>
      <c r="B188" s="100" t="s">
        <v>331</v>
      </c>
      <c r="C188" s="100" t="s">
        <v>98</v>
      </c>
      <c r="D188" s="100">
        <v>2</v>
      </c>
      <c r="E188" s="100">
        <v>5600</v>
      </c>
      <c r="F188" s="99">
        <v>0.5151</v>
      </c>
      <c r="G188" s="4">
        <f>((E188*12)*F188)</f>
        <v>34614.720000000001</v>
      </c>
      <c r="H188" s="100">
        <v>373</v>
      </c>
      <c r="I188" s="99">
        <v>0.5151</v>
      </c>
      <c r="J188" s="100">
        <v>196</v>
      </c>
      <c r="K188" s="100">
        <v>612</v>
      </c>
      <c r="L188">
        <f>K188-J188</f>
        <v>416</v>
      </c>
      <c r="M188">
        <f>H188-J188</f>
        <v>177</v>
      </c>
      <c r="N188">
        <f>((($K$2*(M188))/(L188)))+0.1</f>
        <v>0.44038461538461537</v>
      </c>
      <c r="O188" s="108">
        <f>I188</f>
        <v>0.5151</v>
      </c>
    </row>
    <row r="189" spans="1:15">
      <c r="A189" s="100" t="s">
        <v>332</v>
      </c>
      <c r="B189" s="100" t="s">
        <v>331</v>
      </c>
      <c r="C189" s="100" t="s">
        <v>107</v>
      </c>
      <c r="D189" s="100">
        <v>1</v>
      </c>
      <c r="E189" s="100">
        <v>3200</v>
      </c>
      <c r="F189" s="99">
        <v>0.87119999999999997</v>
      </c>
      <c r="G189" s="4">
        <f>((E189*12)*F189)</f>
        <v>33454.080000000002</v>
      </c>
      <c r="H189" s="100">
        <v>420</v>
      </c>
      <c r="I189" s="99">
        <v>0.87119999999999997</v>
      </c>
      <c r="J189" s="100">
        <v>165</v>
      </c>
      <c r="K189" s="100">
        <v>1296</v>
      </c>
      <c r="L189">
        <f>K189-J189</f>
        <v>1131</v>
      </c>
      <c r="M189">
        <f>H189-J189</f>
        <v>255</v>
      </c>
      <c r="N189">
        <f>((($K$2*(M189))/(L189)))+0.1</f>
        <v>0.28037135278514591</v>
      </c>
      <c r="O189" s="108">
        <f>I189</f>
        <v>0.87119999999999997</v>
      </c>
    </row>
    <row r="190" spans="1:15">
      <c r="A190" s="100" t="s">
        <v>333</v>
      </c>
      <c r="B190" s="100" t="s">
        <v>331</v>
      </c>
      <c r="C190" s="100" t="s">
        <v>107</v>
      </c>
      <c r="D190" s="100">
        <v>2</v>
      </c>
      <c r="E190" s="100">
        <v>3500</v>
      </c>
      <c r="F190" s="99">
        <v>0.50680000000000003</v>
      </c>
      <c r="G190" s="4">
        <f>((E190*12)*F190)</f>
        <v>21285.600000000002</v>
      </c>
      <c r="H190" s="100">
        <v>593</v>
      </c>
      <c r="I190" s="99">
        <v>0.50680000000000003</v>
      </c>
      <c r="J190" s="100">
        <v>268</v>
      </c>
      <c r="K190" s="100">
        <v>1032</v>
      </c>
      <c r="L190">
        <f>K190-J190</f>
        <v>764</v>
      </c>
      <c r="M190">
        <f>H190-J190</f>
        <v>325</v>
      </c>
      <c r="N190">
        <f>((($K$2*(M190))/(L190)))+0.1</f>
        <v>0.44031413612565451</v>
      </c>
      <c r="O190" s="108">
        <f>I190</f>
        <v>0.50680000000000003</v>
      </c>
    </row>
    <row r="191" spans="1:15">
      <c r="A191" s="100" t="s">
        <v>334</v>
      </c>
      <c r="B191" s="100" t="s">
        <v>331</v>
      </c>
      <c r="C191" s="100" t="s">
        <v>98</v>
      </c>
      <c r="D191" s="100">
        <v>1</v>
      </c>
      <c r="E191" s="100">
        <v>3400</v>
      </c>
      <c r="F191" s="99">
        <v>0.28220000000000001</v>
      </c>
      <c r="G191" s="4">
        <f>((E191*12)*F191)</f>
        <v>11513.76</v>
      </c>
      <c r="H191" s="100">
        <v>436</v>
      </c>
      <c r="I191" s="99">
        <v>0.28220000000000001</v>
      </c>
      <c r="J191" s="100">
        <v>106</v>
      </c>
      <c r="K191" s="100">
        <v>624</v>
      </c>
      <c r="L191">
        <f>K191-J191</f>
        <v>518</v>
      </c>
      <c r="M191">
        <f>H191-J191</f>
        <v>330</v>
      </c>
      <c r="N191">
        <f>((($K$2*(M191))/(L191)))+0.1</f>
        <v>0.60965250965250961</v>
      </c>
      <c r="O191" s="108">
        <f>I191</f>
        <v>0.28220000000000001</v>
      </c>
    </row>
    <row r="192" spans="1:15">
      <c r="A192" s="100" t="s">
        <v>335</v>
      </c>
      <c r="B192" s="100" t="s">
        <v>336</v>
      </c>
      <c r="C192" s="100" t="s">
        <v>98</v>
      </c>
      <c r="D192" s="100">
        <v>2</v>
      </c>
      <c r="E192" s="100">
        <v>4200</v>
      </c>
      <c r="F192" s="99">
        <v>0.54249999999999998</v>
      </c>
      <c r="G192" s="4">
        <f>((E192*12)*F192)</f>
        <v>27342</v>
      </c>
      <c r="H192" s="100">
        <v>426</v>
      </c>
      <c r="I192" s="99">
        <v>0.54249999999999998</v>
      </c>
      <c r="J192" s="100">
        <v>210</v>
      </c>
      <c r="K192" s="100">
        <v>654</v>
      </c>
      <c r="L192">
        <f>K192-J192</f>
        <v>444</v>
      </c>
      <c r="M192">
        <f>H192-J192</f>
        <v>216</v>
      </c>
      <c r="N192">
        <f>((($K$2*(M192))/(L192)))+0.1</f>
        <v>0.48918918918918919</v>
      </c>
      <c r="O192" s="108">
        <f>I192</f>
        <v>0.54249999999999998</v>
      </c>
    </row>
    <row r="193" spans="1:15">
      <c r="A193" s="100" t="s">
        <v>337</v>
      </c>
      <c r="B193" s="100" t="s">
        <v>338</v>
      </c>
      <c r="C193" s="100" t="s">
        <v>98</v>
      </c>
      <c r="D193" s="100">
        <v>2</v>
      </c>
      <c r="E193" s="100">
        <v>1100</v>
      </c>
      <c r="F193" s="99">
        <v>8.2199999999999995E-2</v>
      </c>
      <c r="G193" s="4">
        <f>((E193*12)*F193)</f>
        <v>1085.04</v>
      </c>
      <c r="H193" s="100">
        <v>142</v>
      </c>
      <c r="I193" s="99">
        <v>8.2199999999999995E-2</v>
      </c>
      <c r="J193" s="100">
        <v>111</v>
      </c>
      <c r="K193" s="100">
        <v>148</v>
      </c>
      <c r="L193">
        <f>K193-J193</f>
        <v>37</v>
      </c>
      <c r="M193">
        <f>H193-J193</f>
        <v>31</v>
      </c>
      <c r="N193">
        <f>((($K$2*(M193))/(L193)))+0.1</f>
        <v>0.77027027027027029</v>
      </c>
      <c r="O193" s="108">
        <f>I193</f>
        <v>8.2199999999999995E-2</v>
      </c>
    </row>
    <row r="194" spans="1:15">
      <c r="A194" s="100" t="s">
        <v>339</v>
      </c>
      <c r="B194" s="100" t="s">
        <v>336</v>
      </c>
      <c r="C194" s="100" t="s">
        <v>107</v>
      </c>
      <c r="D194" s="100">
        <v>1</v>
      </c>
      <c r="E194" s="100">
        <v>3000</v>
      </c>
      <c r="F194" s="99">
        <v>0.34789999999999999</v>
      </c>
      <c r="G194" s="4">
        <f>((E194*12)*F194)</f>
        <v>12524.4</v>
      </c>
      <c r="H194" s="100">
        <v>621</v>
      </c>
      <c r="I194" s="99">
        <v>0.34789999999999999</v>
      </c>
      <c r="J194" s="100">
        <v>133</v>
      </c>
      <c r="K194" s="100">
        <v>1040</v>
      </c>
      <c r="L194">
        <f>K194-J194</f>
        <v>907</v>
      </c>
      <c r="M194">
        <f>H194-J194</f>
        <v>488</v>
      </c>
      <c r="N194">
        <f>((($K$2*(M194))/(L194)))+0.1</f>
        <v>0.53042998897464166</v>
      </c>
      <c r="O194" s="108">
        <f>I194</f>
        <v>0.34789999999999999</v>
      </c>
    </row>
    <row r="195" spans="1:15">
      <c r="A195" s="100" t="s">
        <v>340</v>
      </c>
      <c r="B195" s="100" t="s">
        <v>336</v>
      </c>
      <c r="C195" s="100" t="s">
        <v>107</v>
      </c>
      <c r="D195" s="100">
        <v>2</v>
      </c>
      <c r="E195" s="100">
        <v>3900</v>
      </c>
      <c r="F195" s="99">
        <v>0.47670000000000001</v>
      </c>
      <c r="G195" s="4">
        <f>((E195*12)*F195)</f>
        <v>22309.56</v>
      </c>
      <c r="H195" s="100">
        <v>535</v>
      </c>
      <c r="I195" s="99">
        <v>0.47670000000000001</v>
      </c>
      <c r="J195" s="100">
        <v>231</v>
      </c>
      <c r="K195" s="100">
        <v>888</v>
      </c>
      <c r="L195">
        <f>K195-J195</f>
        <v>657</v>
      </c>
      <c r="M195">
        <f>H195-J195</f>
        <v>304</v>
      </c>
      <c r="N195">
        <f>((($K$2*(M195))/(L195)))+0.1</f>
        <v>0.4701674277016743</v>
      </c>
      <c r="O195" s="108">
        <f>I195</f>
        <v>0.47670000000000001</v>
      </c>
    </row>
    <row r="196" spans="1:15">
      <c r="A196" s="100" t="s">
        <v>341</v>
      </c>
      <c r="B196" s="100" t="s">
        <v>336</v>
      </c>
      <c r="C196" s="100" t="s">
        <v>98</v>
      </c>
      <c r="D196" s="100">
        <v>1</v>
      </c>
      <c r="E196" s="100">
        <v>3600</v>
      </c>
      <c r="F196" s="99">
        <v>0.77810000000000001</v>
      </c>
      <c r="G196" s="4">
        <f>((E196*12)*F196)</f>
        <v>33613.919999999998</v>
      </c>
      <c r="H196" s="100">
        <v>196</v>
      </c>
      <c r="I196" s="99">
        <v>0.77810000000000001</v>
      </c>
      <c r="J196" s="100">
        <v>137</v>
      </c>
      <c r="K196" s="100">
        <v>808</v>
      </c>
      <c r="L196">
        <f>K196-J196</f>
        <v>671</v>
      </c>
      <c r="M196">
        <f>H196-J196</f>
        <v>59</v>
      </c>
      <c r="N196">
        <f>((($K$2*(M196))/(L196)))+0.1</f>
        <v>0.17034277198211625</v>
      </c>
      <c r="O196" s="108">
        <f>I196</f>
        <v>0.77810000000000001</v>
      </c>
    </row>
    <row r="197" spans="1:15">
      <c r="A197" s="100" t="s">
        <v>342</v>
      </c>
      <c r="B197" s="100" t="s">
        <v>343</v>
      </c>
      <c r="C197" s="100" t="s">
        <v>98</v>
      </c>
      <c r="D197" s="100">
        <v>2</v>
      </c>
      <c r="E197" s="100">
        <v>3500</v>
      </c>
      <c r="F197" s="99">
        <v>0.39729999999999999</v>
      </c>
      <c r="G197" s="4">
        <f>((E197*12)*F197)</f>
        <v>16686.599999999999</v>
      </c>
      <c r="H197" s="100">
        <v>294</v>
      </c>
      <c r="I197" s="99">
        <v>0.39729999999999999</v>
      </c>
      <c r="J197" s="100">
        <v>155</v>
      </c>
      <c r="K197" s="100">
        <v>483</v>
      </c>
      <c r="L197">
        <f>K197-J197</f>
        <v>328</v>
      </c>
      <c r="M197">
        <f>H197-J197</f>
        <v>139</v>
      </c>
      <c r="N197">
        <f>((($K$2*(M197))/(L197)))+0.1</f>
        <v>0.4390243902439025</v>
      </c>
      <c r="O197" s="108">
        <f>I197</f>
        <v>0.39729999999999999</v>
      </c>
    </row>
    <row r="198" spans="1:15">
      <c r="A198" s="100" t="s">
        <v>344</v>
      </c>
      <c r="B198" s="100" t="s">
        <v>343</v>
      </c>
      <c r="C198" s="100" t="s">
        <v>107</v>
      </c>
      <c r="D198" s="100">
        <v>1</v>
      </c>
      <c r="E198" s="100">
        <v>2500</v>
      </c>
      <c r="F198" s="99">
        <v>0.6</v>
      </c>
      <c r="G198" s="4">
        <f>((E198*12)*F198)</f>
        <v>18000</v>
      </c>
      <c r="H198" s="100">
        <v>471</v>
      </c>
      <c r="I198" s="99">
        <v>0.6</v>
      </c>
      <c r="J198" s="100">
        <v>111</v>
      </c>
      <c r="K198" s="100">
        <v>868</v>
      </c>
      <c r="L198">
        <f>K198-J198</f>
        <v>757</v>
      </c>
      <c r="M198">
        <f>H198-J198</f>
        <v>360</v>
      </c>
      <c r="N198">
        <f>((($K$2*(M198))/(L198)))+0.1</f>
        <v>0.480449141347424</v>
      </c>
      <c r="O198" s="108">
        <f>I198</f>
        <v>0.6</v>
      </c>
    </row>
    <row r="199" spans="1:15">
      <c r="A199" s="100" t="s">
        <v>345</v>
      </c>
      <c r="B199" s="100" t="s">
        <v>343</v>
      </c>
      <c r="C199" s="100" t="s">
        <v>107</v>
      </c>
      <c r="D199" s="100">
        <v>2</v>
      </c>
      <c r="E199" s="100">
        <v>3000</v>
      </c>
      <c r="F199" s="99">
        <v>0.29320000000000002</v>
      </c>
      <c r="G199" s="4">
        <f>((E199*12)*F199)</f>
        <v>10555.2</v>
      </c>
      <c r="H199" s="100">
        <v>620</v>
      </c>
      <c r="I199" s="99">
        <v>0.29320000000000002</v>
      </c>
      <c r="J199" s="100">
        <v>195</v>
      </c>
      <c r="K199" s="100">
        <v>752</v>
      </c>
      <c r="L199">
        <f>K199-J199</f>
        <v>557</v>
      </c>
      <c r="M199">
        <f>H199-J199</f>
        <v>425</v>
      </c>
      <c r="N199">
        <f>((($K$2*(M199))/(L199)))+0.1</f>
        <v>0.71041292639138243</v>
      </c>
      <c r="O199" s="108">
        <f>I199</f>
        <v>0.29320000000000002</v>
      </c>
    </row>
    <row r="200" spans="1:15">
      <c r="A200" s="100" t="s">
        <v>346</v>
      </c>
      <c r="B200" s="100" t="s">
        <v>343</v>
      </c>
      <c r="C200" s="100" t="s">
        <v>98</v>
      </c>
      <c r="D200" s="100">
        <v>1</v>
      </c>
      <c r="E200" s="100">
        <v>3000</v>
      </c>
      <c r="F200" s="99">
        <v>0.6411</v>
      </c>
      <c r="G200" s="4">
        <f>((E200*12)*F200)</f>
        <v>23079.599999999999</v>
      </c>
      <c r="H200" s="100">
        <v>235</v>
      </c>
      <c r="I200" s="99">
        <v>0.6411</v>
      </c>
      <c r="J200" s="100">
        <v>80</v>
      </c>
      <c r="K200" s="100">
        <v>469</v>
      </c>
      <c r="L200">
        <f>K200-J200</f>
        <v>389</v>
      </c>
      <c r="M200">
        <f>H200-J200</f>
        <v>155</v>
      </c>
      <c r="N200">
        <f>((($K$2*(M200))/(L200)))+0.1</f>
        <v>0.41876606683804629</v>
      </c>
      <c r="O200" s="108">
        <f>I200</f>
        <v>0.6411</v>
      </c>
    </row>
    <row r="201" spans="1:15">
      <c r="A201" s="100" t="s">
        <v>347</v>
      </c>
      <c r="B201" s="100" t="s">
        <v>348</v>
      </c>
      <c r="C201" s="100" t="s">
        <v>98</v>
      </c>
      <c r="D201" s="100">
        <v>2</v>
      </c>
      <c r="E201" s="100">
        <v>3900</v>
      </c>
      <c r="F201" s="99">
        <v>0.50409999999999999</v>
      </c>
      <c r="G201" s="4">
        <f>((E201*12)*F201)</f>
        <v>23591.88</v>
      </c>
      <c r="H201" s="100">
        <v>284</v>
      </c>
      <c r="I201" s="99">
        <v>0.50409999999999999</v>
      </c>
      <c r="J201" s="100">
        <v>116</v>
      </c>
      <c r="K201" s="100">
        <v>361</v>
      </c>
      <c r="L201">
        <f>K201-J201</f>
        <v>245</v>
      </c>
      <c r="M201">
        <f>H201-J201</f>
        <v>168</v>
      </c>
      <c r="N201">
        <f>((($K$2*(M201))/(L201)))+0.1</f>
        <v>0.64857142857142858</v>
      </c>
      <c r="O201" s="108">
        <f>I201</f>
        <v>0.50409999999999999</v>
      </c>
    </row>
    <row r="202" spans="1:15">
      <c r="A202" s="100" t="s">
        <v>349</v>
      </c>
      <c r="B202" s="100" t="s">
        <v>348</v>
      </c>
      <c r="C202" s="100" t="s">
        <v>107</v>
      </c>
      <c r="D202" s="100">
        <v>1</v>
      </c>
      <c r="E202" s="100">
        <v>2800</v>
      </c>
      <c r="F202" s="99">
        <v>0.4027</v>
      </c>
      <c r="G202" s="4">
        <f>((E202*12)*F202)</f>
        <v>13530.72</v>
      </c>
      <c r="H202" s="100">
        <v>355</v>
      </c>
      <c r="I202" s="99">
        <v>0.4027</v>
      </c>
      <c r="J202" s="100">
        <v>102</v>
      </c>
      <c r="K202" s="100">
        <v>799</v>
      </c>
      <c r="L202">
        <f>K202-J202</f>
        <v>697</v>
      </c>
      <c r="M202">
        <f>H202-J202</f>
        <v>253</v>
      </c>
      <c r="N202">
        <f>((($K$2*(M202))/(L202)))+0.1</f>
        <v>0.39038737446197991</v>
      </c>
      <c r="O202" s="108">
        <f>I202</f>
        <v>0.4027</v>
      </c>
    </row>
    <row r="203" spans="1:15">
      <c r="A203" s="100" t="s">
        <v>350</v>
      </c>
      <c r="B203" s="100" t="s">
        <v>348</v>
      </c>
      <c r="C203" s="100" t="s">
        <v>107</v>
      </c>
      <c r="D203" s="100">
        <v>2</v>
      </c>
      <c r="E203" s="100">
        <v>3500</v>
      </c>
      <c r="F203" s="99">
        <v>0.50680000000000003</v>
      </c>
      <c r="G203" s="4">
        <f>((E203*12)*F203)</f>
        <v>21285.600000000002</v>
      </c>
      <c r="H203" s="100">
        <v>436</v>
      </c>
      <c r="I203" s="99">
        <v>0.50680000000000003</v>
      </c>
      <c r="J203" s="100">
        <v>188</v>
      </c>
      <c r="K203" s="100">
        <v>724</v>
      </c>
      <c r="L203">
        <f>K203-J203</f>
        <v>536</v>
      </c>
      <c r="M203">
        <f>H203-J203</f>
        <v>248</v>
      </c>
      <c r="N203">
        <f>((($K$2*(M203))/(L203)))+0.1</f>
        <v>0.47014925373134331</v>
      </c>
      <c r="O203" s="108">
        <f>I203</f>
        <v>0.50680000000000003</v>
      </c>
    </row>
    <row r="204" spans="1:15">
      <c r="A204" s="100" t="s">
        <v>351</v>
      </c>
      <c r="B204" s="100" t="s">
        <v>338</v>
      </c>
      <c r="C204" s="100" t="s">
        <v>107</v>
      </c>
      <c r="D204" s="100">
        <v>1</v>
      </c>
      <c r="E204" s="100">
        <v>900</v>
      </c>
      <c r="F204" s="99">
        <v>0.54790000000000005</v>
      </c>
      <c r="G204" s="4">
        <f>((E204*12)*F204)</f>
        <v>5917.3200000000006</v>
      </c>
      <c r="H204" s="100">
        <v>141</v>
      </c>
      <c r="I204" s="99">
        <v>0.54790000000000005</v>
      </c>
      <c r="J204" s="100">
        <v>116</v>
      </c>
      <c r="K204" s="100">
        <v>296</v>
      </c>
      <c r="L204">
        <f>K204-J204</f>
        <v>180</v>
      </c>
      <c r="M204">
        <f>H204-J204</f>
        <v>25</v>
      </c>
      <c r="N204">
        <f>((($K$2*(M204))/(L204)))+0.1</f>
        <v>0.21111111111111111</v>
      </c>
      <c r="O204" s="108">
        <f>I204</f>
        <v>0.54790000000000005</v>
      </c>
    </row>
    <row r="205" spans="1:15">
      <c r="A205" s="100" t="s">
        <v>352</v>
      </c>
      <c r="B205" s="100" t="s">
        <v>348</v>
      </c>
      <c r="C205" s="100" t="s">
        <v>98</v>
      </c>
      <c r="D205" s="100">
        <v>1</v>
      </c>
      <c r="E205" s="100">
        <v>2600</v>
      </c>
      <c r="F205" s="99">
        <v>0.36990000000000001</v>
      </c>
      <c r="G205" s="4">
        <f>((E205*12)*F205)</f>
        <v>11540.880000000001</v>
      </c>
      <c r="H205" s="100">
        <v>250</v>
      </c>
      <c r="I205" s="99">
        <v>0.36990000000000001</v>
      </c>
      <c r="J205" s="100">
        <v>69</v>
      </c>
      <c r="K205" s="100">
        <v>406</v>
      </c>
      <c r="L205">
        <f>K205-J205</f>
        <v>337</v>
      </c>
      <c r="M205">
        <f>H205-J205</f>
        <v>181</v>
      </c>
      <c r="N205">
        <f>((($K$2*(M205))/(L205)))+0.1</f>
        <v>0.52967359050445106</v>
      </c>
      <c r="O205" s="108">
        <f>I205</f>
        <v>0.36990000000000001</v>
      </c>
    </row>
    <row r="206" spans="1:15">
      <c r="A206" s="100" t="s">
        <v>353</v>
      </c>
      <c r="B206" s="100" t="s">
        <v>354</v>
      </c>
      <c r="C206" s="100" t="s">
        <v>98</v>
      </c>
      <c r="D206" s="100">
        <v>2</v>
      </c>
      <c r="E206" s="100">
        <v>2695</v>
      </c>
      <c r="F206" s="99">
        <v>0.2356</v>
      </c>
      <c r="G206" s="4">
        <f>((E206*12)*F206)</f>
        <v>7619.3040000000001</v>
      </c>
      <c r="H206" s="100">
        <v>443</v>
      </c>
      <c r="I206" s="99">
        <v>0.2356</v>
      </c>
      <c r="J206" s="100">
        <v>265</v>
      </c>
      <c r="K206" s="100">
        <v>534</v>
      </c>
      <c r="L206">
        <f>K206-J206</f>
        <v>269</v>
      </c>
      <c r="M206">
        <f>H206-J206</f>
        <v>178</v>
      </c>
      <c r="N206">
        <f>((($K$2*(M206))/(L206)))+0.1</f>
        <v>0.6293680297397769</v>
      </c>
      <c r="O206" s="108">
        <f>I206</f>
        <v>0.2356</v>
      </c>
    </row>
    <row r="207" spans="1:15">
      <c r="A207" s="100" t="s">
        <v>355</v>
      </c>
      <c r="B207" s="100" t="s">
        <v>354</v>
      </c>
      <c r="C207" s="100" t="s">
        <v>107</v>
      </c>
      <c r="D207" s="100">
        <v>1</v>
      </c>
      <c r="E207" s="100">
        <v>3000</v>
      </c>
      <c r="F207" s="99">
        <v>0.58079999999999998</v>
      </c>
      <c r="G207" s="4">
        <f>((E207*12)*F207)</f>
        <v>20908.8</v>
      </c>
      <c r="H207" s="100">
        <v>343</v>
      </c>
      <c r="I207" s="99">
        <v>0.58079999999999998</v>
      </c>
      <c r="J207" s="100">
        <v>158</v>
      </c>
      <c r="K207" s="100">
        <v>706</v>
      </c>
      <c r="L207">
        <f>K207-J207</f>
        <v>548</v>
      </c>
      <c r="M207">
        <f>H207-J207</f>
        <v>185</v>
      </c>
      <c r="N207">
        <f>((($K$2*(M207))/(L207)))+0.1</f>
        <v>0.37007299270072991</v>
      </c>
      <c r="O207" s="108">
        <f>I207</f>
        <v>0.58079999999999998</v>
      </c>
    </row>
    <row r="208" spans="1:15">
      <c r="A208" s="100" t="s">
        <v>356</v>
      </c>
      <c r="B208" s="100" t="s">
        <v>354</v>
      </c>
      <c r="C208" s="100" t="s">
        <v>107</v>
      </c>
      <c r="D208" s="100">
        <v>2</v>
      </c>
      <c r="E208" s="100">
        <v>4000</v>
      </c>
      <c r="F208" s="99">
        <v>1.9199999999999998E-2</v>
      </c>
      <c r="G208" s="4">
        <f>((E208*12)*F208)</f>
        <v>921.59999999999991</v>
      </c>
      <c r="H208" s="100">
        <v>739</v>
      </c>
      <c r="I208" s="99">
        <v>1.9199999999999998E-2</v>
      </c>
      <c r="J208" s="100">
        <v>306</v>
      </c>
      <c r="K208" s="100">
        <v>781</v>
      </c>
      <c r="L208">
        <f>K208-J208</f>
        <v>475</v>
      </c>
      <c r="M208">
        <f>H208-J208</f>
        <v>433</v>
      </c>
      <c r="N208">
        <f>((($K$2*(M208))/(L208)))+0.1</f>
        <v>0.82926315789473692</v>
      </c>
      <c r="O208" s="108">
        <f>I208</f>
        <v>1.9199999999999998E-2</v>
      </c>
    </row>
    <row r="209" spans="1:15">
      <c r="A209" s="100" t="s">
        <v>357</v>
      </c>
      <c r="B209" s="100" t="s">
        <v>354</v>
      </c>
      <c r="C209" s="100" t="s">
        <v>98</v>
      </c>
      <c r="D209" s="100">
        <v>1</v>
      </c>
      <c r="E209" s="100">
        <v>2295</v>
      </c>
      <c r="F209" s="99">
        <v>0.46850000000000003</v>
      </c>
      <c r="G209" s="4">
        <f>((E209*12)*F209)</f>
        <v>12902.490000000002</v>
      </c>
      <c r="H209" s="100">
        <v>270</v>
      </c>
      <c r="I209" s="99">
        <v>0.46850000000000003</v>
      </c>
      <c r="J209" s="100">
        <v>100</v>
      </c>
      <c r="K209" s="100">
        <v>469</v>
      </c>
      <c r="L209">
        <f>K209-J209</f>
        <v>369</v>
      </c>
      <c r="M209">
        <f>H209-J209</f>
        <v>170</v>
      </c>
      <c r="N209">
        <f>((($K$2*(M209))/(L209)))+0.1</f>
        <v>0.46856368563685635</v>
      </c>
      <c r="O209" s="108">
        <f>I209</f>
        <v>0.46850000000000003</v>
      </c>
    </row>
    <row r="210" spans="1:15">
      <c r="A210" s="100" t="s">
        <v>358</v>
      </c>
      <c r="B210" s="100" t="s">
        <v>359</v>
      </c>
      <c r="C210" s="100" t="s">
        <v>98</v>
      </c>
      <c r="D210" s="100">
        <v>2</v>
      </c>
      <c r="E210" s="100">
        <v>3000</v>
      </c>
      <c r="F210" s="99">
        <v>0.34250000000000003</v>
      </c>
      <c r="G210" s="4">
        <f>((E210*12)*F210)</f>
        <v>12330.000000000002</v>
      </c>
      <c r="H210" s="100">
        <v>424</v>
      </c>
      <c r="I210" s="99">
        <v>0.34250000000000003</v>
      </c>
      <c r="J210" s="100">
        <v>270</v>
      </c>
      <c r="K210" s="100">
        <v>543</v>
      </c>
      <c r="L210">
        <f>K210-J210</f>
        <v>273</v>
      </c>
      <c r="M210">
        <f>H210-J210</f>
        <v>154</v>
      </c>
      <c r="N210">
        <f>((($K$2*(M210))/(L210)))+0.1</f>
        <v>0.55128205128205132</v>
      </c>
      <c r="O210" s="108">
        <f>I210</f>
        <v>0.34250000000000003</v>
      </c>
    </row>
    <row r="211" spans="1:15">
      <c r="A211" s="100" t="s">
        <v>360</v>
      </c>
      <c r="B211" s="100" t="s">
        <v>359</v>
      </c>
      <c r="C211" s="100" t="s">
        <v>107</v>
      </c>
      <c r="D211" s="100">
        <v>1</v>
      </c>
      <c r="E211" s="100">
        <v>3300</v>
      </c>
      <c r="F211" s="99">
        <v>0.2712</v>
      </c>
      <c r="G211" s="4">
        <f>((E211*12)*F211)</f>
        <v>10739.52</v>
      </c>
      <c r="H211" s="100">
        <v>980</v>
      </c>
      <c r="I211" s="99">
        <v>0.2712</v>
      </c>
      <c r="J211" s="100">
        <v>283</v>
      </c>
      <c r="K211" s="100">
        <v>1261</v>
      </c>
      <c r="L211">
        <f>K211-J211</f>
        <v>978</v>
      </c>
      <c r="M211">
        <f>H211-J211</f>
        <v>697</v>
      </c>
      <c r="N211">
        <f>((($K$2*(M211))/(L211)))+0.1</f>
        <v>0.67014314928425356</v>
      </c>
      <c r="O211" s="108">
        <f>I211</f>
        <v>0.2712</v>
      </c>
    </row>
    <row r="212" spans="1:15">
      <c r="A212" s="100" t="s">
        <v>361</v>
      </c>
      <c r="B212" s="100" t="s">
        <v>359</v>
      </c>
      <c r="C212" s="100" t="s">
        <v>107</v>
      </c>
      <c r="D212" s="100">
        <v>2</v>
      </c>
      <c r="E212" s="100">
        <v>4500</v>
      </c>
      <c r="F212" s="99">
        <v>0.43009999999999998</v>
      </c>
      <c r="G212" s="4">
        <f>((E212*12)*F212)</f>
        <v>23225.399999999998</v>
      </c>
      <c r="H212" s="100">
        <v>994</v>
      </c>
      <c r="I212" s="99">
        <v>0.43009999999999998</v>
      </c>
      <c r="J212" s="100">
        <v>530</v>
      </c>
      <c r="K212" s="100">
        <v>1354</v>
      </c>
      <c r="L212">
        <f>K212-J212</f>
        <v>824</v>
      </c>
      <c r="M212">
        <f>H212-J212</f>
        <v>464</v>
      </c>
      <c r="N212">
        <f>((($K$2*(M212))/(L212)))+0.1</f>
        <v>0.55048543689320395</v>
      </c>
      <c r="O212" s="108">
        <f>I212</f>
        <v>0.43009999999999998</v>
      </c>
    </row>
    <row r="213" spans="1:15">
      <c r="A213" s="100" t="s">
        <v>362</v>
      </c>
      <c r="B213" s="100" t="s">
        <v>359</v>
      </c>
      <c r="C213" s="100" t="s">
        <v>98</v>
      </c>
      <c r="D213" s="100">
        <v>1</v>
      </c>
      <c r="E213" s="100">
        <v>2700</v>
      </c>
      <c r="F213" s="99">
        <v>0.60550000000000004</v>
      </c>
      <c r="G213" s="4">
        <f>((E213*12)*F213)</f>
        <v>19618.2</v>
      </c>
      <c r="H213" s="100">
        <v>284</v>
      </c>
      <c r="I213" s="99">
        <v>0.60550000000000004</v>
      </c>
      <c r="J213" s="100">
        <v>103</v>
      </c>
      <c r="K213" s="100">
        <v>483</v>
      </c>
      <c r="L213">
        <f>K213-J213</f>
        <v>380</v>
      </c>
      <c r="M213">
        <f>H213-J213</f>
        <v>181</v>
      </c>
      <c r="N213">
        <f>((($K$2*(M213))/(L213)))+0.1</f>
        <v>0.4810526315789474</v>
      </c>
      <c r="O213" s="108">
        <f>I213</f>
        <v>0.60550000000000004</v>
      </c>
    </row>
    <row r="214" spans="1:15">
      <c r="A214" s="100" t="s">
        <v>363</v>
      </c>
      <c r="B214" s="100" t="s">
        <v>364</v>
      </c>
      <c r="C214" s="100" t="s">
        <v>98</v>
      </c>
      <c r="D214" s="100">
        <v>1</v>
      </c>
      <c r="E214" s="100">
        <v>2700</v>
      </c>
      <c r="F214" s="99">
        <v>0.56710000000000005</v>
      </c>
      <c r="G214" s="4">
        <f>((E214*12)*F214)</f>
        <v>18374.04</v>
      </c>
      <c r="H214" s="100">
        <v>236</v>
      </c>
      <c r="I214" s="99">
        <v>0.56710000000000005</v>
      </c>
      <c r="J214" s="100">
        <v>110</v>
      </c>
      <c r="K214" s="100">
        <v>515</v>
      </c>
      <c r="L214">
        <f>K214-J214</f>
        <v>405</v>
      </c>
      <c r="M214">
        <f>H214-J214</f>
        <v>126</v>
      </c>
      <c r="N214">
        <f>((($K$2*(M214))/(L214)))+0.1</f>
        <v>0.34888888888888892</v>
      </c>
      <c r="O214" s="108">
        <f>I214</f>
        <v>0.56710000000000005</v>
      </c>
    </row>
    <row r="215" spans="1:15">
      <c r="A215" s="100" t="s">
        <v>365</v>
      </c>
      <c r="B215" s="100" t="s">
        <v>338</v>
      </c>
      <c r="C215" s="100" t="s">
        <v>107</v>
      </c>
      <c r="D215" s="100">
        <v>2</v>
      </c>
      <c r="E215" s="100">
        <v>1100</v>
      </c>
      <c r="F215" s="99">
        <v>0.61919999999999997</v>
      </c>
      <c r="G215" s="4">
        <f>((E215*12)*F215)</f>
        <v>8173.44</v>
      </c>
      <c r="H215" s="100">
        <v>188</v>
      </c>
      <c r="I215" s="99">
        <v>0.61919999999999997</v>
      </c>
      <c r="J215" s="100">
        <v>136</v>
      </c>
      <c r="K215" s="100">
        <v>335</v>
      </c>
      <c r="L215">
        <f>K215-J215</f>
        <v>199</v>
      </c>
      <c r="M215">
        <f>H215-J215</f>
        <v>52</v>
      </c>
      <c r="N215">
        <f>((($K$2*(M215))/(L215)))+0.1</f>
        <v>0.30904522613065327</v>
      </c>
      <c r="O215" s="108">
        <f>I215</f>
        <v>0.61919999999999997</v>
      </c>
    </row>
    <row r="216" spans="1:15">
      <c r="A216" s="100" t="s">
        <v>366</v>
      </c>
      <c r="B216" s="100" t="s">
        <v>364</v>
      </c>
      <c r="C216" s="100" t="s">
        <v>98</v>
      </c>
      <c r="D216" s="100">
        <v>2</v>
      </c>
      <c r="E216" s="100">
        <v>3000</v>
      </c>
      <c r="F216" s="99">
        <v>0.70409999999999995</v>
      </c>
      <c r="G216" s="4">
        <f>((E216*12)*F216)</f>
        <v>25347.599999999999</v>
      </c>
      <c r="H216" s="100">
        <v>329</v>
      </c>
      <c r="I216" s="99">
        <v>0.70409999999999995</v>
      </c>
      <c r="J216" s="100">
        <v>270</v>
      </c>
      <c r="K216" s="100">
        <v>544</v>
      </c>
      <c r="L216">
        <f>K216-J216</f>
        <v>274</v>
      </c>
      <c r="M216">
        <f>H216-J216</f>
        <v>59</v>
      </c>
      <c r="N216">
        <f>((($K$2*(M216))/(L216)))+0.1</f>
        <v>0.27226277372262775</v>
      </c>
      <c r="O216" s="108">
        <f>I216</f>
        <v>0.70409999999999995</v>
      </c>
    </row>
    <row r="217" spans="1:15">
      <c r="A217" s="100" t="s">
        <v>367</v>
      </c>
      <c r="B217" s="100" t="s">
        <v>364</v>
      </c>
      <c r="C217" s="100" t="s">
        <v>107</v>
      </c>
      <c r="D217" s="100">
        <v>1</v>
      </c>
      <c r="E217" s="100">
        <v>4500</v>
      </c>
      <c r="F217" s="99">
        <v>0.44379999999999997</v>
      </c>
      <c r="G217" s="4">
        <f>((E217*12)*F217)</f>
        <v>23965.199999999997</v>
      </c>
      <c r="H217" s="100">
        <v>549</v>
      </c>
      <c r="I217" s="99">
        <v>0.44379999999999997</v>
      </c>
      <c r="J217" s="100">
        <v>231</v>
      </c>
      <c r="K217" s="100">
        <v>1027</v>
      </c>
      <c r="L217">
        <f>K217-J217</f>
        <v>796</v>
      </c>
      <c r="M217">
        <f>H217-J217</f>
        <v>318</v>
      </c>
      <c r="N217">
        <f>((($K$2*(M217))/(L217)))+0.1</f>
        <v>0.41959798994974873</v>
      </c>
      <c r="O217" s="108">
        <f>I217</f>
        <v>0.44379999999999997</v>
      </c>
    </row>
    <row r="218" spans="1:15">
      <c r="A218" s="100" t="s">
        <v>368</v>
      </c>
      <c r="B218" s="100" t="s">
        <v>364</v>
      </c>
      <c r="C218" s="100" t="s">
        <v>107</v>
      </c>
      <c r="D218" s="100">
        <v>2</v>
      </c>
      <c r="E218" s="100">
        <v>4900</v>
      </c>
      <c r="F218" s="99">
        <v>0.4466</v>
      </c>
      <c r="G218" s="4">
        <f>((E218*12)*F218)</f>
        <v>26260.079999999998</v>
      </c>
      <c r="H218" s="100">
        <v>652</v>
      </c>
      <c r="I218" s="99">
        <v>0.4466</v>
      </c>
      <c r="J218" s="100">
        <v>379</v>
      </c>
      <c r="K218" s="100">
        <v>969</v>
      </c>
      <c r="L218">
        <f>K218-J218</f>
        <v>590</v>
      </c>
      <c r="M218">
        <f>H218-J218</f>
        <v>273</v>
      </c>
      <c r="N218">
        <f>((($K$2*(M218))/(L218)))+0.1</f>
        <v>0.47016949152542376</v>
      </c>
      <c r="O218" s="108">
        <f>I218</f>
        <v>0.4466</v>
      </c>
    </row>
    <row r="219" spans="1:15">
      <c r="A219" s="100" t="s">
        <v>369</v>
      </c>
      <c r="B219" s="100" t="s">
        <v>370</v>
      </c>
      <c r="C219" s="100" t="s">
        <v>98</v>
      </c>
      <c r="D219" s="100">
        <v>2</v>
      </c>
      <c r="E219" s="100">
        <v>3300</v>
      </c>
      <c r="F219" s="99">
        <v>0.4219</v>
      </c>
      <c r="G219" s="4">
        <f>((E219*12)*F219)</f>
        <v>16707.240000000002</v>
      </c>
      <c r="H219" s="100">
        <v>378</v>
      </c>
      <c r="I219" s="99">
        <v>0.4219</v>
      </c>
      <c r="J219" s="100">
        <v>264</v>
      </c>
      <c r="K219" s="100">
        <v>532</v>
      </c>
      <c r="L219">
        <f>K219-J219</f>
        <v>268</v>
      </c>
      <c r="M219">
        <f>H219-J219</f>
        <v>114</v>
      </c>
      <c r="N219">
        <f>((($K$2*(M219))/(L219)))+0.1</f>
        <v>0.44029850746268662</v>
      </c>
      <c r="O219" s="108">
        <f>I219</f>
        <v>0.4219</v>
      </c>
    </row>
    <row r="220" spans="1:15">
      <c r="A220" s="100" t="s">
        <v>371</v>
      </c>
      <c r="B220" s="100" t="s">
        <v>370</v>
      </c>
      <c r="C220" s="100" t="s">
        <v>107</v>
      </c>
      <c r="D220" s="100">
        <v>1</v>
      </c>
      <c r="E220" s="100">
        <v>4500</v>
      </c>
      <c r="F220" s="99">
        <v>0.59179999999999999</v>
      </c>
      <c r="G220" s="4">
        <f>((E220*12)*F220)</f>
        <v>31957.200000000001</v>
      </c>
      <c r="H220" s="100">
        <v>255</v>
      </c>
      <c r="I220" s="99">
        <v>0.59179999999999999</v>
      </c>
      <c r="J220" s="100">
        <v>151</v>
      </c>
      <c r="K220" s="100">
        <v>673</v>
      </c>
      <c r="L220">
        <f>K220-J220</f>
        <v>522</v>
      </c>
      <c r="M220">
        <f>H220-J220</f>
        <v>104</v>
      </c>
      <c r="N220">
        <f>((($K$2*(M220))/(L220)))+0.1</f>
        <v>0.25938697318007664</v>
      </c>
      <c r="O220" s="108">
        <f>I220</f>
        <v>0.59179999999999999</v>
      </c>
    </row>
    <row r="221" spans="1:15">
      <c r="A221" s="100" t="s">
        <v>372</v>
      </c>
      <c r="B221" s="100" t="s">
        <v>370</v>
      </c>
      <c r="C221" s="100" t="s">
        <v>107</v>
      </c>
      <c r="D221" s="100">
        <v>2</v>
      </c>
      <c r="E221" s="100">
        <v>4200</v>
      </c>
      <c r="F221" s="99">
        <v>0.5726</v>
      </c>
      <c r="G221" s="4">
        <f>((E221*12)*F221)</f>
        <v>28859.040000000001</v>
      </c>
      <c r="H221" s="100">
        <v>441</v>
      </c>
      <c r="I221" s="99">
        <v>0.5726</v>
      </c>
      <c r="J221" s="100">
        <v>278</v>
      </c>
      <c r="K221" s="100">
        <v>711</v>
      </c>
      <c r="L221">
        <f>K221-J221</f>
        <v>433</v>
      </c>
      <c r="M221">
        <f>H221-J221</f>
        <v>163</v>
      </c>
      <c r="N221">
        <f>((($K$2*(M221))/(L221)))+0.1</f>
        <v>0.40115473441108551</v>
      </c>
      <c r="O221" s="108">
        <f>I221</f>
        <v>0.5726</v>
      </c>
    </row>
    <row r="222" spans="1:15">
      <c r="A222" s="100" t="s">
        <v>373</v>
      </c>
      <c r="B222" s="100" t="s">
        <v>370</v>
      </c>
      <c r="C222" s="100" t="s">
        <v>98</v>
      </c>
      <c r="D222" s="100">
        <v>1</v>
      </c>
      <c r="E222" s="100">
        <v>2500</v>
      </c>
      <c r="F222" s="99">
        <v>0.42470000000000002</v>
      </c>
      <c r="G222" s="4">
        <f>((E222*12)*F222)</f>
        <v>12741</v>
      </c>
      <c r="H222" s="100">
        <v>356</v>
      </c>
      <c r="I222" s="99">
        <v>0.42470000000000002</v>
      </c>
      <c r="J222" s="100">
        <v>98</v>
      </c>
      <c r="K222" s="100">
        <v>460</v>
      </c>
      <c r="L222">
        <f>K222-J222</f>
        <v>362</v>
      </c>
      <c r="M222">
        <f>H222-J222</f>
        <v>258</v>
      </c>
      <c r="N222">
        <f>((($K$2*(M222))/(L222)))+0.1</f>
        <v>0.67016574585635358</v>
      </c>
      <c r="O222" s="108">
        <f>I222</f>
        <v>0.42470000000000002</v>
      </c>
    </row>
    <row r="223" spans="1:15">
      <c r="A223" s="100" t="s">
        <v>374</v>
      </c>
      <c r="B223" s="100" t="s">
        <v>375</v>
      </c>
      <c r="C223" s="100" t="s">
        <v>98</v>
      </c>
      <c r="D223" s="100">
        <v>1</v>
      </c>
      <c r="E223" s="100">
        <v>2500</v>
      </c>
      <c r="F223" s="99">
        <v>7.9500000000000001E-2</v>
      </c>
      <c r="G223" s="4">
        <f>((E223*12)*F223)</f>
        <v>2385</v>
      </c>
      <c r="H223" s="100">
        <v>437</v>
      </c>
      <c r="I223" s="99">
        <v>7.9500000000000001E-2</v>
      </c>
      <c r="J223" s="100">
        <v>108</v>
      </c>
      <c r="K223" s="100">
        <v>507</v>
      </c>
      <c r="L223">
        <f>K223-J223</f>
        <v>399</v>
      </c>
      <c r="M223">
        <f>H223-J223</f>
        <v>329</v>
      </c>
      <c r="N223">
        <f>((($K$2*(M223))/(L223)))+0.1</f>
        <v>0.75964912280701746</v>
      </c>
      <c r="O223" s="108">
        <f>I223</f>
        <v>7.9500000000000001E-2</v>
      </c>
    </row>
    <row r="224" spans="1:15">
      <c r="A224" s="100" t="s">
        <v>376</v>
      </c>
      <c r="B224" s="100" t="s">
        <v>375</v>
      </c>
      <c r="C224" s="100" t="s">
        <v>98</v>
      </c>
      <c r="D224" s="100">
        <v>2</v>
      </c>
      <c r="E224" s="100">
        <v>3300</v>
      </c>
      <c r="F224" s="99">
        <v>0.31780000000000003</v>
      </c>
      <c r="G224" s="4">
        <f>((E224*12)*F224)</f>
        <v>12584.880000000001</v>
      </c>
      <c r="H224" s="100">
        <v>461</v>
      </c>
      <c r="I224" s="99">
        <v>0.31780000000000003</v>
      </c>
      <c r="J224" s="100">
        <v>270</v>
      </c>
      <c r="K224" s="100">
        <v>543</v>
      </c>
      <c r="L224">
        <f>K224-J224</f>
        <v>273</v>
      </c>
      <c r="M224">
        <f>H224-J224</f>
        <v>191</v>
      </c>
      <c r="N224">
        <f>((($K$2*(M224))/(L224)))+0.1</f>
        <v>0.65970695970695969</v>
      </c>
      <c r="O224" s="108">
        <f>I224</f>
        <v>0.31780000000000003</v>
      </c>
    </row>
    <row r="225" spans="1:15">
      <c r="A225" s="100" t="s">
        <v>377</v>
      </c>
      <c r="B225" s="100" t="s">
        <v>375</v>
      </c>
      <c r="C225" s="100" t="s">
        <v>107</v>
      </c>
      <c r="D225" s="100">
        <v>1</v>
      </c>
      <c r="E225" s="100">
        <v>4500</v>
      </c>
      <c r="F225" s="99">
        <v>0.31230000000000002</v>
      </c>
      <c r="G225" s="4">
        <f>((E225*12)*F225)</f>
        <v>16864.2</v>
      </c>
      <c r="H225" s="100">
        <v>669</v>
      </c>
      <c r="I225" s="99">
        <v>0.31230000000000002</v>
      </c>
      <c r="J225" s="100">
        <v>186</v>
      </c>
      <c r="K225" s="100">
        <v>829</v>
      </c>
      <c r="L225">
        <f>K225-J225</f>
        <v>643</v>
      </c>
      <c r="M225">
        <f>H225-J225</f>
        <v>483</v>
      </c>
      <c r="N225">
        <f>((($K$2*(M225))/(L225)))+0.1</f>
        <v>0.7009331259720063</v>
      </c>
      <c r="O225" s="108">
        <f>I225</f>
        <v>0.31230000000000002</v>
      </c>
    </row>
    <row r="226" spans="1:15">
      <c r="A226" s="100" t="s">
        <v>378</v>
      </c>
      <c r="B226" s="100" t="s">
        <v>338</v>
      </c>
      <c r="C226" s="100" t="s">
        <v>98</v>
      </c>
      <c r="D226" s="100">
        <v>1</v>
      </c>
      <c r="E226" s="100">
        <v>500</v>
      </c>
      <c r="F226" s="99">
        <v>0.39729999999999999</v>
      </c>
      <c r="G226" s="4">
        <f>((E226*12)*F226)</f>
        <v>2383.7999999999997</v>
      </c>
      <c r="H226" s="100">
        <v>121</v>
      </c>
      <c r="I226" s="99">
        <v>0.39729999999999999</v>
      </c>
      <c r="J226" s="100">
        <v>50</v>
      </c>
      <c r="K226" s="100">
        <v>174</v>
      </c>
      <c r="L226">
        <f>K226-J226</f>
        <v>124</v>
      </c>
      <c r="M226">
        <f>H226-J226</f>
        <v>71</v>
      </c>
      <c r="N226">
        <f>((($K$2*(M226))/(L226)))+0.1</f>
        <v>0.5580645161290323</v>
      </c>
      <c r="O226" s="108">
        <f>I226</f>
        <v>0.39729999999999999</v>
      </c>
    </row>
    <row r="227" spans="1:15">
      <c r="A227" s="100" t="s">
        <v>379</v>
      </c>
      <c r="B227" s="100" t="s">
        <v>375</v>
      </c>
      <c r="C227" s="100" t="s">
        <v>107</v>
      </c>
      <c r="D227" s="100">
        <v>2</v>
      </c>
      <c r="E227" s="100">
        <v>4200</v>
      </c>
      <c r="F227" s="99">
        <v>0.61099999999999999</v>
      </c>
      <c r="G227" s="4">
        <f>((E227*12)*F227)</f>
        <v>30794.399999999998</v>
      </c>
      <c r="H227" s="100">
        <v>437</v>
      </c>
      <c r="I227" s="99">
        <v>0.61099999999999999</v>
      </c>
      <c r="J227" s="100">
        <v>319</v>
      </c>
      <c r="K227" s="100">
        <v>815</v>
      </c>
      <c r="L227">
        <f>K227-J227</f>
        <v>496</v>
      </c>
      <c r="M227">
        <f>H227-J227</f>
        <v>118</v>
      </c>
      <c r="N227">
        <f>((($K$2*(M227))/(L227)))+0.1</f>
        <v>0.29032258064516131</v>
      </c>
      <c r="O227" s="108">
        <f>I227</f>
        <v>0.61099999999999999</v>
      </c>
    </row>
    <row r="228" spans="1:15">
      <c r="A228" s="100" t="s">
        <v>380</v>
      </c>
      <c r="B228" s="100" t="s">
        <v>381</v>
      </c>
      <c r="C228" s="100" t="s">
        <v>98</v>
      </c>
      <c r="D228" s="100">
        <v>2</v>
      </c>
      <c r="E228" s="100">
        <v>3600</v>
      </c>
      <c r="F228" s="99">
        <v>0.2329</v>
      </c>
      <c r="G228" s="4">
        <f>((E228*12)*F228)</f>
        <v>10061.280000000001</v>
      </c>
      <c r="H228" s="100">
        <v>663</v>
      </c>
      <c r="I228" s="99">
        <v>0.2329</v>
      </c>
      <c r="J228" s="100">
        <v>332</v>
      </c>
      <c r="K228" s="100">
        <v>805</v>
      </c>
      <c r="L228">
        <f>K228-J228</f>
        <v>473</v>
      </c>
      <c r="M228">
        <f>H228-J228</f>
        <v>331</v>
      </c>
      <c r="N228">
        <f>((($K$2*(M228))/(L228)))+0.1</f>
        <v>0.65983086680761105</v>
      </c>
      <c r="O228" s="108">
        <f>I228</f>
        <v>0.2329</v>
      </c>
    </row>
    <row r="229" spans="1:15">
      <c r="A229" s="100" t="s">
        <v>382</v>
      </c>
      <c r="B229" s="100" t="s">
        <v>381</v>
      </c>
      <c r="C229" s="100" t="s">
        <v>107</v>
      </c>
      <c r="D229" s="100">
        <v>1</v>
      </c>
      <c r="E229" s="100">
        <v>4000</v>
      </c>
      <c r="F229" s="99">
        <v>0.50680000000000003</v>
      </c>
      <c r="G229" s="4">
        <f>((E229*12)*F229)</f>
        <v>24326.400000000001</v>
      </c>
      <c r="H229" s="100">
        <v>337</v>
      </c>
      <c r="I229" s="99">
        <v>0.50680000000000003</v>
      </c>
      <c r="J229" s="100">
        <v>179</v>
      </c>
      <c r="K229" s="100">
        <v>629</v>
      </c>
      <c r="L229">
        <f>K229-J229</f>
        <v>450</v>
      </c>
      <c r="M229">
        <f>H229-J229</f>
        <v>158</v>
      </c>
      <c r="N229">
        <f>((($K$2*(M229))/(L229)))+0.1</f>
        <v>0.38088888888888894</v>
      </c>
      <c r="O229" s="108">
        <f>I229</f>
        <v>0.50680000000000003</v>
      </c>
    </row>
    <row r="230" spans="1:15">
      <c r="A230" s="100" t="s">
        <v>383</v>
      </c>
      <c r="B230" s="100" t="s">
        <v>381</v>
      </c>
      <c r="C230" s="100" t="s">
        <v>107</v>
      </c>
      <c r="D230" s="100">
        <v>2</v>
      </c>
      <c r="E230" s="100">
        <v>5500</v>
      </c>
      <c r="F230" s="99">
        <v>0.61639999999999995</v>
      </c>
      <c r="G230" s="4">
        <f>((E230*12)*F230)</f>
        <v>40682.399999999994</v>
      </c>
      <c r="H230" s="100">
        <v>447</v>
      </c>
      <c r="I230" s="99">
        <v>0.61639999999999995</v>
      </c>
      <c r="J230" s="100">
        <v>227</v>
      </c>
      <c r="K230" s="100">
        <v>813</v>
      </c>
      <c r="L230">
        <f>K230-J230</f>
        <v>586</v>
      </c>
      <c r="M230">
        <f>H230-J230</f>
        <v>220</v>
      </c>
      <c r="N230">
        <f>((($K$2*(M230))/(L230)))+0.1</f>
        <v>0.40034129692832765</v>
      </c>
      <c r="O230" s="108">
        <f>I230</f>
        <v>0.61639999999999995</v>
      </c>
    </row>
    <row r="231" spans="1:15">
      <c r="A231" s="100" t="s">
        <v>384</v>
      </c>
      <c r="B231" s="100" t="s">
        <v>381</v>
      </c>
      <c r="C231" s="100" t="s">
        <v>98</v>
      </c>
      <c r="D231" s="100">
        <v>1</v>
      </c>
      <c r="E231" s="100">
        <v>3000</v>
      </c>
      <c r="F231" s="99">
        <v>0.1014</v>
      </c>
      <c r="G231" s="4">
        <f>((E231*12)*F231)</f>
        <v>3650.4</v>
      </c>
      <c r="H231" s="100">
        <v>610</v>
      </c>
      <c r="I231" s="99">
        <v>0.1014</v>
      </c>
      <c r="J231" s="100">
        <v>115</v>
      </c>
      <c r="K231" s="100">
        <v>650</v>
      </c>
      <c r="L231">
        <f>K231-J231</f>
        <v>535</v>
      </c>
      <c r="M231">
        <f>H231-J231</f>
        <v>495</v>
      </c>
      <c r="N231">
        <f>((($K$2*(M231))/(L231)))+0.1</f>
        <v>0.84018691588785044</v>
      </c>
      <c r="O231" s="108">
        <f>I231</f>
        <v>0.1014</v>
      </c>
    </row>
    <row r="232" spans="1:15">
      <c r="A232" s="100" t="s">
        <v>385</v>
      </c>
      <c r="B232" s="100" t="s">
        <v>386</v>
      </c>
      <c r="C232" s="100" t="s">
        <v>98</v>
      </c>
      <c r="D232" s="100">
        <v>2</v>
      </c>
      <c r="E232" s="100">
        <v>4000</v>
      </c>
      <c r="F232" s="99">
        <v>0.31509999999999999</v>
      </c>
      <c r="G232" s="4">
        <f>((E232*12)*F232)</f>
        <v>15124.8</v>
      </c>
      <c r="H232" s="100">
        <v>302</v>
      </c>
      <c r="I232" s="99">
        <v>0.31509999999999999</v>
      </c>
      <c r="J232" s="100">
        <v>220</v>
      </c>
      <c r="K232" s="100">
        <v>534</v>
      </c>
      <c r="L232">
        <f>K232-J232</f>
        <v>314</v>
      </c>
      <c r="M232">
        <f>H232-J232</f>
        <v>82</v>
      </c>
      <c r="N232">
        <f>((($K$2*(M232))/(L232)))+0.1</f>
        <v>0.30891719745222934</v>
      </c>
      <c r="O232" s="108">
        <f>I232</f>
        <v>0.31509999999999999</v>
      </c>
    </row>
    <row r="233" spans="1:15">
      <c r="A233" s="100" t="s">
        <v>387</v>
      </c>
      <c r="B233" s="100" t="s">
        <v>386</v>
      </c>
      <c r="C233" s="100" t="s">
        <v>107</v>
      </c>
      <c r="D233" s="100">
        <v>1</v>
      </c>
      <c r="E233" s="100">
        <v>4000</v>
      </c>
      <c r="F233" s="99">
        <v>0.65210000000000001</v>
      </c>
      <c r="G233" s="4">
        <f>((E233*12)*F233)</f>
        <v>31300.799999999999</v>
      </c>
      <c r="H233" s="100">
        <v>213</v>
      </c>
      <c r="I233" s="99">
        <v>0.65210000000000001</v>
      </c>
      <c r="J233" s="100">
        <v>128</v>
      </c>
      <c r="K233" s="100">
        <v>450</v>
      </c>
      <c r="L233">
        <f>K233-J233</f>
        <v>322</v>
      </c>
      <c r="M233">
        <f>H233-J233</f>
        <v>85</v>
      </c>
      <c r="N233">
        <f>((($K$2*(M233))/(L233)))+0.1</f>
        <v>0.31118012422360253</v>
      </c>
      <c r="O233" s="108">
        <f>I233</f>
        <v>0.65210000000000001</v>
      </c>
    </row>
    <row r="234" spans="1:15">
      <c r="A234" s="100" t="s">
        <v>388</v>
      </c>
      <c r="B234" s="100" t="s">
        <v>386</v>
      </c>
      <c r="C234" s="100" t="s">
        <v>107</v>
      </c>
      <c r="D234" s="100">
        <v>2</v>
      </c>
      <c r="E234" s="100">
        <v>5000</v>
      </c>
      <c r="F234" s="99">
        <v>0.51229999999999998</v>
      </c>
      <c r="G234" s="4">
        <f>((E234*12)*F234)</f>
        <v>30738</v>
      </c>
      <c r="H234" s="100">
        <v>364</v>
      </c>
      <c r="I234" s="99">
        <v>0.51229999999999998</v>
      </c>
      <c r="J234" s="100">
        <v>152</v>
      </c>
      <c r="K234" s="100">
        <v>546</v>
      </c>
      <c r="L234">
        <f>K234-J234</f>
        <v>394</v>
      </c>
      <c r="M234">
        <f>H234-J234</f>
        <v>212</v>
      </c>
      <c r="N234">
        <f>((($K$2*(M234))/(L234)))+0.1</f>
        <v>0.53045685279187826</v>
      </c>
      <c r="O234" s="108">
        <f>I234</f>
        <v>0.51229999999999998</v>
      </c>
    </row>
    <row r="235" spans="1:15">
      <c r="A235" s="100" t="s">
        <v>389</v>
      </c>
      <c r="B235" s="100" t="s">
        <v>386</v>
      </c>
      <c r="C235" s="100" t="s">
        <v>98</v>
      </c>
      <c r="D235" s="100">
        <v>1</v>
      </c>
      <c r="E235" s="100">
        <v>3200</v>
      </c>
      <c r="F235" s="99">
        <v>0.62739999999999996</v>
      </c>
      <c r="G235" s="4">
        <f>((E235*12)*F235)</f>
        <v>24092.16</v>
      </c>
      <c r="H235" s="100">
        <v>251</v>
      </c>
      <c r="I235" s="99">
        <v>0.62739999999999996</v>
      </c>
      <c r="J235" s="100">
        <v>94</v>
      </c>
      <c r="K235" s="100">
        <v>528</v>
      </c>
      <c r="L235">
        <f>K235-J235</f>
        <v>434</v>
      </c>
      <c r="M235">
        <f>H235-J235</f>
        <v>157</v>
      </c>
      <c r="N235">
        <f>((($K$2*(M235))/(L235)))+0.1</f>
        <v>0.38940092165898621</v>
      </c>
      <c r="O235" s="108">
        <f>I235</f>
        <v>0.62739999999999996</v>
      </c>
    </row>
    <row r="236" spans="1:15">
      <c r="A236" s="100" t="s">
        <v>390</v>
      </c>
      <c r="B236" s="100" t="s">
        <v>391</v>
      </c>
      <c r="C236" s="100" t="s">
        <v>98</v>
      </c>
      <c r="D236" s="100">
        <v>2</v>
      </c>
      <c r="E236" s="100">
        <v>3500</v>
      </c>
      <c r="F236" s="99">
        <v>0.39729999999999999</v>
      </c>
      <c r="G236" s="4">
        <f>((E236*12)*F236)</f>
        <v>16686.599999999999</v>
      </c>
      <c r="H236" s="100">
        <v>343</v>
      </c>
      <c r="I236" s="99">
        <v>0.39729999999999999</v>
      </c>
      <c r="J236" s="100">
        <v>194</v>
      </c>
      <c r="K236" s="100">
        <v>471</v>
      </c>
      <c r="L236">
        <f>K236-J236</f>
        <v>277</v>
      </c>
      <c r="M236">
        <f>H236-J236</f>
        <v>149</v>
      </c>
      <c r="N236">
        <f>((($K$2*(M236))/(L236)))+0.1</f>
        <v>0.53032490974729241</v>
      </c>
      <c r="O236" s="108">
        <f>I236</f>
        <v>0.39729999999999999</v>
      </c>
    </row>
    <row r="237" spans="1:15">
      <c r="A237" s="100" t="s">
        <v>392</v>
      </c>
      <c r="B237" s="100" t="s">
        <v>100</v>
      </c>
      <c r="C237" s="100" t="s">
        <v>98</v>
      </c>
      <c r="D237" s="100">
        <v>1</v>
      </c>
      <c r="E237" s="100">
        <v>965</v>
      </c>
      <c r="F237" s="99">
        <v>0.37530000000000002</v>
      </c>
      <c r="G237" s="4">
        <f>((E237*12)*F237)</f>
        <v>4345.9740000000002</v>
      </c>
      <c r="H237" s="100">
        <v>125</v>
      </c>
      <c r="I237" s="99">
        <v>0.37530000000000002</v>
      </c>
      <c r="J237" s="100">
        <v>50</v>
      </c>
      <c r="K237" s="100">
        <v>174</v>
      </c>
      <c r="L237">
        <f>K237-J237</f>
        <v>124</v>
      </c>
      <c r="M237">
        <f>H237-J237</f>
        <v>75</v>
      </c>
      <c r="N237">
        <f>((($K$2*(M237))/(L237)))+0.1</f>
        <v>0.58387096774193548</v>
      </c>
      <c r="O237" s="108">
        <f>I237</f>
        <v>0.37530000000000002</v>
      </c>
    </row>
    <row r="238" spans="1:15">
      <c r="A238" s="100" t="s">
        <v>393</v>
      </c>
      <c r="B238" s="100" t="s">
        <v>391</v>
      </c>
      <c r="C238" s="100" t="s">
        <v>107</v>
      </c>
      <c r="D238" s="100">
        <v>1</v>
      </c>
      <c r="E238" s="100">
        <v>3200</v>
      </c>
      <c r="F238" s="99">
        <v>0.3342</v>
      </c>
      <c r="G238" s="4">
        <f>((E238*12)*F238)</f>
        <v>12833.28</v>
      </c>
      <c r="H238" s="100">
        <v>251</v>
      </c>
      <c r="I238" s="99">
        <v>0.3342</v>
      </c>
      <c r="J238" s="100">
        <v>138</v>
      </c>
      <c r="K238" s="100">
        <v>485</v>
      </c>
      <c r="L238">
        <f>K238-J238</f>
        <v>347</v>
      </c>
      <c r="M238">
        <f>H238-J238</f>
        <v>113</v>
      </c>
      <c r="N238">
        <f>((($K$2*(M238))/(L238)))+0.1</f>
        <v>0.36051873198847262</v>
      </c>
      <c r="O238" s="108">
        <f>I238</f>
        <v>0.3342</v>
      </c>
    </row>
    <row r="239" spans="1:15">
      <c r="A239" s="100" t="s">
        <v>394</v>
      </c>
      <c r="B239" s="100" t="s">
        <v>391</v>
      </c>
      <c r="C239" s="100" t="s">
        <v>107</v>
      </c>
      <c r="D239" s="100">
        <v>2</v>
      </c>
      <c r="E239" s="100">
        <v>3500</v>
      </c>
      <c r="F239" s="99">
        <v>0.36159999999999998</v>
      </c>
      <c r="G239" s="4">
        <f>((E239*12)*F239)</f>
        <v>15187.199999999999</v>
      </c>
      <c r="H239" s="100">
        <v>404</v>
      </c>
      <c r="I239" s="99">
        <v>0.36159999999999998</v>
      </c>
      <c r="J239" s="100">
        <v>152</v>
      </c>
      <c r="K239" s="100">
        <v>547</v>
      </c>
      <c r="L239">
        <f>K239-J239</f>
        <v>395</v>
      </c>
      <c r="M239">
        <f>H239-J239</f>
        <v>252</v>
      </c>
      <c r="N239">
        <f>((($K$2*(M239))/(L239)))+0.1</f>
        <v>0.61037974683544305</v>
      </c>
      <c r="O239" s="108">
        <f>I239</f>
        <v>0.36159999999999998</v>
      </c>
    </row>
    <row r="240" spans="1:15">
      <c r="A240" s="100" t="s">
        <v>395</v>
      </c>
      <c r="B240" s="100" t="s">
        <v>391</v>
      </c>
      <c r="C240" s="100" t="s">
        <v>98</v>
      </c>
      <c r="D240" s="100">
        <v>1</v>
      </c>
      <c r="E240" s="100">
        <v>3000</v>
      </c>
      <c r="F240" s="99">
        <v>0.26579999999999998</v>
      </c>
      <c r="G240" s="4">
        <f>((E240*12)*F240)</f>
        <v>9568.7999999999993</v>
      </c>
      <c r="H240" s="100">
        <v>161</v>
      </c>
      <c r="I240" s="99">
        <v>0.26579999999999998</v>
      </c>
      <c r="J240" s="100">
        <v>77</v>
      </c>
      <c r="K240" s="100">
        <v>432</v>
      </c>
      <c r="L240">
        <f>K240-J240</f>
        <v>355</v>
      </c>
      <c r="M240">
        <f>H240-J240</f>
        <v>84</v>
      </c>
      <c r="N240">
        <f>((($K$2*(M240))/(L240)))+0.1</f>
        <v>0.28929577464788736</v>
      </c>
      <c r="O240" s="108">
        <f>I240</f>
        <v>0.26579999999999998</v>
      </c>
    </row>
    <row r="241" spans="1:15">
      <c r="A241" s="100" t="s">
        <v>396</v>
      </c>
      <c r="B241" s="100" t="s">
        <v>397</v>
      </c>
      <c r="C241" s="100" t="s">
        <v>98</v>
      </c>
      <c r="D241" s="100">
        <v>1</v>
      </c>
      <c r="E241" s="100">
        <v>2600</v>
      </c>
      <c r="F241" s="99">
        <v>0.38629999999999998</v>
      </c>
      <c r="G241" s="4">
        <f>((E241*12)*F241)</f>
        <v>12052.56</v>
      </c>
      <c r="H241" s="100">
        <v>408</v>
      </c>
      <c r="I241" s="99">
        <v>0.38629999999999998</v>
      </c>
      <c r="J241" s="100">
        <v>100</v>
      </c>
      <c r="K241" s="100">
        <v>565</v>
      </c>
      <c r="L241">
        <f>K241-J241</f>
        <v>465</v>
      </c>
      <c r="M241">
        <f>H241-J241</f>
        <v>308</v>
      </c>
      <c r="N241">
        <f>((($K$2*(M241))/(L241)))+0.1</f>
        <v>0.62989247311827956</v>
      </c>
      <c r="O241" s="108">
        <f>I241</f>
        <v>0.38629999999999998</v>
      </c>
    </row>
    <row r="242" spans="1:15">
      <c r="A242" s="100" t="s">
        <v>398</v>
      </c>
      <c r="B242" s="100" t="s">
        <v>397</v>
      </c>
      <c r="C242" s="100" t="s">
        <v>98</v>
      </c>
      <c r="D242" s="100">
        <v>2</v>
      </c>
      <c r="E242" s="100">
        <v>4000</v>
      </c>
      <c r="F242" s="99">
        <v>0.31509999999999999</v>
      </c>
      <c r="G242" s="4">
        <f>((E242*12)*F242)</f>
        <v>15124.8</v>
      </c>
      <c r="H242" s="100">
        <v>284</v>
      </c>
      <c r="I242" s="99">
        <v>0.31509999999999999</v>
      </c>
      <c r="J242" s="100">
        <v>204</v>
      </c>
      <c r="K242" s="100">
        <v>494</v>
      </c>
      <c r="L242">
        <f>K242-J242</f>
        <v>290</v>
      </c>
      <c r="M242">
        <f>H242-J242</f>
        <v>80</v>
      </c>
      <c r="N242">
        <f>((($K$2*(M242))/(L242)))+0.1</f>
        <v>0.32068965517241377</v>
      </c>
      <c r="O242" s="108">
        <f>I242</f>
        <v>0.31509999999999999</v>
      </c>
    </row>
    <row r="243" spans="1:15">
      <c r="A243" s="100" t="s">
        <v>399</v>
      </c>
      <c r="B243" s="100" t="s">
        <v>397</v>
      </c>
      <c r="C243" s="100" t="s">
        <v>107</v>
      </c>
      <c r="D243" s="100">
        <v>1</v>
      </c>
      <c r="E243" s="100">
        <v>4000</v>
      </c>
      <c r="F243" s="99">
        <v>0.55620000000000003</v>
      </c>
      <c r="G243" s="4">
        <f>((E243*12)*F243)</f>
        <v>26697.600000000002</v>
      </c>
      <c r="H243" s="100">
        <v>443</v>
      </c>
      <c r="I243" s="99">
        <v>0.55620000000000003</v>
      </c>
      <c r="J243" s="100">
        <v>257</v>
      </c>
      <c r="K243" s="100">
        <v>903</v>
      </c>
      <c r="L243">
        <f>K243-J243</f>
        <v>646</v>
      </c>
      <c r="M243">
        <f>H243-J243</f>
        <v>186</v>
      </c>
      <c r="N243">
        <f>((($K$2*(M243))/(L243)))+0.1</f>
        <v>0.33034055727554179</v>
      </c>
      <c r="O243" s="108">
        <f>I243</f>
        <v>0.55620000000000003</v>
      </c>
    </row>
    <row r="244" spans="1:15">
      <c r="A244" s="100" t="s">
        <v>400</v>
      </c>
      <c r="B244" s="100" t="s">
        <v>397</v>
      </c>
      <c r="C244" s="100" t="s">
        <v>107</v>
      </c>
      <c r="D244" s="100">
        <v>2</v>
      </c>
      <c r="E244" s="100">
        <v>5100</v>
      </c>
      <c r="F244" s="99">
        <v>0.44929999999999998</v>
      </c>
      <c r="G244" s="4">
        <f>((E244*12)*F244)</f>
        <v>27497.16</v>
      </c>
      <c r="H244" s="100">
        <v>718</v>
      </c>
      <c r="I244" s="99">
        <v>0.44929999999999998</v>
      </c>
      <c r="J244" s="100">
        <v>256</v>
      </c>
      <c r="K244" s="100">
        <v>916</v>
      </c>
      <c r="L244">
        <f>K244-J244</f>
        <v>660</v>
      </c>
      <c r="M244">
        <f>H244-J244</f>
        <v>462</v>
      </c>
      <c r="N244">
        <f>((($K$2*(M244))/(L244)))+0.1</f>
        <v>0.66</v>
      </c>
      <c r="O244" s="108">
        <f>I244</f>
        <v>0.44929999999999998</v>
      </c>
    </row>
    <row r="245" spans="1:15">
      <c r="A245" s="100" t="s">
        <v>401</v>
      </c>
      <c r="B245" s="100" t="s">
        <v>102</v>
      </c>
      <c r="C245" s="100" t="s">
        <v>98</v>
      </c>
      <c r="D245" s="100">
        <v>2</v>
      </c>
      <c r="E245" s="100">
        <v>5600</v>
      </c>
      <c r="F245" s="99">
        <v>0.31780000000000003</v>
      </c>
      <c r="G245" s="4">
        <f>((E245*12)*F245)</f>
        <v>21356.160000000003</v>
      </c>
      <c r="H245" s="100">
        <v>478</v>
      </c>
      <c r="I245" s="99">
        <v>0.31780000000000003</v>
      </c>
      <c r="J245" s="100">
        <v>265</v>
      </c>
      <c r="K245" s="100">
        <v>644</v>
      </c>
      <c r="L245">
        <f>K245-J245</f>
        <v>379</v>
      </c>
      <c r="M245">
        <f>H245-J245</f>
        <v>213</v>
      </c>
      <c r="N245">
        <f>((($K$2*(M245))/(L245)))+0.1</f>
        <v>0.54960422163588396</v>
      </c>
      <c r="O245" s="108">
        <f>I245</f>
        <v>0.31780000000000003</v>
      </c>
    </row>
    <row r="246" spans="1:15">
      <c r="A246" s="100" t="s">
        <v>402</v>
      </c>
      <c r="B246" s="100" t="s">
        <v>102</v>
      </c>
      <c r="C246" s="100" t="s">
        <v>107</v>
      </c>
      <c r="D246" s="100">
        <v>1</v>
      </c>
      <c r="E246" s="100">
        <v>5000</v>
      </c>
      <c r="F246" s="99">
        <v>0.51229999999999998</v>
      </c>
      <c r="G246" s="4">
        <f>((E246*12)*F246)</f>
        <v>30738</v>
      </c>
      <c r="H246" s="100">
        <v>533</v>
      </c>
      <c r="I246" s="99">
        <v>0.51229999999999998</v>
      </c>
      <c r="J246" s="100">
        <v>236</v>
      </c>
      <c r="K246" s="100">
        <v>829</v>
      </c>
      <c r="L246">
        <f>K246-J246</f>
        <v>593</v>
      </c>
      <c r="M246">
        <f>H246-J246</f>
        <v>297</v>
      </c>
      <c r="N246">
        <f>((($K$2*(M246))/(L246)))+0.1</f>
        <v>0.50067453625632385</v>
      </c>
      <c r="O246" s="108">
        <f>I246</f>
        <v>0.51229999999999998</v>
      </c>
    </row>
    <row r="247" spans="1:15">
      <c r="A247" s="100" t="s">
        <v>403</v>
      </c>
      <c r="B247" s="100" t="s">
        <v>102</v>
      </c>
      <c r="C247" s="100" t="s">
        <v>107</v>
      </c>
      <c r="D247" s="100">
        <v>2</v>
      </c>
      <c r="E247" s="100">
        <v>6000</v>
      </c>
      <c r="F247" s="99">
        <v>0.36990000000000001</v>
      </c>
      <c r="G247" s="4">
        <f>((E247*12)*F247)</f>
        <v>26632.799999999999</v>
      </c>
      <c r="H247" s="100">
        <v>566</v>
      </c>
      <c r="I247" s="99">
        <v>0.36990000000000001</v>
      </c>
      <c r="J247" s="100">
        <v>244</v>
      </c>
      <c r="K247" s="100">
        <v>872</v>
      </c>
      <c r="L247">
        <f>K247-J247</f>
        <v>628</v>
      </c>
      <c r="M247">
        <f>H247-J247</f>
        <v>322</v>
      </c>
      <c r="N247">
        <f>((($K$2*(M247))/(L247)))+0.1</f>
        <v>0.51019108280254777</v>
      </c>
      <c r="O247" s="108">
        <f>I247</f>
        <v>0.36990000000000001</v>
      </c>
    </row>
  </sheetData>
  <pageMargins left="0.75" right="0.75" top="1" bottom="1" header="0.5" footer="0.5"/>
  <pageSetup orientation="portrait" horizontalDpi="4294967292" verticalDpi="429496729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2E5FD-8CEC-4681-9FA4-553B99EDCEAF}">
  <sheetPr codeName="Sheet3"/>
  <dimension ref="A1:T247"/>
  <sheetViews>
    <sheetView zoomScale="80" zoomScaleNormal="80" workbookViewId="0">
      <pane xSplit="1" topLeftCell="K1" activePane="topRight" state="frozen"/>
      <selection pane="topRight" activeCell="N149" sqref="N149"/>
    </sheetView>
  </sheetViews>
  <sheetFormatPr defaultColWidth="11" defaultRowHeight="15.75"/>
  <cols>
    <col min="1" max="1" width="22.125" customWidth="1"/>
    <col min="3" max="3" width="38.5" customWidth="1"/>
    <col min="4" max="4" width="26.125" customWidth="1"/>
    <col min="5" max="5" width="33.875" customWidth="1"/>
    <col min="6" max="6" width="18.125" customWidth="1"/>
    <col min="7" max="7" width="39.125" style="4" customWidth="1"/>
    <col min="8" max="8" width="21.5" customWidth="1"/>
    <col min="9" max="9" width="25.625" customWidth="1"/>
    <col min="10" max="10" width="28" customWidth="1"/>
    <col min="11" max="11" width="27.875" style="12" customWidth="1"/>
    <col min="12" max="12" width="18.5" customWidth="1"/>
    <col min="13" max="13" width="27.625" customWidth="1"/>
    <col min="14" max="14" width="61.375" bestFit="1" customWidth="1"/>
    <col min="15" max="15" width="35.375" style="12" customWidth="1"/>
    <col min="16" max="16" width="52.625" customWidth="1"/>
    <col min="17" max="17" width="41.75" bestFit="1" customWidth="1"/>
    <col min="18" max="18" width="77.375" customWidth="1"/>
    <col min="19" max="19" width="64.375" customWidth="1"/>
    <col min="20" max="20" width="56.125" style="12" customWidth="1"/>
    <col min="21" max="21" width="25.125" customWidth="1"/>
  </cols>
  <sheetData>
    <row r="1" spans="1:20">
      <c r="B1" t="s">
        <v>0</v>
      </c>
      <c r="C1" s="1" t="s">
        <v>1</v>
      </c>
      <c r="D1" s="2" t="s">
        <v>2</v>
      </c>
      <c r="E1" s="3" t="s">
        <v>3</v>
      </c>
      <c r="K1" s="5" t="s">
        <v>4</v>
      </c>
      <c r="N1" t="s">
        <v>5</v>
      </c>
      <c r="O1" s="12" t="s">
        <v>6</v>
      </c>
      <c r="P1" s="125" t="s">
        <v>7</v>
      </c>
      <c r="Q1" s="73" t="s">
        <v>8</v>
      </c>
      <c r="R1" s="73" t="s">
        <v>9</v>
      </c>
      <c r="S1" s="125" t="s">
        <v>10</v>
      </c>
      <c r="T1" s="8">
        <v>0.3</v>
      </c>
    </row>
    <row r="2" spans="1:20">
      <c r="E2" t="s">
        <v>11</v>
      </c>
      <c r="G2" s="13" t="s">
        <v>12</v>
      </c>
      <c r="H2" t="s">
        <v>13</v>
      </c>
      <c r="K2" s="5">
        <f>0.9-0.1</f>
        <v>0.8</v>
      </c>
      <c r="N2" t="s">
        <v>14</v>
      </c>
      <c r="O2" s="12" t="s">
        <v>15</v>
      </c>
      <c r="Q2" s="124">
        <f>SLOPE(O4:O247,N4:N247)</f>
        <v>-0.79174774204954501</v>
      </c>
      <c r="R2" s="1">
        <f>INTERCEPT(O4:O247,N4:N247)</f>
        <v>0.85074687716932851</v>
      </c>
      <c r="S2" s="106" t="s">
        <v>16</v>
      </c>
      <c r="T2" s="123" t="s">
        <v>17</v>
      </c>
    </row>
    <row r="3" spans="1:20" s="103" customFormat="1">
      <c r="A3" s="24" t="s">
        <v>27</v>
      </c>
      <c r="B3" s="24" t="s">
        <v>28</v>
      </c>
      <c r="C3" s="24" t="s">
        <v>29</v>
      </c>
      <c r="D3" s="24" t="s">
        <v>30</v>
      </c>
      <c r="E3" s="24" t="s">
        <v>31</v>
      </c>
      <c r="F3" s="24" t="s">
        <v>32</v>
      </c>
      <c r="G3" s="2" t="s">
        <v>33</v>
      </c>
      <c r="H3" s="24" t="s">
        <v>34</v>
      </c>
      <c r="I3" s="24" t="s">
        <v>35</v>
      </c>
      <c r="J3" s="24" t="s">
        <v>36</v>
      </c>
      <c r="K3" s="26" t="s">
        <v>37</v>
      </c>
      <c r="L3" s="3" t="s">
        <v>38</v>
      </c>
      <c r="M3" s="3" t="s">
        <v>39</v>
      </c>
      <c r="N3" s="2" t="s">
        <v>40</v>
      </c>
      <c r="O3" s="1" t="s">
        <v>35</v>
      </c>
      <c r="P3" s="28" t="s">
        <v>531</v>
      </c>
      <c r="Q3" s="28" t="s">
        <v>530</v>
      </c>
      <c r="R3" s="28" t="s">
        <v>529</v>
      </c>
      <c r="S3" s="28" t="s">
        <v>43</v>
      </c>
      <c r="T3" s="110" t="s">
        <v>44</v>
      </c>
    </row>
    <row r="4" spans="1:20">
      <c r="A4" s="100" t="s">
        <v>96</v>
      </c>
      <c r="B4" s="100" t="s">
        <v>97</v>
      </c>
      <c r="C4" s="100" t="s">
        <v>98</v>
      </c>
      <c r="D4" s="100">
        <v>2</v>
      </c>
      <c r="E4" s="100">
        <v>1060</v>
      </c>
      <c r="F4" s="99">
        <v>0.16159999999999999</v>
      </c>
      <c r="G4" s="4">
        <f>(E4*12)*F4</f>
        <v>2055.5520000000001</v>
      </c>
      <c r="H4" s="100">
        <v>148</v>
      </c>
      <c r="I4" s="99">
        <v>0.16159999999999999</v>
      </c>
      <c r="J4" s="100">
        <v>114</v>
      </c>
      <c r="K4" s="100">
        <v>153</v>
      </c>
      <c r="L4">
        <f>K4-J4</f>
        <v>39</v>
      </c>
      <c r="M4">
        <f>H4-J4</f>
        <v>34</v>
      </c>
      <c r="N4" s="112">
        <f>((0.8*M4))/(L4)+0.1</f>
        <v>0.79743589743589749</v>
      </c>
      <c r="O4" s="108">
        <f>I4</f>
        <v>0.16159999999999999</v>
      </c>
      <c r="P4" s="63">
        <v>114</v>
      </c>
      <c r="Q4" s="113">
        <f>0.1+0.8*(P4-J4)/(K4-J4)</f>
        <v>0.1</v>
      </c>
      <c r="R4" s="113">
        <f>($Q$2*Q4)+$R$2</f>
        <v>0.77157210296437406</v>
      </c>
      <c r="S4" s="63">
        <f>365*P4*R4</f>
        <v>32105.115204347603</v>
      </c>
      <c r="T4" s="65">
        <f>S4*(1-$T$1)</f>
        <v>22473.580643043322</v>
      </c>
    </row>
    <row r="5" spans="1:20">
      <c r="A5" s="100" t="s">
        <v>99</v>
      </c>
      <c r="B5" s="100" t="s">
        <v>100</v>
      </c>
      <c r="C5" s="100" t="s">
        <v>98</v>
      </c>
      <c r="D5" s="100">
        <v>2</v>
      </c>
      <c r="E5" s="100">
        <v>1200</v>
      </c>
      <c r="F5" s="99">
        <v>0.34789999999999999</v>
      </c>
      <c r="G5" s="4">
        <f>(E5*12)*F5</f>
        <v>5009.76</v>
      </c>
      <c r="H5" s="100">
        <v>133</v>
      </c>
      <c r="I5" s="99">
        <v>0.34789999999999999</v>
      </c>
      <c r="J5" s="100">
        <v>111</v>
      </c>
      <c r="K5" s="100">
        <v>149</v>
      </c>
      <c r="L5">
        <f>K5-J5</f>
        <v>38</v>
      </c>
      <c r="M5">
        <f>H5-J5</f>
        <v>22</v>
      </c>
      <c r="N5" s="112">
        <f>((0.8*M5))/(L5)+0.1</f>
        <v>0.56315789473684219</v>
      </c>
      <c r="O5" s="108">
        <f>I5</f>
        <v>0.34789999999999999</v>
      </c>
      <c r="P5" s="63">
        <v>111</v>
      </c>
      <c r="Q5" s="113">
        <f>0.1+0.8*(P5-J5)/(K5-J5)</f>
        <v>0.1</v>
      </c>
      <c r="R5" s="113">
        <f>($Q$2*Q5)+$R$2</f>
        <v>0.77157210296437406</v>
      </c>
      <c r="S5" s="63">
        <f>365*P5*R5</f>
        <v>31260.243751601614</v>
      </c>
      <c r="T5" s="65">
        <f>S5*(1-$T$1)</f>
        <v>21882.170626121129</v>
      </c>
    </row>
    <row r="6" spans="1:20">
      <c r="A6" s="100" t="s">
        <v>101</v>
      </c>
      <c r="B6" s="100" t="s">
        <v>102</v>
      </c>
      <c r="C6" s="100" t="s">
        <v>98</v>
      </c>
      <c r="D6" s="100">
        <v>1</v>
      </c>
      <c r="E6" s="100">
        <v>3300</v>
      </c>
      <c r="F6" s="99">
        <v>0.39729999999999999</v>
      </c>
      <c r="G6" s="4">
        <f>(E6*12)*F6</f>
        <v>15733.08</v>
      </c>
      <c r="H6" s="100">
        <v>372</v>
      </c>
      <c r="I6" s="99">
        <v>0.39729999999999999</v>
      </c>
      <c r="J6" s="100">
        <v>108</v>
      </c>
      <c r="K6" s="100">
        <v>610</v>
      </c>
      <c r="L6">
        <f>K6-J6</f>
        <v>502</v>
      </c>
      <c r="M6">
        <f>H6-J6</f>
        <v>264</v>
      </c>
      <c r="N6" s="112">
        <f>((0.8*M6))/(L6)+0.1</f>
        <v>0.52071713147410359</v>
      </c>
      <c r="O6" s="108">
        <f>I6</f>
        <v>0.39729999999999999</v>
      </c>
      <c r="P6" s="63">
        <v>359.75489495465791</v>
      </c>
      <c r="Q6" s="113">
        <f>0.1+0.8*(P6-J6)/(K6-J6)</f>
        <v>0.50120301984806048</v>
      </c>
      <c r="R6" s="113">
        <f>($Q$2*Q6)+$R$2</f>
        <v>0.45392051789621335</v>
      </c>
      <c r="S6" s="63">
        <f>365*P6*R6</f>
        <v>59604.546805233396</v>
      </c>
      <c r="T6" s="65">
        <f>S6*(1-$T$1)</f>
        <v>41723.182763663375</v>
      </c>
    </row>
    <row r="7" spans="1:20">
      <c r="A7" s="100" t="s">
        <v>103</v>
      </c>
      <c r="B7" s="100" t="s">
        <v>104</v>
      </c>
      <c r="C7" s="100" t="s">
        <v>98</v>
      </c>
      <c r="D7" s="100">
        <v>1</v>
      </c>
      <c r="E7" s="100">
        <v>1400</v>
      </c>
      <c r="F7" s="99">
        <v>0.3644</v>
      </c>
      <c r="G7" s="4">
        <f>(E7*12)*F7</f>
        <v>6121.92</v>
      </c>
      <c r="H7" s="100">
        <v>302</v>
      </c>
      <c r="I7" s="99">
        <v>0.3644</v>
      </c>
      <c r="J7" s="100">
        <v>178</v>
      </c>
      <c r="K7" s="100">
        <v>533</v>
      </c>
      <c r="L7">
        <f>K7-J7</f>
        <v>355</v>
      </c>
      <c r="M7">
        <f>H7-J7</f>
        <v>124</v>
      </c>
      <c r="N7" s="112">
        <f>((0.8*M7))/(L7)+0.1</f>
        <v>0.37943661971830989</v>
      </c>
      <c r="O7" s="108">
        <f>I7</f>
        <v>0.3644</v>
      </c>
      <c r="P7" s="63">
        <v>305.22109070000704</v>
      </c>
      <c r="Q7" s="113">
        <f>0.1+0.8*(P7-J7)/(K7-J7)</f>
        <v>0.38669541566198773</v>
      </c>
      <c r="R7" s="113">
        <f>($Q$2*Q7)+$R$2</f>
        <v>0.54458165495803945</v>
      </c>
      <c r="S7" s="63">
        <f>365*P7*R7</f>
        <v>60669.499446050308</v>
      </c>
      <c r="T7" s="65">
        <f>S7*(1-$T$1)</f>
        <v>42468.649612235211</v>
      </c>
    </row>
    <row r="8" spans="1:20">
      <c r="A8" s="100" t="s">
        <v>105</v>
      </c>
      <c r="B8" s="100" t="s">
        <v>104</v>
      </c>
      <c r="C8" s="100" t="s">
        <v>98</v>
      </c>
      <c r="D8" s="100">
        <v>2</v>
      </c>
      <c r="E8" s="100">
        <v>2000</v>
      </c>
      <c r="F8" s="99">
        <v>0.41099999999999998</v>
      </c>
      <c r="G8" s="4">
        <f>(E8*12)*F8</f>
        <v>9864</v>
      </c>
      <c r="H8" s="100">
        <v>429</v>
      </c>
      <c r="I8" s="99">
        <v>0.41099999999999998</v>
      </c>
      <c r="J8" s="100">
        <v>221</v>
      </c>
      <c r="K8" s="100">
        <v>617</v>
      </c>
      <c r="L8">
        <f>K8-J8</f>
        <v>396</v>
      </c>
      <c r="M8">
        <f>H8-J8</f>
        <v>208</v>
      </c>
      <c r="N8" s="112">
        <f>((0.8*M8))/(L8)+0.1</f>
        <v>0.52020202020202022</v>
      </c>
      <c r="O8" s="108">
        <f>I8</f>
        <v>0.41099999999999998</v>
      </c>
      <c r="P8" s="63">
        <v>351.69310399212054</v>
      </c>
      <c r="Q8" s="113">
        <f>0.1+0.8*(P8-J8)/(K8-J8)</f>
        <v>0.36402647271135469</v>
      </c>
      <c r="R8" s="113">
        <f>($Q$2*Q8)+$R$2</f>
        <v>0.56252973935385309</v>
      </c>
      <c r="S8" s="63">
        <f>365*P8*R8</f>
        <v>72210.807994250819</v>
      </c>
      <c r="T8" s="65">
        <f>S8*(1-$T$1)</f>
        <v>50547.565595975568</v>
      </c>
    </row>
    <row r="9" spans="1:20">
      <c r="A9" s="100" t="s">
        <v>106</v>
      </c>
      <c r="B9" s="100" t="s">
        <v>104</v>
      </c>
      <c r="C9" s="100" t="s">
        <v>107</v>
      </c>
      <c r="D9" s="100">
        <v>1</v>
      </c>
      <c r="E9" s="100">
        <v>1600</v>
      </c>
      <c r="F9" s="99">
        <v>0.41099999999999998</v>
      </c>
      <c r="G9" s="4">
        <f>(E9*12)*F9</f>
        <v>7891.2</v>
      </c>
      <c r="H9" s="100">
        <v>380</v>
      </c>
      <c r="I9" s="99">
        <v>0.41099999999999998</v>
      </c>
      <c r="J9" s="100">
        <v>202</v>
      </c>
      <c r="K9" s="100">
        <v>646</v>
      </c>
      <c r="L9">
        <f>K9-J9</f>
        <v>444</v>
      </c>
      <c r="M9">
        <f>H9-J9</f>
        <v>178</v>
      </c>
      <c r="N9" s="112">
        <f>((0.8*M9))/(L9)+0.1</f>
        <v>0.42072072072072075</v>
      </c>
      <c r="O9" s="108">
        <f>I9</f>
        <v>0.41099999999999998</v>
      </c>
      <c r="P9" s="63">
        <v>371.42863174874117</v>
      </c>
      <c r="Q9" s="113">
        <f>0.1+0.8*(P9-J9)/(K9-J9)</f>
        <v>0.40527681396169579</v>
      </c>
      <c r="R9" s="113">
        <f>($Q$2*Q9)+$R$2</f>
        <v>0.52986987481012227</v>
      </c>
      <c r="S9" s="63">
        <f>365*P9*R9</f>
        <v>71835.227551044169</v>
      </c>
      <c r="T9" s="65">
        <f>S9*(1-$T$1)</f>
        <v>50284.659285730915</v>
      </c>
    </row>
    <row r="10" spans="1:20">
      <c r="A10" s="100" t="s">
        <v>108</v>
      </c>
      <c r="B10" s="100" t="s">
        <v>104</v>
      </c>
      <c r="C10" s="100" t="s">
        <v>107</v>
      </c>
      <c r="D10" s="100">
        <v>2</v>
      </c>
      <c r="E10" s="100">
        <v>2800</v>
      </c>
      <c r="F10" s="99">
        <v>0.52600000000000002</v>
      </c>
      <c r="G10" s="4">
        <f>(E10*12)*F10</f>
        <v>17673.600000000002</v>
      </c>
      <c r="H10" s="100">
        <v>374</v>
      </c>
      <c r="I10" s="99">
        <v>0.52600000000000002</v>
      </c>
      <c r="J10" s="100">
        <v>197</v>
      </c>
      <c r="K10" s="100">
        <v>639</v>
      </c>
      <c r="L10">
        <f>K10-J10</f>
        <v>442</v>
      </c>
      <c r="M10">
        <f>H10-J10</f>
        <v>177</v>
      </c>
      <c r="N10" s="112">
        <f>((0.8*M10))/(L10)+0.1</f>
        <v>0.42036199095022619</v>
      </c>
      <c r="O10" s="108">
        <f>I10</f>
        <v>0.52600000000000002</v>
      </c>
      <c r="P10" s="63">
        <v>367.71048498971351</v>
      </c>
      <c r="Q10" s="113">
        <f>0.1+0.8*(P10-J10)/(K10-J10)</f>
        <v>0.40897825337504712</v>
      </c>
      <c r="R10" s="113">
        <f>($Q$2*Q10)+$R$2</f>
        <v>0.52693926851226824</v>
      </c>
      <c r="S10" s="63">
        <f>365*P10*R10</f>
        <v>70722.799304441432</v>
      </c>
      <c r="T10" s="65">
        <f>S10*(1-$T$1)</f>
        <v>49505.959513109003</v>
      </c>
    </row>
    <row r="11" spans="1:20">
      <c r="A11" s="100" t="s">
        <v>109</v>
      </c>
      <c r="B11" s="100" t="s">
        <v>110</v>
      </c>
      <c r="C11" s="100" t="s">
        <v>98</v>
      </c>
      <c r="D11" s="100">
        <v>1</v>
      </c>
      <c r="E11" s="100">
        <v>1100</v>
      </c>
      <c r="F11" s="99">
        <v>0.43290000000000001</v>
      </c>
      <c r="G11" s="4">
        <f>(E11*12)*F11</f>
        <v>5714.28</v>
      </c>
      <c r="H11" s="100">
        <v>386</v>
      </c>
      <c r="I11" s="99">
        <v>0.43290000000000001</v>
      </c>
      <c r="J11" s="100">
        <v>114</v>
      </c>
      <c r="K11" s="100">
        <v>477</v>
      </c>
      <c r="L11">
        <f>K11-J11</f>
        <v>363</v>
      </c>
      <c r="M11">
        <f>H11-J11</f>
        <v>272</v>
      </c>
      <c r="N11" s="112">
        <f>((0.8*M11))/(L11)+0.1</f>
        <v>0.69944903581267226</v>
      </c>
      <c r="O11" s="108">
        <f>I11</f>
        <v>0.43290000000000001</v>
      </c>
      <c r="P11" s="63">
        <v>278.09367865944387</v>
      </c>
      <c r="Q11" s="113">
        <f>0.1+0.8*(P11-J11)/(K11-J11)</f>
        <v>0.46163896123293413</v>
      </c>
      <c r="R11" s="113">
        <f>($Q$2*Q11)+$R$2</f>
        <v>0.48524527197105549</v>
      </c>
      <c r="S11" s="63">
        <f>365*P11*R11</f>
        <v>49254.429598104602</v>
      </c>
      <c r="T11" s="65">
        <f>S11*(1-$T$1)</f>
        <v>34478.100718673217</v>
      </c>
    </row>
    <row r="12" spans="1:20">
      <c r="A12" s="100" t="s">
        <v>111</v>
      </c>
      <c r="B12" s="100" t="s">
        <v>110</v>
      </c>
      <c r="C12" s="100" t="s">
        <v>98</v>
      </c>
      <c r="D12" s="100">
        <v>2</v>
      </c>
      <c r="E12" s="100">
        <v>1900</v>
      </c>
      <c r="F12" s="99">
        <v>0.69589999999999996</v>
      </c>
      <c r="G12" s="4">
        <f>(E12*12)*F12</f>
        <v>15866.519999999999</v>
      </c>
      <c r="H12" s="100">
        <v>212</v>
      </c>
      <c r="I12" s="99">
        <v>0.69589999999999996</v>
      </c>
      <c r="J12" s="100">
        <v>80</v>
      </c>
      <c r="K12" s="100">
        <v>583</v>
      </c>
      <c r="L12">
        <f>K12-J12</f>
        <v>503</v>
      </c>
      <c r="M12">
        <f>H12-J12</f>
        <v>132</v>
      </c>
      <c r="N12" s="112">
        <f>((0.8*M12))/(L12)+0.1</f>
        <v>0.30994035785288276</v>
      </c>
      <c r="O12" s="108">
        <f>I12</f>
        <v>0.69589999999999996</v>
      </c>
      <c r="P12" s="63">
        <v>346.36396894958744</v>
      </c>
      <c r="Q12" s="113">
        <f>0.1+0.8*(P12-J12)/(K12-J12)</f>
        <v>0.52364050727568578</v>
      </c>
      <c r="R12" s="113">
        <f>($Q$2*Q12)+$R$2</f>
        <v>0.43615568788812592</v>
      </c>
      <c r="S12" s="63">
        <f>365*P12*R12</f>
        <v>55140.044524957113</v>
      </c>
      <c r="T12" s="65">
        <f>S12*(1-$T$1)</f>
        <v>38598.031167469977</v>
      </c>
    </row>
    <row r="13" spans="1:20">
      <c r="A13" s="100" t="s">
        <v>112</v>
      </c>
      <c r="B13" s="100" t="s">
        <v>110</v>
      </c>
      <c r="C13" s="100" t="s">
        <v>107</v>
      </c>
      <c r="D13" s="100">
        <v>1</v>
      </c>
      <c r="E13" s="100">
        <v>1800</v>
      </c>
      <c r="F13" s="99">
        <v>0.1096</v>
      </c>
      <c r="G13" s="4">
        <f>(E13*12)*F13</f>
        <v>2367.36</v>
      </c>
      <c r="H13" s="100">
        <v>969</v>
      </c>
      <c r="I13" s="99">
        <v>0.1096</v>
      </c>
      <c r="J13" s="100">
        <v>239</v>
      </c>
      <c r="K13" s="100">
        <v>1431</v>
      </c>
      <c r="L13">
        <f>K13-J13</f>
        <v>1192</v>
      </c>
      <c r="M13">
        <f>H13-J13</f>
        <v>730</v>
      </c>
      <c r="N13" s="112">
        <f>((0.8*M13))/(L13)+0.1</f>
        <v>0.58993288590604032</v>
      </c>
      <c r="O13" s="108">
        <f>I13</f>
        <v>0.1096</v>
      </c>
      <c r="P13" s="63">
        <v>845.5156079560802</v>
      </c>
      <c r="Q13" s="113">
        <f>0.1+0.8*(P13-J13)/(K13-J13)</f>
        <v>0.50705745500408073</v>
      </c>
      <c r="R13" s="113">
        <f>($Q$2*Q13)+$R$2</f>
        <v>0.44928528208045881</v>
      </c>
      <c r="S13" s="63">
        <f>365*P13*R13</f>
        <v>138655.36722475203</v>
      </c>
      <c r="T13" s="65">
        <f>S13*(1-$T$1)</f>
        <v>97058.757057326409</v>
      </c>
    </row>
    <row r="14" spans="1:20">
      <c r="A14" s="100" t="s">
        <v>113</v>
      </c>
      <c r="B14" s="100" t="s">
        <v>110</v>
      </c>
      <c r="C14" s="100" t="s">
        <v>107</v>
      </c>
      <c r="D14" s="100">
        <v>2</v>
      </c>
      <c r="E14" s="100">
        <v>3200</v>
      </c>
      <c r="F14" s="99">
        <v>0.22470000000000001</v>
      </c>
      <c r="G14" s="4">
        <f>(E14*12)*F14</f>
        <v>8628.48</v>
      </c>
      <c r="H14" s="100">
        <v>885</v>
      </c>
      <c r="I14" s="99">
        <v>0.22470000000000001</v>
      </c>
      <c r="J14" s="100">
        <v>236</v>
      </c>
      <c r="K14" s="100">
        <v>1533</v>
      </c>
      <c r="L14">
        <f>K14-J14</f>
        <v>1297</v>
      </c>
      <c r="M14">
        <f>H14-J14</f>
        <v>649</v>
      </c>
      <c r="N14" s="112">
        <f>((0.8*M14))/(L14)+0.1</f>
        <v>0.50030840400925214</v>
      </c>
      <c r="O14" s="108">
        <f>I14</f>
        <v>0.22470000000000001</v>
      </c>
      <c r="P14" s="63">
        <v>907.96832292368799</v>
      </c>
      <c r="Q14" s="113">
        <f>0.1+0.8*(P14-J14)/(K14-J14)</f>
        <v>0.51447544976017767</v>
      </c>
      <c r="R14" s="113">
        <f>($Q$2*Q14)+$R$2</f>
        <v>0.44341210148178373</v>
      </c>
      <c r="S14" s="63">
        <f>365*P14*R14</f>
        <v>146950.51188346642</v>
      </c>
      <c r="T14" s="65">
        <f>S14*(1-$T$1)</f>
        <v>102865.35831842649</v>
      </c>
    </row>
    <row r="15" spans="1:20">
      <c r="A15" s="100" t="s">
        <v>114</v>
      </c>
      <c r="B15" s="100" t="s">
        <v>115</v>
      </c>
      <c r="C15" s="100" t="s">
        <v>98</v>
      </c>
      <c r="D15" s="100">
        <v>1</v>
      </c>
      <c r="E15" s="100">
        <v>1000</v>
      </c>
      <c r="F15" s="99">
        <v>0.21920000000000001</v>
      </c>
      <c r="G15" s="4">
        <f>(E15*12)*F15</f>
        <v>2630.4</v>
      </c>
      <c r="H15" s="100">
        <v>287</v>
      </c>
      <c r="I15" s="99">
        <v>0.21920000000000001</v>
      </c>
      <c r="J15" s="100">
        <v>138</v>
      </c>
      <c r="K15" s="100">
        <v>550</v>
      </c>
      <c r="L15">
        <f>K15-J15</f>
        <v>412</v>
      </c>
      <c r="M15">
        <f>H15-J15</f>
        <v>149</v>
      </c>
      <c r="N15" s="112">
        <f>((0.8*M15))/(L15)+0.1</f>
        <v>0.38932038834951455</v>
      </c>
      <c r="O15" s="108">
        <f>I15</f>
        <v>0.21920000000000001</v>
      </c>
      <c r="P15" s="63">
        <v>319.93828041099408</v>
      </c>
      <c r="Q15" s="113">
        <f>0.1+0.8*(P15-J15)/(K15-J15)</f>
        <v>0.45327821439027982</v>
      </c>
      <c r="R15" s="113">
        <f>($Q$2*Q15)+$R$2</f>
        <v>0.49186487440557486</v>
      </c>
      <c r="S15" s="63">
        <f>365*P15*R15</f>
        <v>57438.736770839561</v>
      </c>
      <c r="T15" s="65">
        <f>S15*(1-$T$1)</f>
        <v>40207.115739587687</v>
      </c>
    </row>
    <row r="16" spans="1:20">
      <c r="A16" s="100" t="s">
        <v>116</v>
      </c>
      <c r="B16" s="100" t="s">
        <v>100</v>
      </c>
      <c r="C16" s="100" t="s">
        <v>107</v>
      </c>
      <c r="D16" s="100">
        <v>1</v>
      </c>
      <c r="E16" s="100">
        <v>1000</v>
      </c>
      <c r="F16" s="99">
        <v>0.39179999999999998</v>
      </c>
      <c r="G16" s="4">
        <f>(E16*12)*F16</f>
        <v>4701.5999999999995</v>
      </c>
      <c r="H16" s="100">
        <v>206</v>
      </c>
      <c r="I16" s="99">
        <v>0.39179999999999998</v>
      </c>
      <c r="J16" s="100">
        <v>116</v>
      </c>
      <c r="K16" s="100">
        <v>296</v>
      </c>
      <c r="L16">
        <f>K16-J16</f>
        <v>180</v>
      </c>
      <c r="M16">
        <f>H16-J16</f>
        <v>90</v>
      </c>
      <c r="N16" s="112">
        <f>((0.8*M16))/(L16)+0.1</f>
        <v>0.5</v>
      </c>
      <c r="O16" s="108">
        <f>I16</f>
        <v>0.39179999999999998</v>
      </c>
      <c r="P16" s="63">
        <v>167.63322938520568</v>
      </c>
      <c r="Q16" s="113">
        <f>0.1+0.8*(P16-J16)/(K16-J16)</f>
        <v>0.32948101948980307</v>
      </c>
      <c r="R16" s="113">
        <f>($Q$2*Q16)+$R$2</f>
        <v>0.58988102394009478</v>
      </c>
      <c r="S16" s="63">
        <f>365*P16*R16</f>
        <v>36092.536263587419</v>
      </c>
      <c r="T16" s="65">
        <f>S16*(1-$T$1)</f>
        <v>25264.775384511191</v>
      </c>
    </row>
    <row r="17" spans="1:20">
      <c r="A17" s="100" t="s">
        <v>117</v>
      </c>
      <c r="B17" s="100" t="s">
        <v>115</v>
      </c>
      <c r="C17" s="100" t="s">
        <v>98</v>
      </c>
      <c r="D17" s="100">
        <v>2</v>
      </c>
      <c r="E17" s="100">
        <v>1300</v>
      </c>
      <c r="F17" s="99">
        <v>0.53700000000000003</v>
      </c>
      <c r="G17" s="4">
        <f>(E17*12)*F17</f>
        <v>8377.2000000000007</v>
      </c>
      <c r="H17" s="100">
        <v>462</v>
      </c>
      <c r="I17" s="99">
        <v>0.53700000000000003</v>
      </c>
      <c r="J17" s="100">
        <v>175</v>
      </c>
      <c r="K17" s="100">
        <v>917</v>
      </c>
      <c r="L17">
        <f>K17-J17</f>
        <v>742</v>
      </c>
      <c r="M17">
        <f>H17-J17</f>
        <v>287</v>
      </c>
      <c r="N17" s="112">
        <f>((0.8*M17))/(L17)+0.1</f>
        <v>0.40943396226415096</v>
      </c>
      <c r="O17" s="108">
        <f>I17</f>
        <v>0.53700000000000003</v>
      </c>
      <c r="P17" s="63">
        <v>539.43253323776139</v>
      </c>
      <c r="Q17" s="113">
        <f>0.1+0.8*(P17-J17)/(K17-J17)</f>
        <v>0.49291917330216861</v>
      </c>
      <c r="R17" s="113">
        <f>($Q$2*Q17)+$R$2</f>
        <v>0.46047923469440816</v>
      </c>
      <c r="S17" s="63">
        <f>365*P17*R17</f>
        <v>90665.080227225437</v>
      </c>
      <c r="T17" s="65">
        <f>S17*(1-$T$1)</f>
        <v>63465.5561590578</v>
      </c>
    </row>
    <row r="18" spans="1:20">
      <c r="A18" s="100" t="s">
        <v>118</v>
      </c>
      <c r="B18" s="100" t="s">
        <v>115</v>
      </c>
      <c r="C18" s="100" t="s">
        <v>107</v>
      </c>
      <c r="D18" s="100">
        <v>1</v>
      </c>
      <c r="E18" s="100">
        <v>1200</v>
      </c>
      <c r="F18" s="99">
        <v>0.51229999999999998</v>
      </c>
      <c r="G18" s="4">
        <f>(E18*12)*F18</f>
        <v>7377.12</v>
      </c>
      <c r="H18" s="100">
        <v>389</v>
      </c>
      <c r="I18" s="99">
        <v>0.51229999999999998</v>
      </c>
      <c r="J18" s="100">
        <v>130</v>
      </c>
      <c r="K18" s="100">
        <v>821</v>
      </c>
      <c r="L18">
        <f>K18-J18</f>
        <v>691</v>
      </c>
      <c r="M18">
        <f>H18-J18</f>
        <v>259</v>
      </c>
      <c r="N18" s="112">
        <f>((0.8*M18))/(L18)+0.1</f>
        <v>0.39985528219971056</v>
      </c>
      <c r="O18" s="108">
        <f>I18</f>
        <v>0.51229999999999998</v>
      </c>
      <c r="P18" s="63">
        <v>485.86978499635171</v>
      </c>
      <c r="Q18" s="113">
        <f>0.1+0.8*(P18-J18)/(K18-J18)</f>
        <v>0.51200553979317132</v>
      </c>
      <c r="R18" s="113">
        <f>($Q$2*Q18)+$R$2</f>
        <v>0.44536764712122667</v>
      </c>
      <c r="S18" s="63">
        <f>365*P18*R18</f>
        <v>78982.59927715933</v>
      </c>
      <c r="T18" s="65">
        <f>S18*(1-$T$1)</f>
        <v>55287.819494011528</v>
      </c>
    </row>
    <row r="19" spans="1:20">
      <c r="A19" s="100" t="s">
        <v>119</v>
      </c>
      <c r="B19" s="100" t="s">
        <v>115</v>
      </c>
      <c r="C19" s="100" t="s">
        <v>107</v>
      </c>
      <c r="D19" s="100">
        <v>2</v>
      </c>
      <c r="E19" s="100">
        <v>1600</v>
      </c>
      <c r="F19" s="99">
        <v>0.36159999999999998</v>
      </c>
      <c r="G19" s="4">
        <f>(E19*12)*F19</f>
        <v>6942.7199999999993</v>
      </c>
      <c r="H19" s="100">
        <v>678</v>
      </c>
      <c r="I19" s="99">
        <v>0.36159999999999998</v>
      </c>
      <c r="J19" s="100">
        <v>241</v>
      </c>
      <c r="K19" s="100">
        <v>866</v>
      </c>
      <c r="L19">
        <f>K19-J19</f>
        <v>625</v>
      </c>
      <c r="M19">
        <f>H19-J19</f>
        <v>437</v>
      </c>
      <c r="N19" s="112">
        <f>((0.8*M19))/(L19)+0.1</f>
        <v>0.65936000000000006</v>
      </c>
      <c r="O19" s="108">
        <f>I19</f>
        <v>0.36159999999999998</v>
      </c>
      <c r="P19" s="63">
        <v>501.17093433099848</v>
      </c>
      <c r="Q19" s="113">
        <f>0.1+0.8*(P19-J19)/(K19-J19)</f>
        <v>0.43301879594367809</v>
      </c>
      <c r="R19" s="113">
        <f>($Q$2*Q19)+$R$2</f>
        <v>0.5079052232159087</v>
      </c>
      <c r="S19" s="63">
        <f>365*P19*R19</f>
        <v>92909.777373809629</v>
      </c>
      <c r="T19" s="65">
        <f>S19*(1-$T$1)</f>
        <v>65036.844161666733</v>
      </c>
    </row>
    <row r="20" spans="1:20">
      <c r="A20" s="100" t="s">
        <v>120</v>
      </c>
      <c r="B20" s="100" t="s">
        <v>121</v>
      </c>
      <c r="C20" s="100" t="s">
        <v>98</v>
      </c>
      <c r="D20" s="100">
        <v>1</v>
      </c>
      <c r="E20" s="100">
        <v>800</v>
      </c>
      <c r="F20" s="99">
        <v>0.84379999999999999</v>
      </c>
      <c r="G20" s="4">
        <f>(E20*12)*F20</f>
        <v>8100.48</v>
      </c>
      <c r="H20" s="100">
        <v>163</v>
      </c>
      <c r="I20" s="99">
        <v>0.84379999999999999</v>
      </c>
      <c r="J20" s="100">
        <v>134</v>
      </c>
      <c r="K20" s="100">
        <v>288</v>
      </c>
      <c r="L20">
        <f>K20-J20</f>
        <v>154</v>
      </c>
      <c r="M20">
        <f>H20-J20</f>
        <v>29</v>
      </c>
      <c r="N20" s="112">
        <f>((0.8*M20))/(L20)+0.1</f>
        <v>0.25064935064935068</v>
      </c>
      <c r="O20" s="108">
        <f>I20</f>
        <v>0.84379999999999999</v>
      </c>
      <c r="P20" s="63">
        <v>160.79731830072535</v>
      </c>
      <c r="Q20" s="113">
        <f>0.1+0.8*(P20-J20)/(K20-J20)</f>
        <v>0.23920684831545638</v>
      </c>
      <c r="R20" s="113">
        <f>($Q$2*Q20)+$R$2</f>
        <v>0.66135539513277797</v>
      </c>
      <c r="S20" s="63">
        <f>365*P20*R20</f>
        <v>38815.623503089555</v>
      </c>
      <c r="T20" s="65">
        <f>S20*(1-$T$1)</f>
        <v>27170.936452162689</v>
      </c>
    </row>
    <row r="21" spans="1:20">
      <c r="A21" s="100" t="s">
        <v>122</v>
      </c>
      <c r="B21" s="100" t="s">
        <v>121</v>
      </c>
      <c r="C21" s="100" t="s">
        <v>98</v>
      </c>
      <c r="D21" s="100">
        <v>2</v>
      </c>
      <c r="E21" s="100">
        <v>1200</v>
      </c>
      <c r="F21" s="99">
        <v>0.91510000000000002</v>
      </c>
      <c r="G21" s="4">
        <f>(E21*12)*F21</f>
        <v>13177.44</v>
      </c>
      <c r="H21" s="100">
        <v>374</v>
      </c>
      <c r="I21" s="99">
        <v>0.91510000000000002</v>
      </c>
      <c r="J21" s="100">
        <v>234</v>
      </c>
      <c r="K21" s="100">
        <v>794</v>
      </c>
      <c r="L21">
        <f>K21-J21</f>
        <v>560</v>
      </c>
      <c r="M21">
        <f>H21-J21</f>
        <v>140</v>
      </c>
      <c r="N21" s="112">
        <f>((0.8*M21))/(L21)+0.1</f>
        <v>0.30000000000000004</v>
      </c>
      <c r="O21" s="108">
        <f>I21</f>
        <v>0.91510000000000002</v>
      </c>
      <c r="P21" s="63">
        <v>458.08115616057444</v>
      </c>
      <c r="Q21" s="113">
        <f>0.1+0.8*(P21-J21)/(K21-J21)</f>
        <v>0.42011593737224917</v>
      </c>
      <c r="R21" s="113">
        <f>($Q$2*Q21)+$R$2</f>
        <v>0.51812103235582219</v>
      </c>
      <c r="S21" s="63">
        <f>365*P21*R21</f>
        <v>86629.64075942288</v>
      </c>
      <c r="T21" s="65">
        <f>S21*(1-$T$1)</f>
        <v>60640.748531596015</v>
      </c>
    </row>
    <row r="22" spans="1:20">
      <c r="A22" s="100" t="s">
        <v>123</v>
      </c>
      <c r="B22" s="100" t="s">
        <v>121</v>
      </c>
      <c r="C22" s="100" t="s">
        <v>107</v>
      </c>
      <c r="D22" s="100">
        <v>1</v>
      </c>
      <c r="E22" s="100">
        <v>900</v>
      </c>
      <c r="F22" s="99">
        <v>0.43009999999999998</v>
      </c>
      <c r="G22" s="4">
        <f>(E22*12)*F22</f>
        <v>4645.08</v>
      </c>
      <c r="H22" s="100">
        <v>444</v>
      </c>
      <c r="I22" s="99">
        <v>0.43009999999999998</v>
      </c>
      <c r="J22" s="100">
        <v>252</v>
      </c>
      <c r="K22" s="100">
        <v>547</v>
      </c>
      <c r="L22">
        <f>K22-J22</f>
        <v>295</v>
      </c>
      <c r="M22">
        <f>H22-J22</f>
        <v>192</v>
      </c>
      <c r="N22" s="112">
        <f>((0.8*M22))/(L22)+0.1</f>
        <v>0.62067796610169501</v>
      </c>
      <c r="O22" s="108">
        <f>I22</f>
        <v>0.43009999999999998</v>
      </c>
      <c r="P22" s="63">
        <v>305.67668075423097</v>
      </c>
      <c r="Q22" s="113">
        <f>0.1+0.8*(P22-J22)/(K22-J22)</f>
        <v>0.24556388001147383</v>
      </c>
      <c r="R22" s="113">
        <f>($Q$2*Q22)+$R$2</f>
        <v>0.6563222296413187</v>
      </c>
      <c r="S22" s="63">
        <f>365*P22*R22</f>
        <v>73227.176241620677</v>
      </c>
      <c r="T22" s="65">
        <f>S22*(1-$T$1)</f>
        <v>51259.023369134469</v>
      </c>
    </row>
    <row r="23" spans="1:20">
      <c r="A23" s="100" t="s">
        <v>124</v>
      </c>
      <c r="B23" s="100" t="s">
        <v>121</v>
      </c>
      <c r="C23" s="100" t="s">
        <v>107</v>
      </c>
      <c r="D23" s="100">
        <v>2</v>
      </c>
      <c r="E23" s="100">
        <v>1100</v>
      </c>
      <c r="F23" s="99">
        <v>0.48220000000000002</v>
      </c>
      <c r="G23" s="4">
        <f>(E23*12)*F23</f>
        <v>6365.04</v>
      </c>
      <c r="H23" s="100">
        <v>426</v>
      </c>
      <c r="I23" s="99">
        <v>0.48220000000000002</v>
      </c>
      <c r="J23" s="100">
        <v>246</v>
      </c>
      <c r="K23" s="100">
        <v>616</v>
      </c>
      <c r="L23">
        <f>K23-J23</f>
        <v>370</v>
      </c>
      <c r="M23">
        <f>H23-J23</f>
        <v>180</v>
      </c>
      <c r="N23" s="112">
        <f>((0.8*M23))/(L23)+0.1</f>
        <v>0.48918918918918919</v>
      </c>
      <c r="O23" s="108">
        <f>I23</f>
        <v>0.48220000000000002</v>
      </c>
      <c r="P23" s="63">
        <v>348.35719313957594</v>
      </c>
      <c r="Q23" s="113">
        <f>0.1+0.8*(P23-J23)/(K23-J23)</f>
        <v>0.32131285003151555</v>
      </c>
      <c r="R23" s="113">
        <f>($Q$2*Q23)+$R$2</f>
        <v>0.59634815366537197</v>
      </c>
      <c r="S23" s="63">
        <f>365*P23*R23</f>
        <v>75825.891664865689</v>
      </c>
      <c r="T23" s="65">
        <f>S23*(1-$T$1)</f>
        <v>53078.124165405978</v>
      </c>
    </row>
    <row r="24" spans="1:20">
      <c r="A24" s="100" t="s">
        <v>125</v>
      </c>
      <c r="B24" s="100" t="s">
        <v>126</v>
      </c>
      <c r="C24" s="100" t="s">
        <v>98</v>
      </c>
      <c r="D24" s="100">
        <v>1</v>
      </c>
      <c r="E24" s="100">
        <v>1000</v>
      </c>
      <c r="F24" s="99">
        <v>0.4904</v>
      </c>
      <c r="G24" s="4">
        <f>(E24*12)*F24</f>
        <v>5884.8</v>
      </c>
      <c r="H24" s="100">
        <v>332</v>
      </c>
      <c r="I24" s="99">
        <v>0.4904</v>
      </c>
      <c r="J24" s="100">
        <v>171</v>
      </c>
      <c r="K24" s="100">
        <v>457</v>
      </c>
      <c r="L24">
        <f>K24-J24</f>
        <v>286</v>
      </c>
      <c r="M24">
        <f>H24-J24</f>
        <v>161</v>
      </c>
      <c r="N24" s="112">
        <f>((0.8*M24))/(L24)+0.1</f>
        <v>0.55034965034965044</v>
      </c>
      <c r="O24" s="108">
        <f>I24</f>
        <v>0.4904</v>
      </c>
      <c r="P24" s="63">
        <v>259.69501954986481</v>
      </c>
      <c r="Q24" s="113">
        <f>0.1+0.8*(P24-J24)/(K24-J24)</f>
        <v>0.34809795678283861</v>
      </c>
      <c r="R24" s="113">
        <f>($Q$2*Q24)+$R$2</f>
        <v>0.57514110587445599</v>
      </c>
      <c r="S24" s="63">
        <f>365*P24*R24</f>
        <v>54516.867467909164</v>
      </c>
      <c r="T24" s="65">
        <f>S24*(1-$T$1)</f>
        <v>38161.80722753641</v>
      </c>
    </row>
    <row r="25" spans="1:20">
      <c r="A25" s="100" t="s">
        <v>127</v>
      </c>
      <c r="B25" s="100" t="s">
        <v>126</v>
      </c>
      <c r="C25" s="100" t="s">
        <v>98</v>
      </c>
      <c r="D25" s="100">
        <v>2</v>
      </c>
      <c r="E25" s="100">
        <v>1400</v>
      </c>
      <c r="F25" s="99">
        <v>0.52329999999999999</v>
      </c>
      <c r="G25" s="4">
        <f>(E25*12)*F25</f>
        <v>8791.44</v>
      </c>
      <c r="H25" s="100">
        <v>430</v>
      </c>
      <c r="I25" s="99">
        <v>0.52329999999999999</v>
      </c>
      <c r="J25" s="100">
        <v>262</v>
      </c>
      <c r="K25" s="100">
        <v>567</v>
      </c>
      <c r="L25">
        <f>K25-J25</f>
        <v>305</v>
      </c>
      <c r="M25">
        <f>H25-J25</f>
        <v>168</v>
      </c>
      <c r="N25" s="112">
        <f>((0.8*M25))/(L25)+0.1</f>
        <v>0.54065573770491804</v>
      </c>
      <c r="O25" s="108">
        <f>I25</f>
        <v>0.52329999999999999</v>
      </c>
      <c r="P25" s="63">
        <v>316.76741595352718</v>
      </c>
      <c r="Q25" s="113">
        <f>0.1+0.8*(P25-J25)/(K25-J25)</f>
        <v>0.24365223856662868</v>
      </c>
      <c r="R25" s="113">
        <f>($Q$2*Q25)+$R$2</f>
        <v>0.65783576743888317</v>
      </c>
      <c r="S25" s="63">
        <f>365*P25*R25</f>
        <v>76059.04170329847</v>
      </c>
      <c r="T25" s="65">
        <f>S25*(1-$T$1)</f>
        <v>53241.329192308927</v>
      </c>
    </row>
    <row r="26" spans="1:20">
      <c r="A26" s="100" t="s">
        <v>128</v>
      </c>
      <c r="B26" s="100" t="s">
        <v>126</v>
      </c>
      <c r="C26" s="100" t="s">
        <v>107</v>
      </c>
      <c r="D26" s="100">
        <v>1</v>
      </c>
      <c r="E26" s="100">
        <v>1500</v>
      </c>
      <c r="F26" s="99">
        <v>0.44929999999999998</v>
      </c>
      <c r="G26" s="4">
        <f>(E26*12)*F26</f>
        <v>8087.4</v>
      </c>
      <c r="H26" s="100">
        <v>662</v>
      </c>
      <c r="I26" s="99">
        <v>0.44929999999999998</v>
      </c>
      <c r="J26" s="100">
        <v>229</v>
      </c>
      <c r="K26" s="100">
        <v>859</v>
      </c>
      <c r="L26">
        <f>K26-J26</f>
        <v>630</v>
      </c>
      <c r="M26">
        <f>H26-J26</f>
        <v>433</v>
      </c>
      <c r="N26" s="112">
        <f>((0.8*M26))/(L26)+0.1</f>
        <v>0.64984126984126989</v>
      </c>
      <c r="O26" s="108">
        <f>I26</f>
        <v>0.44929999999999998</v>
      </c>
      <c r="P26" s="63">
        <v>498.21630180564631</v>
      </c>
      <c r="Q26" s="113">
        <f>0.1+0.8*(P26-J26)/(K26-J26)</f>
        <v>0.4418619705468525</v>
      </c>
      <c r="R26" s="113">
        <f>($Q$2*Q26)+$R$2</f>
        <v>0.50090365969129547</v>
      </c>
      <c r="S26" s="63">
        <f>365*P26*R26</f>
        <v>91088.804645693599</v>
      </c>
      <c r="T26" s="65">
        <f>S26*(1-$T$1)</f>
        <v>63762.163251985512</v>
      </c>
    </row>
    <row r="27" spans="1:20">
      <c r="A27" s="100" t="s">
        <v>129</v>
      </c>
      <c r="B27" s="100" t="s">
        <v>100</v>
      </c>
      <c r="C27" s="100" t="s">
        <v>107</v>
      </c>
      <c r="D27" s="100">
        <v>2</v>
      </c>
      <c r="E27" s="100">
        <v>1300</v>
      </c>
      <c r="F27" s="99">
        <v>0.6603</v>
      </c>
      <c r="G27" s="4">
        <f>(E27*12)*F27</f>
        <v>10300.68</v>
      </c>
      <c r="H27" s="100">
        <v>186</v>
      </c>
      <c r="I27" s="99">
        <v>0.6603</v>
      </c>
      <c r="J27" s="100">
        <v>136</v>
      </c>
      <c r="K27" s="100">
        <v>336</v>
      </c>
      <c r="L27">
        <f>K27-J27</f>
        <v>200</v>
      </c>
      <c r="M27">
        <f>H27-J27</f>
        <v>50</v>
      </c>
      <c r="N27" s="112">
        <f>((0.8*M27))/(L27)+0.1</f>
        <v>0.30000000000000004</v>
      </c>
      <c r="O27" s="108">
        <f>I27</f>
        <v>0.6603</v>
      </c>
      <c r="P27" s="63">
        <v>189.81469798591999</v>
      </c>
      <c r="Q27" s="113">
        <f>0.1+0.8*(P27-J27)/(K27-J27)</f>
        <v>0.31525879194368001</v>
      </c>
      <c r="R27" s="113">
        <f>($Q$2*Q27)+$R$2</f>
        <v>0.60114144048665263</v>
      </c>
      <c r="S27" s="63">
        <f>365*P27*R27</f>
        <v>41648.500555070132</v>
      </c>
      <c r="T27" s="65">
        <f>S27*(1-$T$1)</f>
        <v>29153.950388549089</v>
      </c>
    </row>
    <row r="28" spans="1:20">
      <c r="A28" s="100" t="s">
        <v>130</v>
      </c>
      <c r="B28" s="100" t="s">
        <v>126</v>
      </c>
      <c r="C28" s="100" t="s">
        <v>107</v>
      </c>
      <c r="D28" s="100">
        <v>2</v>
      </c>
      <c r="E28" s="100">
        <v>1600</v>
      </c>
      <c r="F28" s="99">
        <v>0.48770000000000002</v>
      </c>
      <c r="G28" s="4">
        <f>(E28*12)*F28</f>
        <v>9363.84</v>
      </c>
      <c r="H28" s="100">
        <v>696</v>
      </c>
      <c r="I28" s="99">
        <v>0.48770000000000002</v>
      </c>
      <c r="J28" s="100">
        <v>449</v>
      </c>
      <c r="K28" s="100">
        <v>899</v>
      </c>
      <c r="L28">
        <f>K28-J28</f>
        <v>450</v>
      </c>
      <c r="M28">
        <f>H28-J28</f>
        <v>247</v>
      </c>
      <c r="N28" s="112">
        <f>((0.8*M28))/(L28)+0.1</f>
        <v>0.53911111111111121</v>
      </c>
      <c r="O28" s="108">
        <f>I28</f>
        <v>0.48770000000000002</v>
      </c>
      <c r="P28" s="63">
        <v>498.58307259331866</v>
      </c>
      <c r="Q28" s="113">
        <f>0.1+0.8*(P28-J28)/(K28-J28)</f>
        <v>0.18814768461034431</v>
      </c>
      <c r="R28" s="113">
        <f>($Q$2*Q28)+$R$2</f>
        <v>0.7017813727072385</v>
      </c>
      <c r="S28" s="63">
        <f>365*P28*R28</f>
        <v>127712.15427899316</v>
      </c>
      <c r="T28" s="65">
        <f>S28*(1-$T$1)</f>
        <v>89398.507995295207</v>
      </c>
    </row>
    <row r="29" spans="1:20">
      <c r="A29" s="100" t="s">
        <v>131</v>
      </c>
      <c r="B29" s="100" t="s">
        <v>132</v>
      </c>
      <c r="C29" s="100" t="s">
        <v>98</v>
      </c>
      <c r="D29" s="100">
        <v>1</v>
      </c>
      <c r="E29" s="100">
        <v>600</v>
      </c>
      <c r="F29" s="99">
        <v>0.43840000000000001</v>
      </c>
      <c r="G29" s="4">
        <f>(E29*12)*F29</f>
        <v>3156.48</v>
      </c>
      <c r="H29" s="100">
        <v>182</v>
      </c>
      <c r="I29" s="99">
        <v>0.43840000000000001</v>
      </c>
      <c r="J29" s="100">
        <v>132</v>
      </c>
      <c r="K29" s="100">
        <v>226</v>
      </c>
      <c r="L29">
        <f>K29-J29</f>
        <v>94</v>
      </c>
      <c r="M29">
        <f>H29-J29</f>
        <v>50</v>
      </c>
      <c r="N29" s="112">
        <f>((0.8*M29))/(L29)+0.1</f>
        <v>0.52553191489361706</v>
      </c>
      <c r="O29" s="108">
        <f>I29</f>
        <v>0.43840000000000001</v>
      </c>
      <c r="P29" s="63">
        <v>132</v>
      </c>
      <c r="Q29" s="113">
        <f>0.1+0.8*(P29-J29)/(K29-J29)</f>
        <v>0.1</v>
      </c>
      <c r="R29" s="113">
        <f>($Q$2*Q29)+$R$2</f>
        <v>0.77157210296437406</v>
      </c>
      <c r="S29" s="63">
        <f>365*P29*R29</f>
        <v>37174.343920823543</v>
      </c>
      <c r="T29" s="65">
        <f>S29*(1-$T$1)</f>
        <v>26022.040744576479</v>
      </c>
    </row>
    <row r="30" spans="1:20">
      <c r="A30" s="100" t="s">
        <v>133</v>
      </c>
      <c r="B30" s="100" t="s">
        <v>132</v>
      </c>
      <c r="C30" s="100" t="s">
        <v>98</v>
      </c>
      <c r="D30" s="100">
        <v>2</v>
      </c>
      <c r="E30" s="100">
        <v>800</v>
      </c>
      <c r="F30" s="99">
        <v>0.53149999999999997</v>
      </c>
      <c r="G30" s="4">
        <f>(E30*12)*F30</f>
        <v>5102.3999999999996</v>
      </c>
      <c r="H30" s="100">
        <v>241</v>
      </c>
      <c r="I30" s="99">
        <v>0.53149999999999997</v>
      </c>
      <c r="J30" s="100">
        <v>157</v>
      </c>
      <c r="K30" s="100">
        <v>340</v>
      </c>
      <c r="L30">
        <f>K30-J30</f>
        <v>183</v>
      </c>
      <c r="M30">
        <f>H30-J30</f>
        <v>84</v>
      </c>
      <c r="N30" s="112">
        <f>((0.8*M30))/(L30)+0.1</f>
        <v>0.46721311475409844</v>
      </c>
      <c r="O30" s="108">
        <f>I30</f>
        <v>0.53149999999999997</v>
      </c>
      <c r="P30" s="63">
        <v>189.96044957211629</v>
      </c>
      <c r="Q30" s="113">
        <f>0.1+0.8*(P30-J30)/(K30-J30)</f>
        <v>0.24408939703657395</v>
      </c>
      <c r="R30" s="113">
        <f>($Q$2*Q30)+$R$2</f>
        <v>0.6574896482073862</v>
      </c>
      <c r="S30" s="63">
        <f>365*P30*R30</f>
        <v>45587.415644307992</v>
      </c>
      <c r="T30" s="65">
        <f>S30*(1-$T$1)</f>
        <v>31911.190951015593</v>
      </c>
    </row>
    <row r="31" spans="1:20">
      <c r="A31" s="100" t="s">
        <v>134</v>
      </c>
      <c r="B31" s="100" t="s">
        <v>132</v>
      </c>
      <c r="C31" s="100" t="s">
        <v>107</v>
      </c>
      <c r="D31" s="100">
        <v>1</v>
      </c>
      <c r="E31" s="100">
        <v>700</v>
      </c>
      <c r="F31" s="99">
        <v>0.13969999999999999</v>
      </c>
      <c r="G31" s="4">
        <f>(E31*12)*F31</f>
        <v>1173.48</v>
      </c>
      <c r="H31" s="100">
        <v>363</v>
      </c>
      <c r="I31" s="99">
        <v>0.13969999999999999</v>
      </c>
      <c r="J31" s="100">
        <v>215</v>
      </c>
      <c r="K31" s="100">
        <v>377</v>
      </c>
      <c r="L31">
        <f>K31-J31</f>
        <v>162</v>
      </c>
      <c r="M31">
        <f>H31-J31</f>
        <v>148</v>
      </c>
      <c r="N31" s="112">
        <f>((0.8*M31))/(L31)+0.1</f>
        <v>0.83086419753086416</v>
      </c>
      <c r="O31" s="108">
        <f>I31</f>
        <v>0.13969999999999999</v>
      </c>
      <c r="P31" s="63">
        <v>215</v>
      </c>
      <c r="Q31" s="113">
        <f>0.1+0.8*(P31-J31)/(K31-J31)</f>
        <v>0.1</v>
      </c>
      <c r="R31" s="113">
        <f>($Q$2*Q31)+$R$2</f>
        <v>0.77157210296437406</v>
      </c>
      <c r="S31" s="63">
        <f>365*P31*R31</f>
        <v>60549.120780129255</v>
      </c>
      <c r="T31" s="65">
        <f>S31*(1-$T$1)</f>
        <v>42384.384546090478</v>
      </c>
    </row>
    <row r="32" spans="1:20">
      <c r="A32" s="100" t="s">
        <v>135</v>
      </c>
      <c r="B32" s="100" t="s">
        <v>132</v>
      </c>
      <c r="C32" s="100" t="s">
        <v>107</v>
      </c>
      <c r="D32" s="100">
        <v>2</v>
      </c>
      <c r="E32" s="100">
        <v>1000</v>
      </c>
      <c r="F32" s="99">
        <v>0.46850000000000003</v>
      </c>
      <c r="G32" s="4">
        <f>(E32*12)*F32</f>
        <v>5622</v>
      </c>
      <c r="H32" s="100">
        <v>301</v>
      </c>
      <c r="I32" s="99">
        <v>0.46850000000000003</v>
      </c>
      <c r="J32" s="100">
        <v>202</v>
      </c>
      <c r="K32" s="100">
        <v>374</v>
      </c>
      <c r="L32">
        <f>K32-J32</f>
        <v>172</v>
      </c>
      <c r="M32">
        <f>H32-J32</f>
        <v>99</v>
      </c>
      <c r="N32" s="112">
        <f>((0.8*M32))/(L32)+0.1</f>
        <v>0.56046511627906981</v>
      </c>
      <c r="O32" s="108">
        <f>I32</f>
        <v>0.46850000000000003</v>
      </c>
      <c r="P32" s="63">
        <v>205.76064162789061</v>
      </c>
      <c r="Q32" s="113">
        <f>0.1+0.8*(P32-J32)/(K32-J32)</f>
        <v>0.11749135640879352</v>
      </c>
      <c r="R32" s="113">
        <f>($Q$2*Q32)+$R$2</f>
        <v>0.75772336102232796</v>
      </c>
      <c r="S32" s="63">
        <f>365*P32*R32</f>
        <v>56907.020403244547</v>
      </c>
      <c r="T32" s="65">
        <f>S32*(1-$T$1)</f>
        <v>39834.91428227118</v>
      </c>
    </row>
    <row r="33" spans="1:20">
      <c r="A33" s="100" t="s">
        <v>136</v>
      </c>
      <c r="B33" s="100" t="s">
        <v>137</v>
      </c>
      <c r="C33" s="100" t="s">
        <v>98</v>
      </c>
      <c r="D33" s="100">
        <v>1</v>
      </c>
      <c r="E33" s="100">
        <v>700</v>
      </c>
      <c r="F33" s="99">
        <v>0.50139999999999996</v>
      </c>
      <c r="G33" s="4">
        <f>(E33*12)*F33</f>
        <v>4211.7599999999993</v>
      </c>
      <c r="H33" s="100">
        <v>212</v>
      </c>
      <c r="I33" s="99">
        <v>0.50139999999999996</v>
      </c>
      <c r="J33" s="100">
        <v>94</v>
      </c>
      <c r="K33" s="100">
        <v>356</v>
      </c>
      <c r="L33">
        <f>K33-J33</f>
        <v>262</v>
      </c>
      <c r="M33">
        <f>H33-J33</f>
        <v>118</v>
      </c>
      <c r="N33" s="112">
        <f>((0.8*M33))/(L33)+0.1</f>
        <v>0.46030534351145036</v>
      </c>
      <c r="O33" s="108">
        <f>I33</f>
        <v>0.50139999999999996</v>
      </c>
      <c r="P33" s="63">
        <v>206.5772556715545</v>
      </c>
      <c r="Q33" s="113">
        <f>0.1+0.8*(P33-J33)/(K33-J33)</f>
        <v>0.44374734556199846</v>
      </c>
      <c r="R33" s="113">
        <f>($Q$2*Q33)+$R$2</f>
        <v>0.49941091828013706</v>
      </c>
      <c r="S33" s="63">
        <f>365*P33*R33</f>
        <v>37655.931987013413</v>
      </c>
      <c r="T33" s="65">
        <f>S33*(1-$T$1)</f>
        <v>26359.152390909388</v>
      </c>
    </row>
    <row r="34" spans="1:20">
      <c r="A34" s="100" t="s">
        <v>138</v>
      </c>
      <c r="B34" s="100" t="s">
        <v>137</v>
      </c>
      <c r="C34" s="100" t="s">
        <v>98</v>
      </c>
      <c r="D34" s="100">
        <v>2</v>
      </c>
      <c r="E34" s="100">
        <v>900</v>
      </c>
      <c r="F34" s="99">
        <v>0.30680000000000002</v>
      </c>
      <c r="G34" s="4">
        <f>(E34*12)*F34</f>
        <v>3313.44</v>
      </c>
      <c r="H34" s="100">
        <v>340</v>
      </c>
      <c r="I34" s="99">
        <v>0.30680000000000002</v>
      </c>
      <c r="J34" s="100">
        <v>69</v>
      </c>
      <c r="K34" s="100">
        <v>485</v>
      </c>
      <c r="L34">
        <f>K34-J34</f>
        <v>416</v>
      </c>
      <c r="M34">
        <f>H34-J34</f>
        <v>271</v>
      </c>
      <c r="N34" s="112">
        <f>((0.8*M34))/(L34)+0.1</f>
        <v>0.62115384615384617</v>
      </c>
      <c r="O34" s="108">
        <f>I34</f>
        <v>0.30680000000000002</v>
      </c>
      <c r="P34" s="63">
        <v>287.87457389071244</v>
      </c>
      <c r="Q34" s="113">
        <f>0.1+0.8*(P34-J34)/(K34-J34)</f>
        <v>0.52091264209752397</v>
      </c>
      <c r="R34" s="113">
        <f>($Q$2*Q34)+$R$2</f>
        <v>0.43831546898355112</v>
      </c>
      <c r="S34" s="63">
        <f>365*P34*R34</f>
        <v>46055.65578512186</v>
      </c>
      <c r="T34" s="65">
        <f>S34*(1-$T$1)</f>
        <v>32238.959049585301</v>
      </c>
    </row>
    <row r="35" spans="1:20">
      <c r="A35" s="100" t="s">
        <v>139</v>
      </c>
      <c r="B35" s="100" t="s">
        <v>137</v>
      </c>
      <c r="C35" s="100" t="s">
        <v>107</v>
      </c>
      <c r="D35" s="100">
        <v>1</v>
      </c>
      <c r="E35" s="100">
        <v>1000</v>
      </c>
      <c r="F35" s="99">
        <v>0.52049999999999996</v>
      </c>
      <c r="G35" s="4">
        <f>(E35*12)*F35</f>
        <v>6246</v>
      </c>
      <c r="H35" s="100">
        <v>266</v>
      </c>
      <c r="I35" s="99">
        <v>0.52049999999999996</v>
      </c>
      <c r="J35" s="100">
        <v>84</v>
      </c>
      <c r="K35" s="100">
        <v>376</v>
      </c>
      <c r="L35">
        <f>K35-J35</f>
        <v>292</v>
      </c>
      <c r="M35">
        <f>H35-J35</f>
        <v>182</v>
      </c>
      <c r="N35" s="112">
        <f>((0.8*M35))/(L35)+0.1</f>
        <v>0.59863013698630141</v>
      </c>
      <c r="O35" s="108">
        <f>I35</f>
        <v>0.52049999999999996</v>
      </c>
      <c r="P35" s="63">
        <v>219.84946051944246</v>
      </c>
      <c r="Q35" s="113">
        <f>0.1+0.8*(P35-J35)/(K35-J35)</f>
        <v>0.47219030279299301</v>
      </c>
      <c r="R35" s="113">
        <f>($Q$2*Q35)+$R$2</f>
        <v>0.47689127111528534</v>
      </c>
      <c r="S35" s="63">
        <f>365*P35*R35</f>
        <v>38268.165368611226</v>
      </c>
      <c r="T35" s="65">
        <f>S35*(1-$T$1)</f>
        <v>26787.715758027858</v>
      </c>
    </row>
    <row r="36" spans="1:20">
      <c r="A36" s="100" t="s">
        <v>140</v>
      </c>
      <c r="B36" s="100" t="s">
        <v>137</v>
      </c>
      <c r="C36" s="100" t="s">
        <v>107</v>
      </c>
      <c r="D36" s="100">
        <v>2</v>
      </c>
      <c r="E36" s="100">
        <v>1200</v>
      </c>
      <c r="F36" s="99">
        <v>0.1288</v>
      </c>
      <c r="G36" s="4">
        <f>(E36*12)*F36</f>
        <v>1854.72</v>
      </c>
      <c r="H36" s="100">
        <v>442</v>
      </c>
      <c r="I36" s="99">
        <v>0.1288</v>
      </c>
      <c r="J36" s="100">
        <v>109</v>
      </c>
      <c r="K36" s="100">
        <v>490</v>
      </c>
      <c r="L36">
        <f>K36-J36</f>
        <v>381</v>
      </c>
      <c r="M36">
        <f>H36-J36</f>
        <v>333</v>
      </c>
      <c r="N36" s="112">
        <f>((0.8*M36))/(L36)+0.1</f>
        <v>0.79921259842519687</v>
      </c>
      <c r="O36" s="108">
        <f>I36</f>
        <v>0.1288</v>
      </c>
      <c r="P36" s="63">
        <v>286.55700156817659</v>
      </c>
      <c r="Q36" s="113">
        <f>0.1+0.8*(P36-J36)/(K36-J36)</f>
        <v>0.47282310040562014</v>
      </c>
      <c r="R36" s="113">
        <f>($Q$2*Q36)+$R$2</f>
        <v>0.47639025503431343</v>
      </c>
      <c r="S36" s="63">
        <f>365*P36*R36</f>
        <v>49827.23151651011</v>
      </c>
      <c r="T36" s="65">
        <f>S36*(1-$T$1)</f>
        <v>34879.062061557073</v>
      </c>
    </row>
    <row r="37" spans="1:20">
      <c r="A37" s="100" t="s">
        <v>141</v>
      </c>
      <c r="B37" s="100" t="s">
        <v>142</v>
      </c>
      <c r="C37" s="100" t="s">
        <v>98</v>
      </c>
      <c r="D37" s="100">
        <v>1</v>
      </c>
      <c r="E37" s="100">
        <v>1200</v>
      </c>
      <c r="F37" s="99">
        <v>0.24110000000000001</v>
      </c>
      <c r="G37" s="4">
        <f>(E37*12)*F37</f>
        <v>3471.84</v>
      </c>
      <c r="H37" s="100">
        <v>354</v>
      </c>
      <c r="I37" s="99">
        <v>0.24110000000000001</v>
      </c>
      <c r="J37" s="100">
        <v>145</v>
      </c>
      <c r="K37" s="100">
        <v>434</v>
      </c>
      <c r="L37">
        <f>K37-J37</f>
        <v>289</v>
      </c>
      <c r="M37">
        <f>H37-J37</f>
        <v>209</v>
      </c>
      <c r="N37" s="112">
        <f>((0.8*M37))/(L37)+0.1</f>
        <v>0.67854671280276824</v>
      </c>
      <c r="O37" s="108">
        <f>I37</f>
        <v>0.24110000000000001</v>
      </c>
      <c r="P37" s="63">
        <v>248.52224071838944</v>
      </c>
      <c r="Q37" s="113">
        <f>0.1+0.8*(P37-J37)/(K37-J37)</f>
        <v>0.38656675631388082</v>
      </c>
      <c r="R37" s="113">
        <f>($Q$2*Q37)+$R$2</f>
        <v>0.5446835207063967</v>
      </c>
      <c r="S37" s="63">
        <f>365*P37*R37</f>
        <v>49408.578702642269</v>
      </c>
      <c r="T37" s="65">
        <f>S37*(1-$T$1)</f>
        <v>34586.005091849584</v>
      </c>
    </row>
    <row r="38" spans="1:20" s="114" customFormat="1">
      <c r="A38" s="120" t="s">
        <v>143</v>
      </c>
      <c r="B38" s="120" t="s">
        <v>144</v>
      </c>
      <c r="C38" s="120" t="s">
        <v>98</v>
      </c>
      <c r="D38" s="120">
        <v>2</v>
      </c>
      <c r="E38" s="120">
        <v>920</v>
      </c>
      <c r="F38" s="121">
        <v>0.4521</v>
      </c>
      <c r="G38" s="122">
        <f>(E38*12)*F38</f>
        <v>4991.1840000000002</v>
      </c>
      <c r="H38" s="120">
        <v>123</v>
      </c>
      <c r="I38" s="121">
        <v>0.4521</v>
      </c>
      <c r="J38" s="120">
        <v>111</v>
      </c>
      <c r="K38" s="120">
        <v>147</v>
      </c>
      <c r="L38" s="114">
        <f>K38-J38</f>
        <v>36</v>
      </c>
      <c r="M38" s="114">
        <f>H38-J38</f>
        <v>12</v>
      </c>
      <c r="N38" s="119">
        <f>((0.8*M38))/(L38)+0.1</f>
        <v>0.3666666666666667</v>
      </c>
      <c r="O38" s="118">
        <f>I38</f>
        <v>0.4521</v>
      </c>
      <c r="P38" s="116">
        <v>111</v>
      </c>
      <c r="Q38" s="117">
        <f>0.1+0.8*(P38-J38)/(K38-J38)</f>
        <v>0.1</v>
      </c>
      <c r="R38" s="117">
        <f>($Q$2*Q38)+$R$2</f>
        <v>0.77157210296437406</v>
      </c>
      <c r="S38" s="116">
        <f>365*P38*R38</f>
        <v>31260.243751601614</v>
      </c>
      <c r="T38" s="115">
        <f>S38*(1-$T$1)</f>
        <v>21882.170626121129</v>
      </c>
    </row>
    <row r="39" spans="1:20">
      <c r="A39" s="100" t="s">
        <v>145</v>
      </c>
      <c r="B39" s="100" t="s">
        <v>142</v>
      </c>
      <c r="C39" s="100" t="s">
        <v>98</v>
      </c>
      <c r="D39" s="100">
        <v>2</v>
      </c>
      <c r="E39" s="100">
        <v>1300</v>
      </c>
      <c r="F39" s="99">
        <v>0.47949999999999998</v>
      </c>
      <c r="G39" s="4">
        <f>(E39*12)*F39</f>
        <v>7480.2</v>
      </c>
      <c r="H39" s="100">
        <v>377</v>
      </c>
      <c r="I39" s="99">
        <v>0.47949999999999998</v>
      </c>
      <c r="J39" s="100">
        <v>228</v>
      </c>
      <c r="K39" s="100">
        <v>457</v>
      </c>
      <c r="L39">
        <f>K39-J39</f>
        <v>229</v>
      </c>
      <c r="M39">
        <f>H39-J39</f>
        <v>149</v>
      </c>
      <c r="N39" s="112">
        <f>((0.8*M39))/(L39)+0.1</f>
        <v>0.62052401746724895</v>
      </c>
      <c r="O39" s="108">
        <f>I39</f>
        <v>0.47949999999999998</v>
      </c>
      <c r="P39" s="63">
        <v>253.47783083939319</v>
      </c>
      <c r="Q39" s="113">
        <f>0.1+0.8*(P39-J39)/(K39-J39)</f>
        <v>0.18900552258303299</v>
      </c>
      <c r="R39" s="113">
        <f>($Q$2*Q39)+$R$2</f>
        <v>0.70110218142931791</v>
      </c>
      <c r="S39" s="63">
        <f>365*P39*R39</f>
        <v>64865.558953096624</v>
      </c>
      <c r="T39" s="65">
        <f>S39*(1-$T$1)</f>
        <v>45405.891267167637</v>
      </c>
    </row>
    <row r="40" spans="1:20">
      <c r="A40" s="100" t="s">
        <v>146</v>
      </c>
      <c r="B40" s="100" t="s">
        <v>142</v>
      </c>
      <c r="C40" s="100" t="s">
        <v>107</v>
      </c>
      <c r="D40" s="100">
        <v>1</v>
      </c>
      <c r="E40" s="100">
        <v>1100</v>
      </c>
      <c r="F40" s="99">
        <v>0.2712</v>
      </c>
      <c r="G40" s="4">
        <f>(E40*12)*F40</f>
        <v>3579.84</v>
      </c>
      <c r="H40" s="100">
        <v>318</v>
      </c>
      <c r="I40" s="99">
        <v>0.2712</v>
      </c>
      <c r="J40" s="100">
        <v>90</v>
      </c>
      <c r="K40" s="100">
        <v>375</v>
      </c>
      <c r="L40">
        <f>K40-J40</f>
        <v>285</v>
      </c>
      <c r="M40">
        <f>H40-J40</f>
        <v>228</v>
      </c>
      <c r="N40" s="112">
        <f>((0.8*M40))/(L40)+0.1</f>
        <v>0.74</v>
      </c>
      <c r="O40" s="108">
        <f>I40</f>
        <v>0.2712</v>
      </c>
      <c r="P40" s="63">
        <v>218.58594605493528</v>
      </c>
      <c r="Q40" s="113">
        <f>0.1+0.8*(P40-J40)/(K40-J40)</f>
        <v>0.46094300646999375</v>
      </c>
      <c r="R40" s="113">
        <f>($Q$2*Q40)+$R$2</f>
        <v>0.48579629258318213</v>
      </c>
      <c r="S40" s="63">
        <f>365*P40*R40</f>
        <v>38758.708404560377</v>
      </c>
      <c r="T40" s="65">
        <f>S40*(1-$T$1)</f>
        <v>27131.095883192262</v>
      </c>
    </row>
    <row r="41" spans="1:20">
      <c r="A41" s="100" t="s">
        <v>147</v>
      </c>
      <c r="B41" s="100" t="s">
        <v>142</v>
      </c>
      <c r="C41" s="100" t="s">
        <v>107</v>
      </c>
      <c r="D41" s="100">
        <v>2</v>
      </c>
      <c r="E41" s="100">
        <v>1200</v>
      </c>
      <c r="F41" s="99">
        <v>0.43009999999999998</v>
      </c>
      <c r="G41" s="4">
        <f>(E41*12)*F41</f>
        <v>6193.44</v>
      </c>
      <c r="H41" s="100">
        <v>198</v>
      </c>
      <c r="I41" s="99">
        <v>0.43009999999999998</v>
      </c>
      <c r="J41" s="100">
        <v>128</v>
      </c>
      <c r="K41" s="100">
        <v>238</v>
      </c>
      <c r="L41">
        <f>K41-J41</f>
        <v>110</v>
      </c>
      <c r="M41">
        <f>H41-J41</f>
        <v>70</v>
      </c>
      <c r="N41" s="112">
        <f>((0.8*M41))/(L41)+0.1</f>
        <v>0.60909090909090902</v>
      </c>
      <c r="O41" s="108">
        <f>I41</f>
        <v>0.43009999999999998</v>
      </c>
      <c r="P41" s="63">
        <v>130.99808444225545</v>
      </c>
      <c r="Q41" s="113">
        <f>0.1+0.8*(P41-J41)/(K41-J41)</f>
        <v>0.12180425048913053</v>
      </c>
      <c r="R41" s="113">
        <f>($Q$2*Q41)+$R$2</f>
        <v>0.75430863687252225</v>
      </c>
      <c r="S41" s="63">
        <f>365*P41*R41</f>
        <v>36066.740075620488</v>
      </c>
      <c r="T41" s="65">
        <f>S41*(1-$T$1)</f>
        <v>25246.718052934339</v>
      </c>
    </row>
    <row r="42" spans="1:20">
      <c r="A42" s="100" t="s">
        <v>148</v>
      </c>
      <c r="B42" s="100" t="s">
        <v>149</v>
      </c>
      <c r="C42" s="100" t="s">
        <v>98</v>
      </c>
      <c r="D42" s="100">
        <v>1</v>
      </c>
      <c r="E42" s="100">
        <v>1300</v>
      </c>
      <c r="F42" s="99">
        <v>0.56710000000000005</v>
      </c>
      <c r="G42" s="4">
        <f>(E42*12)*F42</f>
        <v>8846.76</v>
      </c>
      <c r="H42" s="100">
        <v>149</v>
      </c>
      <c r="I42" s="99">
        <v>0.56710000000000005</v>
      </c>
      <c r="J42" s="100">
        <v>126</v>
      </c>
      <c r="K42" s="100">
        <v>188</v>
      </c>
      <c r="L42">
        <f>K42-J42</f>
        <v>62</v>
      </c>
      <c r="M42">
        <f>H42-J42</f>
        <v>23</v>
      </c>
      <c r="N42" s="112">
        <f>((0.8*M42))/(L42)+0.1</f>
        <v>0.39677419354838717</v>
      </c>
      <c r="O42" s="108">
        <f>I42</f>
        <v>0.56710000000000005</v>
      </c>
      <c r="P42" s="63">
        <v>126</v>
      </c>
      <c r="Q42" s="113">
        <f>0.1+0.8*(P42-J42)/(K42-J42)</f>
        <v>0.1</v>
      </c>
      <c r="R42" s="113">
        <f>($Q$2*Q42)+$R$2</f>
        <v>0.77157210296437406</v>
      </c>
      <c r="S42" s="63">
        <f>365*P42*R42</f>
        <v>35484.601015331566</v>
      </c>
      <c r="T42" s="65">
        <f>S42*(1-$T$1)</f>
        <v>24839.220710732094</v>
      </c>
    </row>
    <row r="43" spans="1:20">
      <c r="A43" s="100" t="s">
        <v>150</v>
      </c>
      <c r="B43" s="100" t="s">
        <v>149</v>
      </c>
      <c r="C43" s="100" t="s">
        <v>98</v>
      </c>
      <c r="D43" s="100">
        <v>2</v>
      </c>
      <c r="E43" s="100">
        <v>1700</v>
      </c>
      <c r="F43" s="99">
        <v>0.32050000000000001</v>
      </c>
      <c r="G43" s="4">
        <f>(E43*12)*F43</f>
        <v>6538.2</v>
      </c>
      <c r="H43" s="100">
        <v>210</v>
      </c>
      <c r="I43" s="99">
        <v>0.32050000000000001</v>
      </c>
      <c r="J43" s="100">
        <v>152</v>
      </c>
      <c r="K43" s="100">
        <v>247</v>
      </c>
      <c r="L43">
        <f>K43-J43</f>
        <v>95</v>
      </c>
      <c r="M43">
        <f>H43-J43</f>
        <v>58</v>
      </c>
      <c r="N43" s="112">
        <f>((0.8*M43))/(L43)+0.1</f>
        <v>0.58842105263157907</v>
      </c>
      <c r="O43" s="108">
        <f>I43</f>
        <v>0.32050000000000001</v>
      </c>
      <c r="P43" s="63">
        <v>152</v>
      </c>
      <c r="Q43" s="113">
        <f>0.1+0.8*(P43-J43)/(K43-J43)</f>
        <v>0.1</v>
      </c>
      <c r="R43" s="113">
        <f>($Q$2*Q43)+$R$2</f>
        <v>0.77157210296437406</v>
      </c>
      <c r="S43" s="63">
        <f>365*P43*R43</f>
        <v>42806.820272463476</v>
      </c>
      <c r="T43" s="65">
        <f>S43*(1-$T$1)</f>
        <v>29964.774190724431</v>
      </c>
    </row>
    <row r="44" spans="1:20">
      <c r="A44" s="100" t="s">
        <v>151</v>
      </c>
      <c r="B44" s="100" t="s">
        <v>149</v>
      </c>
      <c r="C44" s="100" t="s">
        <v>107</v>
      </c>
      <c r="D44" s="100">
        <v>1</v>
      </c>
      <c r="E44" s="100">
        <v>1200</v>
      </c>
      <c r="F44" s="99">
        <v>0.44929999999999998</v>
      </c>
      <c r="G44" s="4">
        <f>(E44*12)*F44</f>
        <v>6469.92</v>
      </c>
      <c r="H44" s="100">
        <v>187</v>
      </c>
      <c r="I44" s="99">
        <v>0.44929999999999998</v>
      </c>
      <c r="J44" s="100">
        <v>141</v>
      </c>
      <c r="K44" s="100">
        <v>263</v>
      </c>
      <c r="L44">
        <f>K44-J44</f>
        <v>122</v>
      </c>
      <c r="M44">
        <f>H44-J44</f>
        <v>46</v>
      </c>
      <c r="N44" s="112">
        <f>((0.8*M44))/(L44)+0.1</f>
        <v>0.40163934426229508</v>
      </c>
      <c r="O44" s="108">
        <f>I44</f>
        <v>0.44929999999999998</v>
      </c>
      <c r="P44" s="63">
        <v>144.8069665576111</v>
      </c>
      <c r="Q44" s="113">
        <f>0.1+0.8*(P44-J44)/(K44-J44)</f>
        <v>0.1249637151318761</v>
      </c>
      <c r="R44" s="113">
        <f>($Q$2*Q44)+$R$2</f>
        <v>0.7518071378755431</v>
      </c>
      <c r="S44" s="63">
        <f>365*P44*R44</f>
        <v>39736.42254132274</v>
      </c>
      <c r="T44" s="65">
        <f>S44*(1-$T$1)</f>
        <v>27815.495778925917</v>
      </c>
    </row>
    <row r="45" spans="1:20">
      <c r="A45" s="100" t="s">
        <v>152</v>
      </c>
      <c r="B45" s="100" t="s">
        <v>149</v>
      </c>
      <c r="C45" s="100" t="s">
        <v>107</v>
      </c>
      <c r="D45" s="100">
        <v>2</v>
      </c>
      <c r="E45" s="100">
        <v>1900</v>
      </c>
      <c r="F45" s="99">
        <v>0.50960000000000005</v>
      </c>
      <c r="G45" s="4">
        <f>(E45*12)*F45</f>
        <v>11618.880000000001</v>
      </c>
      <c r="H45" s="100">
        <v>225</v>
      </c>
      <c r="I45" s="99">
        <v>0.50960000000000005</v>
      </c>
      <c r="J45" s="100">
        <v>157</v>
      </c>
      <c r="K45" s="100">
        <v>314</v>
      </c>
      <c r="L45">
        <f>K45-J45</f>
        <v>157</v>
      </c>
      <c r="M45">
        <f>H45-J45</f>
        <v>68</v>
      </c>
      <c r="N45" s="112">
        <f>((0.8*M45))/(L45)+0.1</f>
        <v>0.44649681528662422</v>
      </c>
      <c r="O45" s="108">
        <f>I45</f>
        <v>0.50960000000000005</v>
      </c>
      <c r="P45" s="63">
        <v>174.12453795280564</v>
      </c>
      <c r="Q45" s="113">
        <f>0.1+0.8*(P45-J45)/(K45-J45)</f>
        <v>0.18725879211620711</v>
      </c>
      <c r="R45" s="113">
        <f>($Q$2*Q45)+$R$2</f>
        <v>0.70248515133239642</v>
      </c>
      <c r="S45" s="63">
        <f>365*P45*R45</f>
        <v>44646.764373978003</v>
      </c>
      <c r="T45" s="65">
        <f>S45*(1-$T$1)</f>
        <v>31252.735061784599</v>
      </c>
    </row>
    <row r="46" spans="1:20">
      <c r="A46" s="100" t="s">
        <v>153</v>
      </c>
      <c r="B46" s="100" t="s">
        <v>154</v>
      </c>
      <c r="C46" s="100" t="s">
        <v>98</v>
      </c>
      <c r="D46" s="100">
        <v>1</v>
      </c>
      <c r="E46" s="100">
        <v>1000</v>
      </c>
      <c r="F46" s="99">
        <v>0.72050000000000003</v>
      </c>
      <c r="G46" s="4">
        <f>(E46*12)*F46</f>
        <v>8646</v>
      </c>
      <c r="H46" s="100">
        <v>123</v>
      </c>
      <c r="I46" s="99">
        <v>0.72050000000000003</v>
      </c>
      <c r="J46" s="100">
        <v>93</v>
      </c>
      <c r="K46" s="100">
        <v>159</v>
      </c>
      <c r="L46">
        <f>K46-J46</f>
        <v>66</v>
      </c>
      <c r="M46">
        <f>H46-J46</f>
        <v>30</v>
      </c>
      <c r="N46" s="112">
        <f>((0.8*M46))/(L46)+0.1</f>
        <v>0.46363636363636362</v>
      </c>
      <c r="O46" s="108">
        <f>I46</f>
        <v>0.72050000000000003</v>
      </c>
      <c r="P46" s="63">
        <v>93</v>
      </c>
      <c r="Q46" s="113">
        <f>0.1+0.8*(P46-J46)/(K46-J46)</f>
        <v>0.1</v>
      </c>
      <c r="R46" s="113">
        <f>($Q$2*Q46)+$R$2</f>
        <v>0.77157210296437406</v>
      </c>
      <c r="S46" s="63">
        <f>365*P46*R46</f>
        <v>26191.015035125678</v>
      </c>
      <c r="T46" s="65">
        <f>S46*(1-$T$1)</f>
        <v>18333.710524587972</v>
      </c>
    </row>
    <row r="47" spans="1:20">
      <c r="A47" s="100" t="s">
        <v>155</v>
      </c>
      <c r="B47" s="100" t="s">
        <v>154</v>
      </c>
      <c r="C47" s="100" t="s">
        <v>98</v>
      </c>
      <c r="D47" s="100">
        <v>2</v>
      </c>
      <c r="E47" s="100">
        <v>1500</v>
      </c>
      <c r="F47" s="99">
        <v>0.49590000000000001</v>
      </c>
      <c r="G47" s="4">
        <f>(E47*12)*F47</f>
        <v>8926.2000000000007</v>
      </c>
      <c r="H47" s="100">
        <v>263</v>
      </c>
      <c r="I47" s="99">
        <v>0.49590000000000001</v>
      </c>
      <c r="J47" s="100">
        <v>145</v>
      </c>
      <c r="K47" s="100">
        <v>462</v>
      </c>
      <c r="L47">
        <f>K47-J47</f>
        <v>317</v>
      </c>
      <c r="M47">
        <f>H47-J47</f>
        <v>118</v>
      </c>
      <c r="N47" s="112">
        <f>((0.8*M47))/(L47)+0.1</f>
        <v>0.39779179810725551</v>
      </c>
      <c r="O47" s="108">
        <f>I47</f>
        <v>0.49590000000000001</v>
      </c>
      <c r="P47" s="63">
        <v>265.57629789268242</v>
      </c>
      <c r="Q47" s="113">
        <f>0.1+0.8*(P47-J47)/(K47-J47)</f>
        <v>0.40429349625913547</v>
      </c>
      <c r="R47" s="113">
        <f>($Q$2*Q47)+$R$2</f>
        <v>0.53064841438084187</v>
      </c>
      <c r="S47" s="63">
        <f>365*P47*R47</f>
        <v>51438.589101468402</v>
      </c>
      <c r="T47" s="65">
        <f>S47*(1-$T$1)</f>
        <v>36007.012371027879</v>
      </c>
    </row>
    <row r="48" spans="1:20">
      <c r="A48" s="100" t="s">
        <v>156</v>
      </c>
      <c r="B48" s="100" t="s">
        <v>154</v>
      </c>
      <c r="C48" s="100" t="s">
        <v>107</v>
      </c>
      <c r="D48" s="100">
        <v>1</v>
      </c>
      <c r="E48" s="100">
        <v>1300</v>
      </c>
      <c r="F48" s="99">
        <v>0.44929999999999998</v>
      </c>
      <c r="G48" s="4">
        <f>(E48*12)*F48</f>
        <v>7009.08</v>
      </c>
      <c r="H48" s="100">
        <v>238</v>
      </c>
      <c r="I48" s="99">
        <v>0.44929999999999998</v>
      </c>
      <c r="J48" s="100">
        <v>181</v>
      </c>
      <c r="K48" s="100">
        <v>316</v>
      </c>
      <c r="L48">
        <f>K48-J48</f>
        <v>135</v>
      </c>
      <c r="M48">
        <f>H48-J48</f>
        <v>57</v>
      </c>
      <c r="N48" s="112">
        <f>((0.8*M48))/(L48)+0.1</f>
        <v>0.43777777777777782</v>
      </c>
      <c r="O48" s="108">
        <f>I48</f>
        <v>0.44929999999999998</v>
      </c>
      <c r="P48" s="63">
        <v>181</v>
      </c>
      <c r="Q48" s="113">
        <f>0.1+0.8*(P48-J48)/(K48-J48)</f>
        <v>0.1</v>
      </c>
      <c r="R48" s="113">
        <f>($Q$2*Q48)+$R$2</f>
        <v>0.77157210296437406</v>
      </c>
      <c r="S48" s="63">
        <f>365*P48*R48</f>
        <v>50973.910982341375</v>
      </c>
      <c r="T48" s="65">
        <f>S48*(1-$T$1)</f>
        <v>35681.737687638961</v>
      </c>
    </row>
    <row r="49" spans="1:20">
      <c r="A49" s="100" t="s">
        <v>157</v>
      </c>
      <c r="B49" s="100" t="s">
        <v>144</v>
      </c>
      <c r="C49" s="100" t="s">
        <v>107</v>
      </c>
      <c r="D49" s="100">
        <v>1</v>
      </c>
      <c r="E49" s="100">
        <v>850</v>
      </c>
      <c r="F49" s="99">
        <v>0.53149999999999997</v>
      </c>
      <c r="G49" s="4">
        <f>(E49*12)*F49</f>
        <v>5421.2999999999993</v>
      </c>
      <c r="H49" s="100">
        <v>146</v>
      </c>
      <c r="I49" s="99">
        <v>0.53149999999999997</v>
      </c>
      <c r="J49" s="100">
        <v>96</v>
      </c>
      <c r="K49" s="100">
        <v>245</v>
      </c>
      <c r="L49">
        <f>K49-J49</f>
        <v>149</v>
      </c>
      <c r="M49">
        <f>H49-J49</f>
        <v>50</v>
      </c>
      <c r="N49" s="112">
        <f>((0.8*M49))/(L49)+0.1</f>
        <v>0.36845637583892621</v>
      </c>
      <c r="O49" s="108">
        <f>I49</f>
        <v>0.53149999999999997</v>
      </c>
      <c r="P49" s="63">
        <v>138.7519508574992</v>
      </c>
      <c r="Q49" s="113">
        <f>0.1+0.8*(P49-J49)/(K49-J49)</f>
        <v>0.32954067574496215</v>
      </c>
      <c r="R49" s="113">
        <f>($Q$2*Q49)+$R$2</f>
        <v>0.58983379123477353</v>
      </c>
      <c r="S49" s="63">
        <f>365*P49*R49</f>
        <v>29871.815063657406</v>
      </c>
      <c r="T49" s="65">
        <f>S49*(1-$T$1)</f>
        <v>20910.270544560182</v>
      </c>
    </row>
    <row r="50" spans="1:20">
      <c r="A50" s="100" t="s">
        <v>158</v>
      </c>
      <c r="B50" s="100" t="s">
        <v>154</v>
      </c>
      <c r="C50" s="100" t="s">
        <v>107</v>
      </c>
      <c r="D50" s="100">
        <v>2</v>
      </c>
      <c r="E50" s="100">
        <v>1800</v>
      </c>
      <c r="F50" s="99">
        <v>0.1507</v>
      </c>
      <c r="G50" s="4">
        <f>(E50*12)*F50</f>
        <v>3255.12</v>
      </c>
      <c r="H50" s="100">
        <v>349</v>
      </c>
      <c r="I50" s="99">
        <v>0.1507</v>
      </c>
      <c r="J50" s="100">
        <v>145</v>
      </c>
      <c r="K50" s="100">
        <v>412</v>
      </c>
      <c r="L50">
        <f>K50-J50</f>
        <v>267</v>
      </c>
      <c r="M50">
        <f>H50-J50</f>
        <v>204</v>
      </c>
      <c r="N50" s="112">
        <f>((0.8*M50))/(L50)+0.1</f>
        <v>0.71123595505617987</v>
      </c>
      <c r="O50" s="108">
        <f>I50</f>
        <v>0.1507</v>
      </c>
      <c r="P50" s="63">
        <v>235.12262264620253</v>
      </c>
      <c r="Q50" s="113">
        <f>0.1+0.8*(P50-J50)/(K50-J50)</f>
        <v>0.37003033002607499</v>
      </c>
      <c r="R50" s="113">
        <f>($Q$2*Q50)+$R$2</f>
        <v>0.55777619888133567</v>
      </c>
      <c r="S50" s="63">
        <f>365*P50*R50</f>
        <v>47868.217996672473</v>
      </c>
      <c r="T50" s="65">
        <f>S50*(1-$T$1)</f>
        <v>33507.752597670726</v>
      </c>
    </row>
    <row r="51" spans="1:20">
      <c r="A51" s="100" t="s">
        <v>159</v>
      </c>
      <c r="B51" s="100" t="s">
        <v>160</v>
      </c>
      <c r="C51" s="100" t="s">
        <v>98</v>
      </c>
      <c r="D51" s="100">
        <v>1</v>
      </c>
      <c r="E51" s="100">
        <v>1100</v>
      </c>
      <c r="F51" s="99">
        <v>0.6</v>
      </c>
      <c r="G51" s="4">
        <f>(E51*12)*F51</f>
        <v>7920</v>
      </c>
      <c r="H51" s="100">
        <v>147</v>
      </c>
      <c r="I51" s="99">
        <v>0.6</v>
      </c>
      <c r="J51" s="100">
        <v>99</v>
      </c>
      <c r="K51" s="100">
        <v>215</v>
      </c>
      <c r="L51">
        <f>K51-J51</f>
        <v>116</v>
      </c>
      <c r="M51">
        <f>H51-J51</f>
        <v>48</v>
      </c>
      <c r="N51" s="112">
        <f>((0.8*M51))/(L51)+0.1</f>
        <v>0.43103448275862077</v>
      </c>
      <c r="O51" s="108">
        <f>I51</f>
        <v>0.6</v>
      </c>
      <c r="P51" s="63">
        <v>120.15252541183325</v>
      </c>
      <c r="Q51" s="113">
        <f>0.1+0.8*(P51-J51)/(K51-J51)</f>
        <v>0.24587948559885001</v>
      </c>
      <c r="R51" s="113">
        <f>($Q$2*Q51)+$R$2</f>
        <v>0.65607234963013539</v>
      </c>
      <c r="S51" s="63">
        <f>365*P51*R51</f>
        <v>28772.493626241641</v>
      </c>
      <c r="T51" s="65">
        <f>S51*(1-$T$1)</f>
        <v>20140.745538369149</v>
      </c>
    </row>
    <row r="52" spans="1:20">
      <c r="A52" s="100" t="s">
        <v>161</v>
      </c>
      <c r="B52" s="100" t="s">
        <v>160</v>
      </c>
      <c r="C52" s="100" t="s">
        <v>98</v>
      </c>
      <c r="D52" s="100">
        <v>2</v>
      </c>
      <c r="E52" s="100">
        <v>1400</v>
      </c>
      <c r="F52" s="99">
        <v>0.52600000000000002</v>
      </c>
      <c r="G52" s="4">
        <f>(E52*12)*F52</f>
        <v>8836.8000000000011</v>
      </c>
      <c r="H52" s="100">
        <v>151</v>
      </c>
      <c r="I52" s="99">
        <v>0.52600000000000002</v>
      </c>
      <c r="J52" s="100">
        <v>120</v>
      </c>
      <c r="K52" s="100">
        <v>188</v>
      </c>
      <c r="L52">
        <f>K52-J52</f>
        <v>68</v>
      </c>
      <c r="M52">
        <f>H52-J52</f>
        <v>31</v>
      </c>
      <c r="N52" s="112">
        <f>((0.8*M52))/(L52)+0.1</f>
        <v>0.46470588235294119</v>
      </c>
      <c r="O52" s="108">
        <f>I52</f>
        <v>0.52600000000000002</v>
      </c>
      <c r="P52" s="63">
        <v>120</v>
      </c>
      <c r="Q52" s="113">
        <f>0.1+0.8*(P52-J52)/(K52-J52)</f>
        <v>0.1</v>
      </c>
      <c r="R52" s="113">
        <f>($Q$2*Q52)+$R$2</f>
        <v>0.77157210296437406</v>
      </c>
      <c r="S52" s="63">
        <f>365*P52*R52</f>
        <v>33794.858109839581</v>
      </c>
      <c r="T52" s="65">
        <f>S52*(1-$T$1)</f>
        <v>23656.400676887704</v>
      </c>
    </row>
    <row r="53" spans="1:20">
      <c r="A53" s="100" t="s">
        <v>162</v>
      </c>
      <c r="B53" s="100" t="s">
        <v>160</v>
      </c>
      <c r="C53" s="100" t="s">
        <v>107</v>
      </c>
      <c r="D53" s="100">
        <v>1</v>
      </c>
      <c r="E53" s="100">
        <v>1300</v>
      </c>
      <c r="F53" s="99">
        <v>0.21099999999999999</v>
      </c>
      <c r="G53" s="4">
        <f>(E53*12)*F53</f>
        <v>3291.6</v>
      </c>
      <c r="H53" s="100">
        <v>429</v>
      </c>
      <c r="I53" s="99">
        <v>0.21099999999999999</v>
      </c>
      <c r="J53" s="100">
        <v>263</v>
      </c>
      <c r="K53" s="100">
        <v>489</v>
      </c>
      <c r="L53">
        <f>K53-J53</f>
        <v>226</v>
      </c>
      <c r="M53">
        <f>H53-J53</f>
        <v>166</v>
      </c>
      <c r="N53" s="112">
        <f>((0.8*M53))/(L53)+0.1</f>
        <v>0.68761061946902657</v>
      </c>
      <c r="O53" s="108">
        <f>I53</f>
        <v>0.21099999999999999</v>
      </c>
      <c r="P53" s="63">
        <v>269.15060985408877</v>
      </c>
      <c r="Q53" s="113">
        <f>0.1+0.8*(P53-J53)/(K53-J53)</f>
        <v>0.12177207027996026</v>
      </c>
      <c r="R53" s="113">
        <f>($Q$2*Q53)+$R$2</f>
        <v>0.75433411548047147</v>
      </c>
      <c r="S53" s="63">
        <f>365*P53*R53</f>
        <v>74105.762833589441</v>
      </c>
      <c r="T53" s="65">
        <f>S53*(1-$T$1)</f>
        <v>51874.033983512607</v>
      </c>
    </row>
    <row r="54" spans="1:20">
      <c r="A54" s="100" t="s">
        <v>163</v>
      </c>
      <c r="B54" s="100" t="s">
        <v>160</v>
      </c>
      <c r="C54" s="100" t="s">
        <v>107</v>
      </c>
      <c r="D54" s="100">
        <v>2</v>
      </c>
      <c r="E54" s="100">
        <v>1900</v>
      </c>
      <c r="F54" s="99">
        <v>0.33150000000000002</v>
      </c>
      <c r="G54" s="4">
        <f>(E54*12)*F54</f>
        <v>7558.2000000000007</v>
      </c>
      <c r="H54" s="100">
        <v>441</v>
      </c>
      <c r="I54" s="99">
        <v>0.33150000000000002</v>
      </c>
      <c r="J54" s="100">
        <v>335</v>
      </c>
      <c r="K54" s="100">
        <v>502</v>
      </c>
      <c r="L54">
        <f>K54-J54</f>
        <v>167</v>
      </c>
      <c r="M54">
        <f>H54-J54</f>
        <v>106</v>
      </c>
      <c r="N54" s="112">
        <f>((0.8*M54))/(L54)+0.1</f>
        <v>0.60778443113772462</v>
      </c>
      <c r="O54" s="108">
        <f>I54</f>
        <v>0.33150000000000002</v>
      </c>
      <c r="P54" s="63">
        <v>335</v>
      </c>
      <c r="Q54" s="113">
        <f>0.1+0.8*(P54-J54)/(K54-J54)</f>
        <v>0.1</v>
      </c>
      <c r="R54" s="113">
        <f>($Q$2*Q54)+$R$2</f>
        <v>0.77157210296437406</v>
      </c>
      <c r="S54" s="63">
        <f>365*P54*R54</f>
        <v>94343.978889968843</v>
      </c>
      <c r="T54" s="65">
        <f>S54*(1-$T$1)</f>
        <v>66040.785222978186</v>
      </c>
    </row>
    <row r="55" spans="1:20">
      <c r="A55" s="100" t="s">
        <v>164</v>
      </c>
      <c r="B55" s="100" t="s">
        <v>165</v>
      </c>
      <c r="C55" s="100" t="s">
        <v>98</v>
      </c>
      <c r="D55" s="100">
        <v>1</v>
      </c>
      <c r="E55" s="100">
        <v>900</v>
      </c>
      <c r="F55" s="99">
        <v>0.32879999999999998</v>
      </c>
      <c r="G55" s="4">
        <f>(E55*12)*F55</f>
        <v>3551.04</v>
      </c>
      <c r="H55" s="100">
        <v>144</v>
      </c>
      <c r="I55" s="99">
        <v>0.32879999999999998</v>
      </c>
      <c r="J55" s="100">
        <v>98</v>
      </c>
      <c r="K55" s="100">
        <v>195</v>
      </c>
      <c r="L55">
        <f>K55-J55</f>
        <v>97</v>
      </c>
      <c r="M55">
        <f>H55-J55</f>
        <v>46</v>
      </c>
      <c r="N55" s="112">
        <f>((0.8*M55))/(L55)+0.1</f>
        <v>0.47938144329896915</v>
      </c>
      <c r="O55" s="108">
        <f>I55</f>
        <v>0.32879999999999998</v>
      </c>
      <c r="P55" s="63">
        <v>108.0801290081711</v>
      </c>
      <c r="Q55" s="113">
        <f>0.1+0.8*(P55-J55)/(K55-J55)</f>
        <v>0.183135084603473</v>
      </c>
      <c r="R55" s="113">
        <f>($Q$2*Q55)+$R$2</f>
        <v>0.70575008744447643</v>
      </c>
      <c r="S55" s="63">
        <f>365*P55*R55</f>
        <v>27841.309581962374</v>
      </c>
      <c r="T55" s="65">
        <f>S55*(1-$T$1)</f>
        <v>19488.916707373661</v>
      </c>
    </row>
    <row r="56" spans="1:20">
      <c r="A56" s="100" t="s">
        <v>166</v>
      </c>
      <c r="B56" s="100" t="s">
        <v>165</v>
      </c>
      <c r="C56" s="100" t="s">
        <v>98</v>
      </c>
      <c r="D56" s="100">
        <v>2</v>
      </c>
      <c r="E56" s="100">
        <v>1400</v>
      </c>
      <c r="F56" s="99">
        <v>0.61919999999999997</v>
      </c>
      <c r="G56" s="4">
        <f>(E56*12)*F56</f>
        <v>10402.56</v>
      </c>
      <c r="H56" s="100">
        <v>136</v>
      </c>
      <c r="I56" s="99">
        <v>0.61919999999999997</v>
      </c>
      <c r="J56" s="100">
        <v>77</v>
      </c>
      <c r="K56" s="100">
        <v>260</v>
      </c>
      <c r="L56">
        <f>K56-J56</f>
        <v>183</v>
      </c>
      <c r="M56">
        <f>H56-J56</f>
        <v>59</v>
      </c>
      <c r="N56" s="112">
        <f>((0.8*M56))/(L56)+0.1</f>
        <v>0.35792349726775963</v>
      </c>
      <c r="O56" s="108">
        <f>I56</f>
        <v>0.61919999999999997</v>
      </c>
      <c r="P56" s="63">
        <v>149.96044883053548</v>
      </c>
      <c r="Q56" s="113">
        <f>0.1+0.8*(P56-J56)/(K56-J56)</f>
        <v>0.41895278177283268</v>
      </c>
      <c r="R56" s="113">
        <f>($Q$2*Q56)+$R$2</f>
        <v>0.51904195817531251</v>
      </c>
      <c r="S56" s="63">
        <f>365*P56*R56</f>
        <v>28410.054228595211</v>
      </c>
      <c r="T56" s="65">
        <f>S56*(1-$T$1)</f>
        <v>19887.037960016645</v>
      </c>
    </row>
    <row r="57" spans="1:20">
      <c r="A57" s="100" t="s">
        <v>167</v>
      </c>
      <c r="B57" s="100" t="s">
        <v>165</v>
      </c>
      <c r="C57" s="100" t="s">
        <v>107</v>
      </c>
      <c r="D57" s="100">
        <v>1</v>
      </c>
      <c r="E57" s="100">
        <v>1400</v>
      </c>
      <c r="F57" s="99">
        <v>0.2712</v>
      </c>
      <c r="G57" s="4">
        <f>(E57*12)*F57</f>
        <v>4556.16</v>
      </c>
      <c r="H57" s="100">
        <v>305</v>
      </c>
      <c r="I57" s="99">
        <v>0.2712</v>
      </c>
      <c r="J57" s="100">
        <v>173</v>
      </c>
      <c r="K57" s="100">
        <v>322</v>
      </c>
      <c r="L57">
        <f>K57-J57</f>
        <v>149</v>
      </c>
      <c r="M57">
        <f>H57-J57</f>
        <v>132</v>
      </c>
      <c r="N57" s="112">
        <f>((0.8*M57))/(L57)+0.1</f>
        <v>0.8087248322147651</v>
      </c>
      <c r="O57" s="108">
        <f>I57</f>
        <v>0.2712</v>
      </c>
      <c r="P57" s="63">
        <v>177.25195074451011</v>
      </c>
      <c r="Q57" s="113">
        <f>0.1+0.8*(P57-J57)/(K57-J57)</f>
        <v>0.12282926574233617</v>
      </c>
      <c r="R57" s="113">
        <f>($Q$2*Q57)+$R$2</f>
        <v>0.75349708336023036</v>
      </c>
      <c r="S57" s="63">
        <f>365*P57*R57</f>
        <v>48748.972185653351</v>
      </c>
      <c r="T57" s="65">
        <f>S57*(1-$T$1)</f>
        <v>34124.280529957345</v>
      </c>
    </row>
    <row r="58" spans="1:20">
      <c r="A58" s="100" t="s">
        <v>168</v>
      </c>
      <c r="B58" s="100" t="s">
        <v>165</v>
      </c>
      <c r="C58" s="100" t="s">
        <v>107</v>
      </c>
      <c r="D58" s="100">
        <v>2</v>
      </c>
      <c r="E58" s="100">
        <v>1700</v>
      </c>
      <c r="F58" s="99">
        <v>0.32879999999999998</v>
      </c>
      <c r="G58" s="4">
        <f>(E58*12)*F58</f>
        <v>6707.5199999999995</v>
      </c>
      <c r="H58" s="100">
        <v>425</v>
      </c>
      <c r="I58" s="99">
        <v>0.32879999999999998</v>
      </c>
      <c r="J58" s="100">
        <v>176</v>
      </c>
      <c r="K58" s="100">
        <v>469</v>
      </c>
      <c r="L58">
        <f>K58-J58</f>
        <v>293</v>
      </c>
      <c r="M58">
        <f>H58-J58</f>
        <v>249</v>
      </c>
      <c r="N58" s="112">
        <f>((0.8*M58))/(L58)+0.1</f>
        <v>0.779863481228669</v>
      </c>
      <c r="O58" s="108">
        <f>I58</f>
        <v>0.32879999999999998</v>
      </c>
      <c r="P58" s="63">
        <v>266.45853351437199</v>
      </c>
      <c r="Q58" s="113">
        <f>0.1+0.8*(P58-J58)/(K58-J58)</f>
        <v>0.34698575703582801</v>
      </c>
      <c r="R58" s="113">
        <f>($Q$2*Q58)+$R$2</f>
        <v>0.57602168751285965</v>
      </c>
      <c r="S58" s="63">
        <f>365*P58*R58</f>
        <v>56022.351356409905</v>
      </c>
      <c r="T58" s="65">
        <f>S58*(1-$T$1)</f>
        <v>39215.645949486934</v>
      </c>
    </row>
    <row r="59" spans="1:20">
      <c r="A59" s="100" t="s">
        <v>169</v>
      </c>
      <c r="B59" s="100" t="s">
        <v>170</v>
      </c>
      <c r="C59" s="100" t="s">
        <v>98</v>
      </c>
      <c r="D59" s="100">
        <v>1</v>
      </c>
      <c r="E59" s="100">
        <v>800</v>
      </c>
      <c r="F59" s="99">
        <v>0.41370000000000001</v>
      </c>
      <c r="G59" s="4">
        <f>(E59*12)*F59</f>
        <v>3971.52</v>
      </c>
      <c r="H59" s="100">
        <v>176</v>
      </c>
      <c r="I59" s="99">
        <v>0.41370000000000001</v>
      </c>
      <c r="J59" s="100">
        <v>86</v>
      </c>
      <c r="K59" s="100">
        <v>224</v>
      </c>
      <c r="L59">
        <f>K59-J59</f>
        <v>138</v>
      </c>
      <c r="M59">
        <f>H59-J59</f>
        <v>90</v>
      </c>
      <c r="N59" s="112">
        <f>((0.8*M59))/(L59)+0.1</f>
        <v>0.62173913043478257</v>
      </c>
      <c r="O59" s="108">
        <f>I59</f>
        <v>0.41370000000000001</v>
      </c>
      <c r="P59" s="63">
        <v>127.05214230028442</v>
      </c>
      <c r="Q59" s="113">
        <f>0.1+0.8*(P59-J59)/(K59-J59)</f>
        <v>0.33798343362483718</v>
      </c>
      <c r="R59" s="113">
        <f>($Q$2*Q59)+$R$2</f>
        <v>0.58314925674671136</v>
      </c>
      <c r="S59" s="63">
        <f>365*P59*R59</f>
        <v>27042.982257928215</v>
      </c>
      <c r="T59" s="65">
        <f>S59*(1-$T$1)</f>
        <v>18930.087580549749</v>
      </c>
    </row>
    <row r="60" spans="1:20">
      <c r="A60" s="100" t="s">
        <v>171</v>
      </c>
      <c r="B60" s="100" t="s">
        <v>144</v>
      </c>
      <c r="C60" s="100" t="s">
        <v>107</v>
      </c>
      <c r="D60" s="100">
        <v>2</v>
      </c>
      <c r="E60" s="100">
        <v>900</v>
      </c>
      <c r="F60" s="99">
        <v>0.47949999999999998</v>
      </c>
      <c r="G60" s="4">
        <f>(E60*12)*F60</f>
        <v>5178.5999999999995</v>
      </c>
      <c r="H60" s="100">
        <v>169</v>
      </c>
      <c r="I60" s="99">
        <v>0.47949999999999998</v>
      </c>
      <c r="J60" s="100">
        <v>111</v>
      </c>
      <c r="K60" s="100">
        <v>276</v>
      </c>
      <c r="L60">
        <f>K60-J60</f>
        <v>165</v>
      </c>
      <c r="M60">
        <f>H60-J60</f>
        <v>58</v>
      </c>
      <c r="N60" s="112">
        <f>((0.8*M60))/(L60)+0.1</f>
        <v>0.38121212121212122</v>
      </c>
      <c r="O60" s="108">
        <f>I60</f>
        <v>0.47949999999999998</v>
      </c>
      <c r="P60" s="63">
        <v>155.99712666338357</v>
      </c>
      <c r="Q60" s="113">
        <f>0.1+0.8*(P60-J60)/(K60-J60)</f>
        <v>0.31816788685276881</v>
      </c>
      <c r="R60" s="113">
        <f>($Q$2*Q60)+$R$2</f>
        <v>0.59883817116097371</v>
      </c>
      <c r="S60" s="63">
        <f>365*P60*R60</f>
        <v>34097.217423675596</v>
      </c>
      <c r="T60" s="65">
        <f>S60*(1-$T$1)</f>
        <v>23868.052196572917</v>
      </c>
    </row>
    <row r="61" spans="1:20">
      <c r="A61" s="100" t="s">
        <v>172</v>
      </c>
      <c r="B61" s="100" t="s">
        <v>170</v>
      </c>
      <c r="C61" s="100" t="s">
        <v>98</v>
      </c>
      <c r="D61" s="100">
        <v>2</v>
      </c>
      <c r="E61" s="100">
        <v>1300</v>
      </c>
      <c r="F61" s="99">
        <v>0.63009999999999999</v>
      </c>
      <c r="G61" s="4">
        <f>(E61*12)*F61</f>
        <v>9829.56</v>
      </c>
      <c r="H61" s="100">
        <v>207</v>
      </c>
      <c r="I61" s="99">
        <v>0.63009999999999999</v>
      </c>
      <c r="J61" s="100">
        <v>127</v>
      </c>
      <c r="K61" s="100">
        <v>276</v>
      </c>
      <c r="L61">
        <f>K61-J61</f>
        <v>149</v>
      </c>
      <c r="M61">
        <f>H61-J61</f>
        <v>80</v>
      </c>
      <c r="N61" s="112">
        <f>((0.8*M61))/(L61)+0.1</f>
        <v>0.5295302013422819</v>
      </c>
      <c r="O61" s="108">
        <f>I61</f>
        <v>0.63009999999999999</v>
      </c>
      <c r="P61" s="63">
        <v>154.25195074450997</v>
      </c>
      <c r="Q61" s="113">
        <f>0.1+0.8*(P61-J61)/(K61-J61)</f>
        <v>0.24631919862824148</v>
      </c>
      <c r="R61" s="113">
        <f>($Q$2*Q61)+$R$2</f>
        <v>0.65572420783196494</v>
      </c>
      <c r="S61" s="63">
        <f>365*P61*R61</f>
        <v>36918.559446094863</v>
      </c>
      <c r="T61" s="65">
        <f>S61*(1-$T$1)</f>
        <v>25842.991612266404</v>
      </c>
    </row>
    <row r="62" spans="1:20">
      <c r="A62" s="100" t="s">
        <v>173</v>
      </c>
      <c r="B62" s="100" t="s">
        <v>170</v>
      </c>
      <c r="C62" s="100" t="s">
        <v>107</v>
      </c>
      <c r="D62" s="100">
        <v>1</v>
      </c>
      <c r="E62" s="100">
        <v>1400</v>
      </c>
      <c r="F62" s="99">
        <v>0.90410000000000001</v>
      </c>
      <c r="G62" s="4">
        <f>(E62*12)*F62</f>
        <v>15188.880000000001</v>
      </c>
      <c r="H62" s="100">
        <v>244</v>
      </c>
      <c r="I62" s="99">
        <v>0.90410000000000001</v>
      </c>
      <c r="J62" s="100">
        <v>222</v>
      </c>
      <c r="K62" s="100">
        <v>381</v>
      </c>
      <c r="L62">
        <f>K62-J62</f>
        <v>159</v>
      </c>
      <c r="M62">
        <f>H62-J62</f>
        <v>22</v>
      </c>
      <c r="N62" s="112">
        <f>((0.8*M62))/(L62)+0.1</f>
        <v>0.21069182389937108</v>
      </c>
      <c r="O62" s="108">
        <f>I62</f>
        <v>0.90410000000000001</v>
      </c>
      <c r="P62" s="63">
        <v>222</v>
      </c>
      <c r="Q62" s="113">
        <f>0.1+0.8*(P62-J62)/(K62-J62)</f>
        <v>0.1</v>
      </c>
      <c r="R62" s="113">
        <f>($Q$2*Q62)+$R$2</f>
        <v>0.77157210296437406</v>
      </c>
      <c r="S62" s="63">
        <f>365*P62*R62</f>
        <v>62520.487503203229</v>
      </c>
      <c r="T62" s="65">
        <f>S62*(1-$T$1)</f>
        <v>43764.341252242259</v>
      </c>
    </row>
    <row r="63" spans="1:20">
      <c r="A63" s="100" t="s">
        <v>174</v>
      </c>
      <c r="B63" s="100" t="s">
        <v>170</v>
      </c>
      <c r="C63" s="100" t="s">
        <v>107</v>
      </c>
      <c r="D63" s="100">
        <v>2</v>
      </c>
      <c r="E63" s="100">
        <v>1900</v>
      </c>
      <c r="F63" s="99">
        <v>0.54249999999999998</v>
      </c>
      <c r="G63" s="4">
        <f>(E63*12)*F63</f>
        <v>12369</v>
      </c>
      <c r="H63" s="100">
        <v>536</v>
      </c>
      <c r="I63" s="99">
        <v>0.54249999999999998</v>
      </c>
      <c r="J63" s="100">
        <v>386</v>
      </c>
      <c r="K63" s="100">
        <v>773</v>
      </c>
      <c r="L63">
        <f>K63-J63</f>
        <v>387</v>
      </c>
      <c r="M63">
        <f>H63-J63</f>
        <v>150</v>
      </c>
      <c r="N63" s="112">
        <f>((0.8*M63))/(L63)+0.1</f>
        <v>0.41007751937984493</v>
      </c>
      <c r="O63" s="108">
        <f>I63</f>
        <v>0.54249999999999998</v>
      </c>
      <c r="P63" s="63">
        <v>428.71144246731217</v>
      </c>
      <c r="Q63" s="113">
        <f>0.1+0.8*(P63-J63)/(K63-J63)</f>
        <v>0.18829238752932748</v>
      </c>
      <c r="R63" s="113">
        <f>($Q$2*Q63)+$R$2</f>
        <v>0.70166680449786556</v>
      </c>
      <c r="S63" s="63">
        <f>365*P63*R63</f>
        <v>109796.59457901397</v>
      </c>
      <c r="T63" s="65">
        <f>S63*(1-$T$1)</f>
        <v>76857.616205309765</v>
      </c>
    </row>
    <row r="64" spans="1:20">
      <c r="A64" s="100" t="s">
        <v>175</v>
      </c>
      <c r="B64" s="100" t="s">
        <v>176</v>
      </c>
      <c r="C64" s="100" t="s">
        <v>98</v>
      </c>
      <c r="D64" s="100">
        <v>1</v>
      </c>
      <c r="E64" s="100">
        <v>1700</v>
      </c>
      <c r="F64" s="99">
        <v>7.9500000000000001E-2</v>
      </c>
      <c r="G64" s="4">
        <f>(E64*12)*F64</f>
        <v>1621.8</v>
      </c>
      <c r="H64" s="100">
        <v>476</v>
      </c>
      <c r="I64" s="99">
        <v>7.9500000000000001E-2</v>
      </c>
      <c r="J64" s="100">
        <v>136</v>
      </c>
      <c r="K64" s="100">
        <v>476</v>
      </c>
      <c r="L64">
        <f>K64-J64</f>
        <v>340</v>
      </c>
      <c r="M64">
        <f>H64-J64</f>
        <v>340</v>
      </c>
      <c r="N64" s="112">
        <f>((0.8*M64))/(L64)+0.1</f>
        <v>0.9</v>
      </c>
      <c r="O64" s="108">
        <f>I64</f>
        <v>7.9500000000000001E-2</v>
      </c>
      <c r="P64" s="63">
        <v>275.0849882760632</v>
      </c>
      <c r="Q64" s="113">
        <f>0.1+0.8*(P64-J64)/(K64-J64)</f>
        <v>0.4272587959436781</v>
      </c>
      <c r="R64" s="113">
        <f>($Q$2*Q64)+$R$2</f>
        <v>0.51246569021011412</v>
      </c>
      <c r="S64" s="63">
        <f>365*P64*R64</f>
        <v>51454.640709916872</v>
      </c>
      <c r="T64" s="65">
        <f>S64*(1-$T$1)</f>
        <v>36018.248496941807</v>
      </c>
    </row>
    <row r="65" spans="1:20">
      <c r="A65" s="100" t="s">
        <v>177</v>
      </c>
      <c r="B65" s="100" t="s">
        <v>176</v>
      </c>
      <c r="C65" s="100" t="s">
        <v>98</v>
      </c>
      <c r="D65" s="100">
        <v>2</v>
      </c>
      <c r="E65" s="100">
        <v>2400</v>
      </c>
      <c r="F65" s="99">
        <v>0.55069999999999997</v>
      </c>
      <c r="G65" s="4">
        <f>(E65*12)*F65</f>
        <v>15860.16</v>
      </c>
      <c r="H65" s="100">
        <v>360</v>
      </c>
      <c r="I65" s="99">
        <v>0.55069999999999997</v>
      </c>
      <c r="J65" s="100">
        <v>173</v>
      </c>
      <c r="K65" s="100">
        <v>690</v>
      </c>
      <c r="L65">
        <f>K65-J65</f>
        <v>517</v>
      </c>
      <c r="M65">
        <f>H65-J65</f>
        <v>187</v>
      </c>
      <c r="N65" s="112">
        <f>((0.8*M65))/(L65)+0.1</f>
        <v>0.38936170212765953</v>
      </c>
      <c r="O65" s="108">
        <f>I65</f>
        <v>0.55069999999999997</v>
      </c>
      <c r="P65" s="63">
        <v>401.39099787860198</v>
      </c>
      <c r="Q65" s="113">
        <f>0.1+0.8*(P65-J65)/(K65-J65)</f>
        <v>0.45340966789725645</v>
      </c>
      <c r="R65" s="113">
        <f>($Q$2*Q65)+$R$2</f>
        <v>0.49176079638824166</v>
      </c>
      <c r="S65" s="63">
        <f>365*P65*R65</f>
        <v>72046.750224646108</v>
      </c>
      <c r="T65" s="65">
        <f>S65*(1-$T$1)</f>
        <v>50432.725157252273</v>
      </c>
    </row>
    <row r="66" spans="1:20">
      <c r="A66" s="100" t="s">
        <v>178</v>
      </c>
      <c r="B66" s="100" t="s">
        <v>176</v>
      </c>
      <c r="C66" s="100" t="s">
        <v>107</v>
      </c>
      <c r="D66" s="100">
        <v>1</v>
      </c>
      <c r="E66" s="100">
        <v>2100</v>
      </c>
      <c r="F66" s="99">
        <v>0.69320000000000004</v>
      </c>
      <c r="G66" s="4">
        <f>(E66*12)*F66</f>
        <v>17468.64</v>
      </c>
      <c r="H66" s="100">
        <v>1477</v>
      </c>
      <c r="I66" s="99">
        <v>0.69320000000000004</v>
      </c>
      <c r="J66" s="100">
        <v>448</v>
      </c>
      <c r="K66" s="100">
        <v>2128</v>
      </c>
      <c r="L66">
        <f>K66-J66</f>
        <v>1680</v>
      </c>
      <c r="M66">
        <f>H66-J66</f>
        <v>1029</v>
      </c>
      <c r="N66" s="112">
        <f>((0.8*M66))/(L66)+0.1</f>
        <v>0.59000000000000008</v>
      </c>
      <c r="O66" s="108">
        <f>I66</f>
        <v>0.69320000000000004</v>
      </c>
      <c r="P66" s="63">
        <v>1247.2434714817236</v>
      </c>
      <c r="Q66" s="113">
        <f>0.1+0.8*(P66-J66)/(K66-J66)</f>
        <v>0.48059212927701134</v>
      </c>
      <c r="R66" s="113">
        <f>($Q$2*Q66)+$R$2</f>
        <v>0.47023914396747174</v>
      </c>
      <c r="S66" s="63">
        <f>365*P66*R66</f>
        <v>214073.48635723296</v>
      </c>
      <c r="T66" s="65">
        <f>S66*(1-$T$1)</f>
        <v>149851.44045006306</v>
      </c>
    </row>
    <row r="67" spans="1:20">
      <c r="A67" s="100" t="s">
        <v>179</v>
      </c>
      <c r="B67" s="100" t="s">
        <v>176</v>
      </c>
      <c r="C67" s="100" t="s">
        <v>107</v>
      </c>
      <c r="D67" s="100">
        <v>2</v>
      </c>
      <c r="E67" s="100">
        <v>3200</v>
      </c>
      <c r="F67" s="99">
        <v>0.71509999999999996</v>
      </c>
      <c r="G67" s="4">
        <f>(E67*12)*F67</f>
        <v>27459.84</v>
      </c>
      <c r="H67" s="100">
        <v>1265</v>
      </c>
      <c r="I67" s="99">
        <v>0.71509999999999996</v>
      </c>
      <c r="J67" s="100">
        <v>450</v>
      </c>
      <c r="K67" s="100">
        <v>2699</v>
      </c>
      <c r="L67">
        <f>K67-J67</f>
        <v>2249</v>
      </c>
      <c r="M67">
        <f>H67-J67</f>
        <v>815</v>
      </c>
      <c r="N67" s="112">
        <f>((0.8*M67))/(L67)+0.1</f>
        <v>0.38990662516674079</v>
      </c>
      <c r="O67" s="108">
        <f>I67</f>
        <v>0.71509999999999996</v>
      </c>
      <c r="P67" s="63">
        <v>1594.8062910966651</v>
      </c>
      <c r="Q67" s="113">
        <f>0.1+0.8*(P67-J67)/(K67-J67)</f>
        <v>0.50722322493434069</v>
      </c>
      <c r="R67" s="113">
        <f>($Q$2*Q67)+$R$2</f>
        <v>0.44915403411247579</v>
      </c>
      <c r="S67" s="63">
        <f>365*P67*R67</f>
        <v>261454.49293501824</v>
      </c>
      <c r="T67" s="65">
        <f>S67*(1-$T$1)</f>
        <v>183018.14505451274</v>
      </c>
    </row>
    <row r="68" spans="1:20">
      <c r="A68" s="100" t="s">
        <v>180</v>
      </c>
      <c r="B68" s="100" t="s">
        <v>181</v>
      </c>
      <c r="C68" s="100" t="s">
        <v>98</v>
      </c>
      <c r="D68" s="100">
        <v>1</v>
      </c>
      <c r="E68" s="100">
        <v>1300</v>
      </c>
      <c r="F68" s="99">
        <v>0.52049999999999996</v>
      </c>
      <c r="G68" s="4">
        <f>(E68*12)*F68</f>
        <v>8119.7999999999993</v>
      </c>
      <c r="H68" s="100">
        <v>328</v>
      </c>
      <c r="I68" s="99">
        <v>0.52049999999999996</v>
      </c>
      <c r="J68" s="100">
        <v>291</v>
      </c>
      <c r="K68" s="100">
        <v>387</v>
      </c>
      <c r="L68">
        <f>K68-J68</f>
        <v>96</v>
      </c>
      <c r="M68">
        <f>H68-J68</f>
        <v>37</v>
      </c>
      <c r="N68" s="112">
        <f>((0.8*M68))/(L68)+0.1</f>
        <v>0.40833333333333333</v>
      </c>
      <c r="O68" s="108">
        <f>I68</f>
        <v>0.52049999999999996</v>
      </c>
      <c r="P68" s="63">
        <v>291</v>
      </c>
      <c r="Q68" s="113">
        <f>0.1+0.8*(P68-J68)/(K68-J68)</f>
        <v>0.1</v>
      </c>
      <c r="R68" s="113">
        <f>($Q$2*Q68)+$R$2</f>
        <v>0.77157210296437406</v>
      </c>
      <c r="S68" s="63">
        <f>365*P68*R68</f>
        <v>81952.530916360993</v>
      </c>
      <c r="T68" s="65">
        <f>S68*(1-$T$1)</f>
        <v>57366.771641452695</v>
      </c>
    </row>
    <row r="69" spans="1:20">
      <c r="A69" s="100" t="s">
        <v>182</v>
      </c>
      <c r="B69" s="100" t="s">
        <v>181</v>
      </c>
      <c r="C69" s="100" t="s">
        <v>98</v>
      </c>
      <c r="D69" s="100">
        <v>2</v>
      </c>
      <c r="E69" s="100">
        <v>1700</v>
      </c>
      <c r="F69" s="99">
        <v>0.15890000000000001</v>
      </c>
      <c r="G69" s="4">
        <f>(E69*12)*F69</f>
        <v>3241.5600000000004</v>
      </c>
      <c r="H69" s="100">
        <v>246</v>
      </c>
      <c r="I69" s="99">
        <v>0.15890000000000001</v>
      </c>
      <c r="J69" s="100">
        <v>203</v>
      </c>
      <c r="K69" s="100">
        <v>318</v>
      </c>
      <c r="L69">
        <f>K69-J69</f>
        <v>115</v>
      </c>
      <c r="M69">
        <f>H69-J69</f>
        <v>43</v>
      </c>
      <c r="N69" s="112">
        <f>((0.8*M69))/(L69)+0.1</f>
        <v>0.39913043478260868</v>
      </c>
      <c r="O69" s="108">
        <f>I69</f>
        <v>0.15890000000000001</v>
      </c>
      <c r="P69" s="63">
        <v>203</v>
      </c>
      <c r="Q69" s="113">
        <f>0.1+0.8*(P69-J69)/(K69-J69)</f>
        <v>0.1</v>
      </c>
      <c r="R69" s="113">
        <f>($Q$2*Q69)+$R$2</f>
        <v>0.77157210296437406</v>
      </c>
      <c r="S69" s="63">
        <f>365*P69*R69</f>
        <v>57169.6349691453</v>
      </c>
      <c r="T69" s="65">
        <f>S69*(1-$T$1)</f>
        <v>40018.744478401706</v>
      </c>
    </row>
    <row r="70" spans="1:20">
      <c r="A70" s="100" t="s">
        <v>183</v>
      </c>
      <c r="B70" s="100" t="s">
        <v>181</v>
      </c>
      <c r="C70" s="100" t="s">
        <v>107</v>
      </c>
      <c r="D70" s="100">
        <v>1</v>
      </c>
      <c r="E70" s="100">
        <v>1400</v>
      </c>
      <c r="F70" s="99">
        <v>0.54520000000000002</v>
      </c>
      <c r="G70" s="4">
        <f>(E70*12)*F70</f>
        <v>9159.36</v>
      </c>
      <c r="H70" s="100">
        <v>325</v>
      </c>
      <c r="I70" s="99">
        <v>0.54520000000000002</v>
      </c>
      <c r="J70" s="100">
        <v>287</v>
      </c>
      <c r="K70" s="100">
        <v>395</v>
      </c>
      <c r="L70">
        <f>K70-J70</f>
        <v>108</v>
      </c>
      <c r="M70">
        <f>H70-J70</f>
        <v>38</v>
      </c>
      <c r="N70" s="112">
        <f>((0.8*M70))/(L70)+0.1</f>
        <v>0.38148148148148153</v>
      </c>
      <c r="O70" s="108">
        <f>I70</f>
        <v>0.54520000000000002</v>
      </c>
      <c r="P70" s="63">
        <v>287</v>
      </c>
      <c r="Q70" s="113">
        <f>0.1+0.8*(P70-J70)/(K70-J70)</f>
        <v>0.1</v>
      </c>
      <c r="R70" s="113">
        <f>($Q$2*Q70)+$R$2</f>
        <v>0.77157210296437406</v>
      </c>
      <c r="S70" s="63">
        <f>365*P70*R70</f>
        <v>80826.035646033008</v>
      </c>
      <c r="T70" s="65">
        <f>S70*(1-$T$1)</f>
        <v>56578.2249522231</v>
      </c>
    </row>
    <row r="71" spans="1:20">
      <c r="A71" s="100" t="s">
        <v>184</v>
      </c>
      <c r="B71" s="100" t="s">
        <v>144</v>
      </c>
      <c r="C71" s="100" t="s">
        <v>98</v>
      </c>
      <c r="D71" s="100">
        <v>1</v>
      </c>
      <c r="E71" s="100">
        <v>750</v>
      </c>
      <c r="F71" s="99">
        <v>0.47949999999999998</v>
      </c>
      <c r="G71" s="4">
        <f>(E71*12)*F71</f>
        <v>4315.5</v>
      </c>
      <c r="H71" s="100">
        <v>94</v>
      </c>
      <c r="I71" s="99">
        <v>0.47949999999999998</v>
      </c>
      <c r="J71" s="100">
        <v>51</v>
      </c>
      <c r="K71" s="100">
        <v>179</v>
      </c>
      <c r="L71">
        <f>K71-J71</f>
        <v>128</v>
      </c>
      <c r="M71">
        <f>H71-J71</f>
        <v>43</v>
      </c>
      <c r="N71" s="112">
        <f>((0.8*M71))/(L71)+0.1</f>
        <v>0.36875000000000002</v>
      </c>
      <c r="O71" s="108">
        <f>I71</f>
        <v>0.47949999999999998</v>
      </c>
      <c r="P71" s="63">
        <v>103.46140735098844</v>
      </c>
      <c r="Q71" s="113">
        <f>0.1+0.8*(P71-J71)/(K71-J71)</f>
        <v>0.42788379594367776</v>
      </c>
      <c r="R71" s="113">
        <f>($Q$2*Q71)+$R$2</f>
        <v>0.5119708478713334</v>
      </c>
      <c r="S71" s="63">
        <f>365*P71*R71</f>
        <v>19333.76692185814</v>
      </c>
      <c r="T71" s="65">
        <f>S71*(1-$T$1)</f>
        <v>13533.636845300696</v>
      </c>
    </row>
    <row r="72" spans="1:20">
      <c r="A72" s="100" t="s">
        <v>185</v>
      </c>
      <c r="B72" s="100" t="s">
        <v>181</v>
      </c>
      <c r="C72" s="100" t="s">
        <v>107</v>
      </c>
      <c r="D72" s="100">
        <v>2</v>
      </c>
      <c r="E72" s="100">
        <v>1900</v>
      </c>
      <c r="F72" s="99">
        <v>0.58630000000000004</v>
      </c>
      <c r="G72" s="4">
        <f>(E72*12)*F72</f>
        <v>13367.640000000001</v>
      </c>
      <c r="H72" s="100">
        <v>428</v>
      </c>
      <c r="I72" s="99">
        <v>0.58630000000000004</v>
      </c>
      <c r="J72" s="100">
        <v>376</v>
      </c>
      <c r="K72" s="100">
        <v>502</v>
      </c>
      <c r="L72">
        <f>K72-J72</f>
        <v>126</v>
      </c>
      <c r="M72">
        <f>H72-J72</f>
        <v>52</v>
      </c>
      <c r="N72" s="112">
        <f>((0.8*M72))/(L72)+0.1</f>
        <v>0.43015873015873018</v>
      </c>
      <c r="O72" s="108">
        <f>I72</f>
        <v>0.58630000000000004</v>
      </c>
      <c r="P72" s="63">
        <v>376</v>
      </c>
      <c r="Q72" s="113">
        <f>0.1+0.8*(P72-J72)/(K72-J72)</f>
        <v>0.1</v>
      </c>
      <c r="R72" s="113">
        <f>($Q$2*Q72)+$R$2</f>
        <v>0.77157210296437406</v>
      </c>
      <c r="S72" s="63">
        <f>365*P72*R72</f>
        <v>105890.5554108307</v>
      </c>
      <c r="T72" s="65">
        <f>S72*(1-$T$1)</f>
        <v>74123.388787581483</v>
      </c>
    </row>
    <row r="73" spans="1:20">
      <c r="A73" s="100" t="s">
        <v>186</v>
      </c>
      <c r="B73" s="100" t="s">
        <v>187</v>
      </c>
      <c r="C73" s="100" t="s">
        <v>98</v>
      </c>
      <c r="D73" s="100">
        <v>1</v>
      </c>
      <c r="E73" s="100">
        <v>1600</v>
      </c>
      <c r="F73" s="99">
        <v>0.67949999999999999</v>
      </c>
      <c r="G73" s="4">
        <f>(E73*12)*F73</f>
        <v>13046.4</v>
      </c>
      <c r="H73" s="100">
        <v>188</v>
      </c>
      <c r="I73" s="99">
        <v>0.67949999999999999</v>
      </c>
      <c r="J73" s="100">
        <v>126</v>
      </c>
      <c r="K73" s="100">
        <v>352</v>
      </c>
      <c r="L73">
        <f>K73-J73</f>
        <v>226</v>
      </c>
      <c r="M73">
        <f>H73-J73</f>
        <v>62</v>
      </c>
      <c r="N73" s="112">
        <f>((0.8*M73))/(L73)+0.1</f>
        <v>0.3194690265486726</v>
      </c>
      <c r="O73" s="108">
        <f>I73</f>
        <v>0.67949999999999999</v>
      </c>
      <c r="P73" s="63">
        <v>200.65060985408903</v>
      </c>
      <c r="Q73" s="113">
        <f>0.1+0.8*(P73-J73)/(K73-J73)</f>
        <v>0.36424994638615582</v>
      </c>
      <c r="R73" s="113">
        <f>($Q$2*Q73)+$R$2</f>
        <v>0.56235280457642178</v>
      </c>
      <c r="S73" s="63">
        <f>365*P73*R73</f>
        <v>41185.298114866971</v>
      </c>
      <c r="T73" s="65">
        <f>S73*(1-$T$1)</f>
        <v>28829.708680406879</v>
      </c>
    </row>
    <row r="74" spans="1:20">
      <c r="A74" s="100" t="s">
        <v>188</v>
      </c>
      <c r="B74" s="100" t="s">
        <v>187</v>
      </c>
      <c r="C74" s="100" t="s">
        <v>98</v>
      </c>
      <c r="D74" s="100">
        <v>2</v>
      </c>
      <c r="E74" s="100">
        <v>2200</v>
      </c>
      <c r="F74" s="99">
        <v>0.57809999999999995</v>
      </c>
      <c r="G74" s="4">
        <f>(E74*12)*F74</f>
        <v>15261.839999999998</v>
      </c>
      <c r="H74" s="100">
        <v>274</v>
      </c>
      <c r="I74" s="99">
        <v>0.57809999999999995</v>
      </c>
      <c r="J74" s="100">
        <v>119</v>
      </c>
      <c r="K74" s="100">
        <v>505</v>
      </c>
      <c r="L74">
        <f>K74-J74</f>
        <v>386</v>
      </c>
      <c r="M74">
        <f>H74-J74</f>
        <v>155</v>
      </c>
      <c r="N74" s="112">
        <f>((0.8*M74))/(L74)+0.1</f>
        <v>0.42124352331606219</v>
      </c>
      <c r="O74" s="108">
        <f>I74</f>
        <v>0.57809999999999995</v>
      </c>
      <c r="P74" s="63">
        <v>294.60236904282459</v>
      </c>
      <c r="Q74" s="113">
        <f>0.1+0.8*(P74-J74)/(K74-J74)</f>
        <v>0.46394273376751205</v>
      </c>
      <c r="R74" s="113">
        <f>($Q$2*Q74)+$R$2</f>
        <v>0.48342126526860763</v>
      </c>
      <c r="S74" s="63">
        <f>365*P74*R74</f>
        <v>51982.223247741218</v>
      </c>
      <c r="T74" s="65">
        <f>S74*(1-$T$1)</f>
        <v>36387.55627341885</v>
      </c>
    </row>
    <row r="75" spans="1:20">
      <c r="A75" s="100" t="s">
        <v>189</v>
      </c>
      <c r="B75" s="100" t="s">
        <v>187</v>
      </c>
      <c r="C75" s="100" t="s">
        <v>107</v>
      </c>
      <c r="D75" s="100">
        <v>1</v>
      </c>
      <c r="E75" s="100">
        <v>1500</v>
      </c>
      <c r="F75" s="99">
        <v>0.41099999999999998</v>
      </c>
      <c r="G75" s="4">
        <f>(E75*12)*F75</f>
        <v>7398</v>
      </c>
      <c r="H75" s="100">
        <v>860</v>
      </c>
      <c r="I75" s="99">
        <v>0.41099999999999998</v>
      </c>
      <c r="J75" s="100">
        <v>486</v>
      </c>
      <c r="K75" s="100">
        <v>1215</v>
      </c>
      <c r="L75">
        <f>K75-J75</f>
        <v>729</v>
      </c>
      <c r="M75">
        <f>H75-J75</f>
        <v>374</v>
      </c>
      <c r="N75" s="112">
        <f>((0.8*M75))/(L75)+0.1</f>
        <v>0.51042524005486967</v>
      </c>
      <c r="O75" s="108">
        <f>I75</f>
        <v>0.41099999999999998</v>
      </c>
      <c r="P75" s="63">
        <v>687.01457799558727</v>
      </c>
      <c r="Q75" s="113">
        <f>0.1+0.8*(P75-J75)/(K75-J75)</f>
        <v>0.32059212948761295</v>
      </c>
      <c r="R75" s="113">
        <f>($Q$2*Q75)+$R$2</f>
        <v>0.5969187825286556</v>
      </c>
      <c r="S75" s="63">
        <f>365*P75*R75</f>
        <v>149683.5454989459</v>
      </c>
      <c r="T75" s="65">
        <f>S75*(1-$T$1)</f>
        <v>104778.48184926213</v>
      </c>
    </row>
    <row r="76" spans="1:20">
      <c r="A76" s="100" t="s">
        <v>190</v>
      </c>
      <c r="B76" s="100" t="s">
        <v>187</v>
      </c>
      <c r="C76" s="100" t="s">
        <v>107</v>
      </c>
      <c r="D76" s="100">
        <v>2</v>
      </c>
      <c r="E76" s="100">
        <v>2400</v>
      </c>
      <c r="F76" s="99">
        <v>0.68220000000000003</v>
      </c>
      <c r="G76" s="4">
        <f>(E76*12)*F76</f>
        <v>19647.36</v>
      </c>
      <c r="H76" s="100">
        <v>729</v>
      </c>
      <c r="I76" s="99">
        <v>0.68220000000000003</v>
      </c>
      <c r="J76" s="100">
        <v>516</v>
      </c>
      <c r="K76" s="100">
        <v>1650</v>
      </c>
      <c r="L76">
        <f>K76-J76</f>
        <v>1134</v>
      </c>
      <c r="M76">
        <f>H76-J76</f>
        <v>213</v>
      </c>
      <c r="N76" s="112">
        <f>((0.8*M76))/(L76)+0.1</f>
        <v>0.2502645502645503</v>
      </c>
      <c r="O76" s="108">
        <f>I76</f>
        <v>0.68220000000000003</v>
      </c>
      <c r="P76" s="63">
        <v>948.68934325016335</v>
      </c>
      <c r="Q76" s="113">
        <f>0.1+0.8*(P76-J76)/(K76-J76)</f>
        <v>0.40524821393309585</v>
      </c>
      <c r="R76" s="113">
        <f>($Q$2*Q76)+$R$2</f>
        <v>0.52989251881818888</v>
      </c>
      <c r="S76" s="63">
        <f>365*P76*R76</f>
        <v>183486.7357698429</v>
      </c>
      <c r="T76" s="65">
        <f>S76*(1-$T$1)</f>
        <v>128440.71503889002</v>
      </c>
    </row>
    <row r="77" spans="1:20">
      <c r="A77" s="100" t="s">
        <v>191</v>
      </c>
      <c r="B77" s="100" t="s">
        <v>192</v>
      </c>
      <c r="C77" s="100" t="s">
        <v>98</v>
      </c>
      <c r="D77" s="100">
        <v>1</v>
      </c>
      <c r="E77" s="100">
        <v>1600</v>
      </c>
      <c r="F77" s="99">
        <v>0.82469999999999999</v>
      </c>
      <c r="G77" s="4">
        <f>(E77*12)*F77</f>
        <v>15834.24</v>
      </c>
      <c r="H77" s="100">
        <v>174</v>
      </c>
      <c r="I77" s="99">
        <v>0.82469999999999999</v>
      </c>
      <c r="J77" s="100">
        <v>160</v>
      </c>
      <c r="K77" s="100">
        <v>321</v>
      </c>
      <c r="L77">
        <f>K77-J77</f>
        <v>161</v>
      </c>
      <c r="M77">
        <f>H77-J77</f>
        <v>14</v>
      </c>
      <c r="N77" s="112">
        <f>((0.8*M77))/(L77)+0.1</f>
        <v>0.16956521739130437</v>
      </c>
      <c r="O77" s="108">
        <f>I77</f>
        <v>0.82469999999999999</v>
      </c>
      <c r="P77" s="63">
        <v>178.06083268464178</v>
      </c>
      <c r="Q77" s="113">
        <f>0.1+0.8*(P77-J77)/(K77-J77)</f>
        <v>0.18974326799822006</v>
      </c>
      <c r="R77" s="113">
        <f>($Q$2*Q77)+$R$2</f>
        <v>0.70051807316263615</v>
      </c>
      <c r="S77" s="63">
        <f>365*P77*R77</f>
        <v>45528.213467562629</v>
      </c>
      <c r="T77" s="65">
        <f>S77*(1-$T$1)</f>
        <v>31869.749427293838</v>
      </c>
    </row>
    <row r="78" spans="1:20">
      <c r="A78" s="100" t="s">
        <v>193</v>
      </c>
      <c r="B78" s="100" t="s">
        <v>192</v>
      </c>
      <c r="C78" s="100" t="s">
        <v>98</v>
      </c>
      <c r="D78" s="100">
        <v>2</v>
      </c>
      <c r="E78" s="100">
        <v>1900</v>
      </c>
      <c r="F78" s="99">
        <v>0.21640000000000001</v>
      </c>
      <c r="G78" s="4">
        <f>(E78*12)*F78</f>
        <v>4933.92</v>
      </c>
      <c r="H78" s="100">
        <v>308</v>
      </c>
      <c r="I78" s="99">
        <v>0.21640000000000001</v>
      </c>
      <c r="J78" s="100">
        <v>168</v>
      </c>
      <c r="K78" s="100">
        <v>364</v>
      </c>
      <c r="L78">
        <f>K78-J78</f>
        <v>196</v>
      </c>
      <c r="M78">
        <f>H78-J78</f>
        <v>140</v>
      </c>
      <c r="N78" s="112">
        <f>((0.8*M78))/(L78)+0.1</f>
        <v>0.67142857142857137</v>
      </c>
      <c r="O78" s="108">
        <f>I78</f>
        <v>0.21640000000000001</v>
      </c>
      <c r="P78" s="63">
        <v>203.37840500620115</v>
      </c>
      <c r="Q78" s="113">
        <f>0.1+0.8*(P78-J78)/(K78-J78)</f>
        <v>0.24440165308653533</v>
      </c>
      <c r="R78" s="113">
        <f>($Q$2*Q78)+$R$2</f>
        <v>0.65724242018488799</v>
      </c>
      <c r="S78" s="63">
        <f>365*P78*R78</f>
        <v>48789.154018660556</v>
      </c>
      <c r="T78" s="65">
        <f>S78*(1-$T$1)</f>
        <v>34152.407813062389</v>
      </c>
    </row>
    <row r="79" spans="1:20">
      <c r="A79" s="100" t="s">
        <v>194</v>
      </c>
      <c r="B79" s="100" t="s">
        <v>192</v>
      </c>
      <c r="C79" s="100" t="s">
        <v>107</v>
      </c>
      <c r="D79" s="100">
        <v>1</v>
      </c>
      <c r="E79" s="100">
        <v>1400</v>
      </c>
      <c r="F79" s="99">
        <v>0.6</v>
      </c>
      <c r="G79" s="4">
        <f>(E79*12)*F79</f>
        <v>10080</v>
      </c>
      <c r="H79" s="100">
        <v>308</v>
      </c>
      <c r="I79" s="99">
        <v>0.6</v>
      </c>
      <c r="J79" s="100">
        <v>226</v>
      </c>
      <c r="K79" s="100">
        <v>368</v>
      </c>
      <c r="L79">
        <f>K79-J79</f>
        <v>142</v>
      </c>
      <c r="M79">
        <f>H79-J79</f>
        <v>82</v>
      </c>
      <c r="N79" s="112">
        <f>((0.8*M79))/(L79)+0.1</f>
        <v>0.56197183098591552</v>
      </c>
      <c r="O79" s="108">
        <f>I79</f>
        <v>0.6</v>
      </c>
      <c r="P79" s="63">
        <v>226</v>
      </c>
      <c r="Q79" s="113">
        <f>0.1+0.8*(P79-J79)/(K79-J79)</f>
        <v>0.1</v>
      </c>
      <c r="R79" s="113">
        <f>($Q$2*Q79)+$R$2</f>
        <v>0.77157210296437406</v>
      </c>
      <c r="S79" s="63">
        <f>365*P79*R79</f>
        <v>63646.982773531214</v>
      </c>
      <c r="T79" s="65">
        <f>S79*(1-$T$1)</f>
        <v>44552.887941471847</v>
      </c>
    </row>
    <row r="80" spans="1:20">
      <c r="A80" s="100" t="s">
        <v>195</v>
      </c>
      <c r="B80" s="100" t="s">
        <v>192</v>
      </c>
      <c r="C80" s="100" t="s">
        <v>107</v>
      </c>
      <c r="D80" s="100">
        <v>2</v>
      </c>
      <c r="E80" s="100">
        <v>2000</v>
      </c>
      <c r="F80" s="99">
        <v>0.39179999999999998</v>
      </c>
      <c r="G80" s="4">
        <f>(E80*12)*F80</f>
        <v>9403.1999999999989</v>
      </c>
      <c r="H80" s="100">
        <v>342</v>
      </c>
      <c r="I80" s="99">
        <v>0.39179999999999998</v>
      </c>
      <c r="J80" s="100">
        <v>285</v>
      </c>
      <c r="K80" s="100">
        <v>428</v>
      </c>
      <c r="L80">
        <f>K80-J80</f>
        <v>143</v>
      </c>
      <c r="M80">
        <f>H80-J80</f>
        <v>57</v>
      </c>
      <c r="N80" s="112">
        <f>((0.8*M80))/(L80)+0.1</f>
        <v>0.4188811188811189</v>
      </c>
      <c r="O80" s="108">
        <f>I80</f>
        <v>0.39179999999999998</v>
      </c>
      <c r="P80" s="63">
        <v>285</v>
      </c>
      <c r="Q80" s="113">
        <f>0.1+0.8*(P80-J80)/(K80-J80)</f>
        <v>0.1</v>
      </c>
      <c r="R80" s="113">
        <f>($Q$2*Q80)+$R$2</f>
        <v>0.77157210296437406</v>
      </c>
      <c r="S80" s="63">
        <f>365*P80*R80</f>
        <v>80262.788010869015</v>
      </c>
      <c r="T80" s="65">
        <f>S80*(1-$T$1)</f>
        <v>56183.951607608309</v>
      </c>
    </row>
    <row r="81" spans="1:20">
      <c r="A81" s="100" t="s">
        <v>196</v>
      </c>
      <c r="B81" s="100" t="s">
        <v>197</v>
      </c>
      <c r="C81" s="100" t="s">
        <v>98</v>
      </c>
      <c r="D81" s="100">
        <v>1</v>
      </c>
      <c r="E81" s="100">
        <v>1000</v>
      </c>
      <c r="F81" s="99">
        <v>0.58899999999999997</v>
      </c>
      <c r="G81" s="4">
        <f>(E81*12)*F81</f>
        <v>7068</v>
      </c>
      <c r="H81" s="100">
        <v>229</v>
      </c>
      <c r="I81" s="99">
        <v>0.58899999999999997</v>
      </c>
      <c r="J81" s="100">
        <v>91</v>
      </c>
      <c r="K81" s="100">
        <v>342</v>
      </c>
      <c r="L81">
        <f>K81-J81</f>
        <v>251</v>
      </c>
      <c r="M81">
        <f>H81-J81</f>
        <v>138</v>
      </c>
      <c r="N81" s="112">
        <f>((0.8*M81))/(L81)+0.1</f>
        <v>0.53984063745019928</v>
      </c>
      <c r="O81" s="108">
        <f>I81</f>
        <v>0.58899999999999997</v>
      </c>
      <c r="P81" s="63">
        <v>198.3774469773289</v>
      </c>
      <c r="Q81" s="113">
        <f>0.1+0.8*(P81-J81)/(K81-J81)</f>
        <v>0.44223887482813995</v>
      </c>
      <c r="R81" s="113">
        <f>($Q$2*Q81)+$R$2</f>
        <v>0.5006052465776174</v>
      </c>
      <c r="S81" s="63">
        <f>365*P81*R81</f>
        <v>36247.708627226246</v>
      </c>
      <c r="T81" s="65">
        <f>S81*(1-$T$1)</f>
        <v>25373.396039058371</v>
      </c>
    </row>
    <row r="82" spans="1:20">
      <c r="A82" s="100" t="s">
        <v>198</v>
      </c>
      <c r="B82" s="100" t="s">
        <v>199</v>
      </c>
      <c r="C82" s="100" t="s">
        <v>98</v>
      </c>
      <c r="D82" s="100">
        <v>2</v>
      </c>
      <c r="E82" s="100">
        <v>2500</v>
      </c>
      <c r="F82" s="99">
        <v>0.29320000000000002</v>
      </c>
      <c r="G82" s="4">
        <f>(E82*12)*F82</f>
        <v>8796</v>
      </c>
      <c r="H82" s="100">
        <v>392</v>
      </c>
      <c r="I82" s="99">
        <v>0.29320000000000002</v>
      </c>
      <c r="J82" s="100">
        <v>173</v>
      </c>
      <c r="K82" s="100">
        <v>581</v>
      </c>
      <c r="L82">
        <f>K82-J82</f>
        <v>408</v>
      </c>
      <c r="M82">
        <f>H82-J82</f>
        <v>219</v>
      </c>
      <c r="N82" s="112">
        <f>((0.8*M82))/(L82)+0.1</f>
        <v>0.52941176470588236</v>
      </c>
      <c r="O82" s="108">
        <f>I82</f>
        <v>0.29320000000000002</v>
      </c>
      <c r="P82" s="63">
        <v>335.00198593127573</v>
      </c>
      <c r="Q82" s="113">
        <f>0.1+0.8*(P82-J82)/(K82-J82)</f>
        <v>0.41765095280642306</v>
      </c>
      <c r="R82" s="113">
        <f>($Q$2*Q82)+$R$2</f>
        <v>0.52007267832000204</v>
      </c>
      <c r="S82" s="63">
        <f>365*P82*R82</f>
        <v>63592.263724016346</v>
      </c>
      <c r="T82" s="65">
        <f>S82*(1-$T$1)</f>
        <v>44514.584606811441</v>
      </c>
    </row>
    <row r="83" spans="1:20">
      <c r="A83" s="100" t="s">
        <v>200</v>
      </c>
      <c r="B83" s="100" t="s">
        <v>197</v>
      </c>
      <c r="C83" s="100" t="s">
        <v>98</v>
      </c>
      <c r="D83" s="100">
        <v>2</v>
      </c>
      <c r="E83" s="100">
        <v>1400</v>
      </c>
      <c r="F83" s="99">
        <v>0.2712</v>
      </c>
      <c r="G83" s="4">
        <f>(E83*12)*F83</f>
        <v>4556.16</v>
      </c>
      <c r="H83" s="100">
        <v>322</v>
      </c>
      <c r="I83" s="99">
        <v>0.2712</v>
      </c>
      <c r="J83" s="100">
        <v>168</v>
      </c>
      <c r="K83" s="100">
        <v>392</v>
      </c>
      <c r="L83">
        <f>K83-J83</f>
        <v>224</v>
      </c>
      <c r="M83">
        <f>H83-J83</f>
        <v>154</v>
      </c>
      <c r="N83" s="112">
        <f>((0.8*M83))/(L83)+0.1</f>
        <v>0.65</v>
      </c>
      <c r="O83" s="108">
        <f>I83</f>
        <v>0.2712</v>
      </c>
      <c r="P83" s="63">
        <v>220.43246287985474</v>
      </c>
      <c r="Q83" s="113">
        <f>0.1+0.8*(P83-J83)/(K83-J83)</f>
        <v>0.28725879599948123</v>
      </c>
      <c r="R83" s="113">
        <f>($Q$2*Q83)+$R$2</f>
        <v>0.62331037405286838</v>
      </c>
      <c r="S83" s="63">
        <f>365*P83*R83</f>
        <v>50150.211925228607</v>
      </c>
      <c r="T83" s="65">
        <f>S83*(1-$T$1)</f>
        <v>35105.148347660019</v>
      </c>
    </row>
    <row r="84" spans="1:20">
      <c r="A84" s="100" t="s">
        <v>201</v>
      </c>
      <c r="B84" s="100" t="s">
        <v>197</v>
      </c>
      <c r="C84" s="100" t="s">
        <v>107</v>
      </c>
      <c r="D84" s="100">
        <v>1</v>
      </c>
      <c r="E84" s="100">
        <v>1300</v>
      </c>
      <c r="F84" s="99">
        <v>0.55069999999999997</v>
      </c>
      <c r="G84" s="4">
        <f>(E84*12)*F84</f>
        <v>8590.92</v>
      </c>
      <c r="H84" s="100">
        <v>257</v>
      </c>
      <c r="I84" s="99">
        <v>0.55069999999999997</v>
      </c>
      <c r="J84" s="100">
        <v>155</v>
      </c>
      <c r="K84" s="100">
        <v>494</v>
      </c>
      <c r="L84">
        <f>K84-J84</f>
        <v>339</v>
      </c>
      <c r="M84">
        <f>H84-J84</f>
        <v>102</v>
      </c>
      <c r="N84" s="112">
        <f>((0.8*M84))/(L84)+0.1</f>
        <v>0.34070796460176994</v>
      </c>
      <c r="O84" s="108">
        <f>I84</f>
        <v>0.55069999999999997</v>
      </c>
      <c r="P84" s="63">
        <v>283.97591478113355</v>
      </c>
      <c r="Q84" s="113">
        <f>0.1+0.8*(P84-J84)/(K84-J84)</f>
        <v>0.40436794048645086</v>
      </c>
      <c r="R84" s="113">
        <f>($Q$2*Q84)+$R$2</f>
        <v>0.53058947333195627</v>
      </c>
      <c r="S84" s="63">
        <f>365*P84*R84</f>
        <v>54996.240337878982</v>
      </c>
      <c r="T84" s="65">
        <f>S84*(1-$T$1)</f>
        <v>38497.368236515285</v>
      </c>
    </row>
    <row r="85" spans="1:20">
      <c r="A85" s="100" t="s">
        <v>202</v>
      </c>
      <c r="B85" s="100" t="s">
        <v>197</v>
      </c>
      <c r="C85" s="100" t="s">
        <v>107</v>
      </c>
      <c r="D85" s="100">
        <v>2</v>
      </c>
      <c r="E85" s="100">
        <v>1800</v>
      </c>
      <c r="F85" s="99">
        <v>0.4521</v>
      </c>
      <c r="G85" s="4">
        <f>(E85*12)*F85</f>
        <v>9765.36</v>
      </c>
      <c r="H85" s="100">
        <v>286</v>
      </c>
      <c r="I85" s="99">
        <v>0.4521</v>
      </c>
      <c r="J85" s="100">
        <v>151</v>
      </c>
      <c r="K85" s="100">
        <v>391</v>
      </c>
      <c r="L85">
        <f>K85-J85</f>
        <v>240</v>
      </c>
      <c r="M85">
        <f>H85-J85</f>
        <v>135</v>
      </c>
      <c r="N85" s="112">
        <f>((0.8*M85))/(L85)+0.1</f>
        <v>0.55000000000000004</v>
      </c>
      <c r="O85" s="108">
        <f>I85</f>
        <v>0.4521</v>
      </c>
      <c r="P85" s="63">
        <v>221.67763878310339</v>
      </c>
      <c r="Q85" s="113">
        <f>0.1+0.8*(P85-J85)/(K85-J85)</f>
        <v>0.33559212927701132</v>
      </c>
      <c r="R85" s="113">
        <f>($Q$2*Q85)+$R$2</f>
        <v>0.58504256656465581</v>
      </c>
      <c r="S85" s="63">
        <f>365*P85*R85</f>
        <v>47337.161981435718</v>
      </c>
      <c r="T85" s="65">
        <f>S85*(1-$T$1)</f>
        <v>33136.013387004998</v>
      </c>
    </row>
    <row r="86" spans="1:20">
      <c r="A86" s="100" t="s">
        <v>203</v>
      </c>
      <c r="B86" s="100" t="s">
        <v>204</v>
      </c>
      <c r="C86" s="100" t="s">
        <v>98</v>
      </c>
      <c r="D86" s="100">
        <v>1</v>
      </c>
      <c r="E86" s="100">
        <v>700</v>
      </c>
      <c r="F86" s="99">
        <v>0.51780000000000004</v>
      </c>
      <c r="G86" s="4">
        <f>(E86*12)*F86</f>
        <v>4349.5200000000004</v>
      </c>
      <c r="H86" s="100">
        <v>180</v>
      </c>
      <c r="I86" s="99">
        <v>0.51780000000000004</v>
      </c>
      <c r="J86" s="100">
        <v>99</v>
      </c>
      <c r="K86" s="100">
        <v>265</v>
      </c>
      <c r="L86">
        <f>K86-J86</f>
        <v>166</v>
      </c>
      <c r="M86">
        <f>H86-J86</f>
        <v>81</v>
      </c>
      <c r="N86" s="112">
        <f>((0.8*M86))/(L86)+0.1</f>
        <v>0.49036144578313257</v>
      </c>
      <c r="O86" s="108">
        <f>I86</f>
        <v>0.51780000000000004</v>
      </c>
      <c r="P86" s="63">
        <v>150.60620015831319</v>
      </c>
      <c r="Q86" s="113">
        <f>0.1+0.8*(P86-J86)/(K86-J86)</f>
        <v>0.34870457907620817</v>
      </c>
      <c r="R86" s="113">
        <f>($Q$2*Q86)+$R$2</f>
        <v>0.57466081404340374</v>
      </c>
      <c r="S86" s="63">
        <f>365*P86*R86</f>
        <v>31589.830777780422</v>
      </c>
      <c r="T86" s="65">
        <f>S86*(1-$T$1)</f>
        <v>22112.881544446293</v>
      </c>
    </row>
    <row r="87" spans="1:20">
      <c r="A87" s="100" t="s">
        <v>205</v>
      </c>
      <c r="B87" s="100" t="s">
        <v>204</v>
      </c>
      <c r="C87" s="100" t="s">
        <v>98</v>
      </c>
      <c r="D87" s="100">
        <v>2</v>
      </c>
      <c r="E87" s="100">
        <v>900</v>
      </c>
      <c r="F87" s="99">
        <v>0.52049999999999996</v>
      </c>
      <c r="G87" s="4">
        <f>(E87*12)*F87</f>
        <v>5621.4</v>
      </c>
      <c r="H87" s="100">
        <v>230</v>
      </c>
      <c r="I87" s="99">
        <v>0.52049999999999996</v>
      </c>
      <c r="J87" s="100">
        <v>154</v>
      </c>
      <c r="K87" s="100">
        <v>286</v>
      </c>
      <c r="L87">
        <f>K87-J87</f>
        <v>132</v>
      </c>
      <c r="M87">
        <f>H87-J87</f>
        <v>76</v>
      </c>
      <c r="N87" s="112">
        <f>((0.8*M87))/(L87)+0.1</f>
        <v>0.56060606060606066</v>
      </c>
      <c r="O87" s="108">
        <f>I87</f>
        <v>0.52049999999999996</v>
      </c>
      <c r="P87" s="63">
        <v>157.39770120137916</v>
      </c>
      <c r="Q87" s="113">
        <f>0.1+0.8*(P87-J87)/(K87-J87)</f>
        <v>0.12059212849320707</v>
      </c>
      <c r="R87" s="113">
        <f>($Q$2*Q87)+$R$2</f>
        <v>0.75526833172588326</v>
      </c>
      <c r="S87" s="63">
        <f>365*P87*R87</f>
        <v>43390.287209406961</v>
      </c>
      <c r="T87" s="65">
        <f>S87*(1-$T$1)</f>
        <v>30373.201046584869</v>
      </c>
    </row>
    <row r="88" spans="1:20">
      <c r="A88" s="100" t="s">
        <v>206</v>
      </c>
      <c r="B88" s="100" t="s">
        <v>204</v>
      </c>
      <c r="C88" s="100" t="s">
        <v>107</v>
      </c>
      <c r="D88" s="100">
        <v>1</v>
      </c>
      <c r="E88" s="100">
        <v>1000</v>
      </c>
      <c r="F88" s="99">
        <v>0.63009999999999999</v>
      </c>
      <c r="G88" s="4">
        <f>(E88*12)*F88</f>
        <v>7561.2</v>
      </c>
      <c r="H88" s="100">
        <v>221</v>
      </c>
      <c r="I88" s="99">
        <v>0.63009999999999999</v>
      </c>
      <c r="J88" s="100">
        <v>190</v>
      </c>
      <c r="K88" s="100">
        <v>462</v>
      </c>
      <c r="L88">
        <f>K88-J88</f>
        <v>272</v>
      </c>
      <c r="M88">
        <f>H88-J88</f>
        <v>31</v>
      </c>
      <c r="N88" s="112">
        <f>((0.8*M88))/(L88)+0.1</f>
        <v>0.19117647058823531</v>
      </c>
      <c r="O88" s="108">
        <f>I88</f>
        <v>0.63009999999999999</v>
      </c>
      <c r="P88" s="63">
        <v>260.66799062085039</v>
      </c>
      <c r="Q88" s="113">
        <f>0.1+0.8*(P88-J88)/(K88-J88)</f>
        <v>0.30784703123779528</v>
      </c>
      <c r="R88" s="113">
        <f>($Q$2*Q88)+$R$2</f>
        <v>0.60700968529014832</v>
      </c>
      <c r="S88" s="63">
        <f>365*P88*R88</f>
        <v>57753.218157471871</v>
      </c>
      <c r="T88" s="65">
        <f>S88*(1-$T$1)</f>
        <v>40427.252710230307</v>
      </c>
    </row>
    <row r="89" spans="1:20">
      <c r="A89" s="100" t="s">
        <v>207</v>
      </c>
      <c r="B89" s="100" t="s">
        <v>204</v>
      </c>
      <c r="C89" s="100" t="s">
        <v>107</v>
      </c>
      <c r="D89" s="100">
        <v>2</v>
      </c>
      <c r="E89" s="100">
        <v>1200</v>
      </c>
      <c r="F89" s="99">
        <v>0.36990000000000001</v>
      </c>
      <c r="G89" s="4">
        <f>(E89*12)*F89</f>
        <v>5326.56</v>
      </c>
      <c r="H89" s="100">
        <v>316</v>
      </c>
      <c r="I89" s="99">
        <v>0.36990000000000001</v>
      </c>
      <c r="J89" s="100">
        <v>205</v>
      </c>
      <c r="K89" s="100">
        <v>411</v>
      </c>
      <c r="L89">
        <f>K89-J89</f>
        <v>206</v>
      </c>
      <c r="M89">
        <f>H89-J89</f>
        <v>111</v>
      </c>
      <c r="N89" s="112">
        <f>((0.8*M89))/(L89)+0.1</f>
        <v>0.53106796116504862</v>
      </c>
      <c r="O89" s="108">
        <f>I89</f>
        <v>0.36990000000000001</v>
      </c>
      <c r="P89" s="63">
        <v>227.96913995549704</v>
      </c>
      <c r="Q89" s="113">
        <f>0.1+0.8*(P89-J89)/(K89-J89)</f>
        <v>0.1892005435164934</v>
      </c>
      <c r="R89" s="113">
        <f>($Q$2*Q89)+$R$2</f>
        <v>0.70094777404559816</v>
      </c>
      <c r="S89" s="63">
        <f>365*P89*R89</f>
        <v>58324.978339056703</v>
      </c>
      <c r="T89" s="65">
        <f>S89*(1-$T$1)</f>
        <v>40827.484837339689</v>
      </c>
    </row>
    <row r="90" spans="1:20">
      <c r="A90" s="100" t="s">
        <v>208</v>
      </c>
      <c r="B90" s="100" t="s">
        <v>209</v>
      </c>
      <c r="C90" s="100" t="s">
        <v>98</v>
      </c>
      <c r="D90" s="100">
        <v>1</v>
      </c>
      <c r="E90" s="100">
        <v>700</v>
      </c>
      <c r="F90" s="99">
        <v>0.56989999999999996</v>
      </c>
      <c r="G90" s="4">
        <f>(E90*12)*F90</f>
        <v>4787.16</v>
      </c>
      <c r="H90" s="100">
        <v>245</v>
      </c>
      <c r="I90" s="99">
        <v>0.56989999999999996</v>
      </c>
      <c r="J90" s="100">
        <v>192</v>
      </c>
      <c r="K90" s="100">
        <v>313</v>
      </c>
      <c r="L90">
        <f>K90-J90</f>
        <v>121</v>
      </c>
      <c r="M90">
        <f>H90-J90</f>
        <v>53</v>
      </c>
      <c r="N90" s="112">
        <f>((0.8*M90))/(L90)+0.1</f>
        <v>0.45041322314049592</v>
      </c>
      <c r="O90" s="108">
        <f>I90</f>
        <v>0.56989999999999996</v>
      </c>
      <c r="P90" s="63">
        <v>192</v>
      </c>
      <c r="Q90" s="113">
        <f>0.1+0.8*(P90-J90)/(K90-J90)</f>
        <v>0.1</v>
      </c>
      <c r="R90" s="113">
        <f>($Q$2*Q90)+$R$2</f>
        <v>0.77157210296437406</v>
      </c>
      <c r="S90" s="63">
        <f>365*P90*R90</f>
        <v>54071.772975743334</v>
      </c>
      <c r="T90" s="65">
        <f>S90*(1-$T$1)</f>
        <v>37850.24108302033</v>
      </c>
    </row>
    <row r="91" spans="1:20">
      <c r="A91" s="100" t="s">
        <v>210</v>
      </c>
      <c r="B91" s="100" t="s">
        <v>209</v>
      </c>
      <c r="C91" s="100" t="s">
        <v>98</v>
      </c>
      <c r="D91" s="100">
        <v>2</v>
      </c>
      <c r="E91" s="100">
        <v>1000</v>
      </c>
      <c r="F91" s="99">
        <v>0.41920000000000002</v>
      </c>
      <c r="G91" s="4">
        <f>(E91*12)*F91</f>
        <v>5030.4000000000005</v>
      </c>
      <c r="H91" s="100">
        <v>266</v>
      </c>
      <c r="I91" s="99">
        <v>0.41920000000000002</v>
      </c>
      <c r="J91" s="100">
        <v>192</v>
      </c>
      <c r="K91" s="100">
        <v>357</v>
      </c>
      <c r="L91">
        <f>K91-J91</f>
        <v>165</v>
      </c>
      <c r="M91">
        <f>H91-J91</f>
        <v>74</v>
      </c>
      <c r="N91" s="112">
        <f>((0.8*M91))/(L91)+0.1</f>
        <v>0.45878787878787886</v>
      </c>
      <c r="O91" s="108">
        <f>I91</f>
        <v>0.41920000000000002</v>
      </c>
      <c r="P91" s="63">
        <v>196.49712666338334</v>
      </c>
      <c r="Q91" s="113">
        <f>0.1+0.8*(P91-J91)/(K91-J91)</f>
        <v>0.12180425048913135</v>
      </c>
      <c r="R91" s="113">
        <f>($Q$2*Q91)+$R$2</f>
        <v>0.75430863687252159</v>
      </c>
      <c r="S91" s="63">
        <f>365*P91*R91</f>
        <v>54100.110113430725</v>
      </c>
      <c r="T91" s="65">
        <f>S91*(1-$T$1)</f>
        <v>37870.077079401504</v>
      </c>
    </row>
    <row r="92" spans="1:20">
      <c r="A92" s="100" t="s">
        <v>211</v>
      </c>
      <c r="B92" s="100" t="s">
        <v>209</v>
      </c>
      <c r="C92" s="100" t="s">
        <v>107</v>
      </c>
      <c r="D92" s="100">
        <v>1</v>
      </c>
      <c r="E92" s="100">
        <v>800</v>
      </c>
      <c r="F92" s="99">
        <v>0.45479999999999998</v>
      </c>
      <c r="G92" s="4">
        <f>(E92*12)*F92</f>
        <v>4366.08</v>
      </c>
      <c r="H92" s="100">
        <v>325</v>
      </c>
      <c r="I92" s="99">
        <v>0.45479999999999998</v>
      </c>
      <c r="J92" s="100">
        <v>186</v>
      </c>
      <c r="K92" s="100">
        <v>465</v>
      </c>
      <c r="L92">
        <f>K92-J92</f>
        <v>279</v>
      </c>
      <c r="M92">
        <f>H92-J92</f>
        <v>139</v>
      </c>
      <c r="N92" s="112">
        <f>((0.8*M92))/(L92)+0.1</f>
        <v>0.49856630824372761</v>
      </c>
      <c r="O92" s="108">
        <f>I92</f>
        <v>0.45479999999999998</v>
      </c>
      <c r="P92" s="63">
        <v>262.93150494799823</v>
      </c>
      <c r="Q92" s="113">
        <f>0.1+0.8*(P92-J92)/(K92-J92)</f>
        <v>0.32059212888314903</v>
      </c>
      <c r="R92" s="113">
        <f>($Q$2*Q92)+$R$2</f>
        <v>0.59691878300723855</v>
      </c>
      <c r="S92" s="63">
        <f>365*P92*R92</f>
        <v>57286.295190954603</v>
      </c>
      <c r="T92" s="65">
        <f>S92*(1-$T$1)</f>
        <v>40100.406633668223</v>
      </c>
    </row>
    <row r="93" spans="1:20">
      <c r="A93" s="100" t="s">
        <v>212</v>
      </c>
      <c r="B93" s="100" t="s">
        <v>199</v>
      </c>
      <c r="C93" s="100" t="s">
        <v>107</v>
      </c>
      <c r="D93" s="100">
        <v>1</v>
      </c>
      <c r="E93" s="100">
        <v>2500</v>
      </c>
      <c r="F93" s="99">
        <v>0.62190000000000001</v>
      </c>
      <c r="G93" s="4">
        <f>(E93*12)*F93</f>
        <v>18657</v>
      </c>
      <c r="H93" s="100">
        <v>393</v>
      </c>
      <c r="I93" s="99">
        <v>0.62190000000000001</v>
      </c>
      <c r="J93" s="100">
        <v>189</v>
      </c>
      <c r="K93" s="100">
        <v>588</v>
      </c>
      <c r="L93">
        <f>K93-J93</f>
        <v>399</v>
      </c>
      <c r="M93">
        <f>H93-J93</f>
        <v>204</v>
      </c>
      <c r="N93" s="112">
        <f>((0.8*M93))/(L93)+0.1</f>
        <v>0.50902255639097749</v>
      </c>
      <c r="O93" s="108">
        <f>I93</f>
        <v>0.62190000000000001</v>
      </c>
      <c r="P93" s="63">
        <v>337.52032350227847</v>
      </c>
      <c r="Q93" s="113">
        <f>0.1+0.8*(P93-J93)/(K93-J93)</f>
        <v>0.3977851097790045</v>
      </c>
      <c r="R93" s="113">
        <f>($Q$2*Q93)+$R$2</f>
        <v>0.53580141468087139</v>
      </c>
      <c r="S93" s="63">
        <f>365*P93*R93</f>
        <v>66008.011387864157</v>
      </c>
      <c r="T93" s="65">
        <f>S93*(1-$T$1)</f>
        <v>46205.607971504905</v>
      </c>
    </row>
    <row r="94" spans="1:20">
      <c r="A94" s="100" t="s">
        <v>213</v>
      </c>
      <c r="B94" s="100" t="s">
        <v>209</v>
      </c>
      <c r="C94" s="100" t="s">
        <v>107</v>
      </c>
      <c r="D94" s="100">
        <v>2</v>
      </c>
      <c r="E94" s="100">
        <v>900</v>
      </c>
      <c r="F94" s="99">
        <v>0.70960000000000001</v>
      </c>
      <c r="G94" s="4">
        <f>(E94*12)*F94</f>
        <v>7663.68</v>
      </c>
      <c r="H94" s="100">
        <v>256</v>
      </c>
      <c r="I94" s="99">
        <v>0.70960000000000001</v>
      </c>
      <c r="J94" s="100">
        <v>209</v>
      </c>
      <c r="K94" s="100">
        <v>358</v>
      </c>
      <c r="L94">
        <f>K94-J94</f>
        <v>149</v>
      </c>
      <c r="M94">
        <f>H94-J94</f>
        <v>47</v>
      </c>
      <c r="N94" s="112">
        <f>((0.8*M94))/(L94)+0.1</f>
        <v>0.3523489932885906</v>
      </c>
      <c r="O94" s="108">
        <f>I94</f>
        <v>0.70960000000000001</v>
      </c>
      <c r="P94" s="63">
        <v>209</v>
      </c>
      <c r="Q94" s="113">
        <f>0.1+0.8*(P94-J94)/(K94-J94)</f>
        <v>0.1</v>
      </c>
      <c r="R94" s="113">
        <f>($Q$2*Q94)+$R$2</f>
        <v>0.77157210296437406</v>
      </c>
      <c r="S94" s="63">
        <f>365*P94*R94</f>
        <v>58859.377874637277</v>
      </c>
      <c r="T94" s="65">
        <f>S94*(1-$T$1)</f>
        <v>41201.564512246092</v>
      </c>
    </row>
    <row r="95" spans="1:20">
      <c r="A95" s="100" t="s">
        <v>214</v>
      </c>
      <c r="B95" s="100" t="s">
        <v>215</v>
      </c>
      <c r="C95" s="100" t="s">
        <v>98</v>
      </c>
      <c r="D95" s="100">
        <v>1</v>
      </c>
      <c r="E95" s="100">
        <v>700</v>
      </c>
      <c r="F95" s="99">
        <v>0.30959999999999999</v>
      </c>
      <c r="G95" s="4">
        <f>(E95*12)*F95</f>
        <v>2600.64</v>
      </c>
      <c r="H95" s="100">
        <v>184</v>
      </c>
      <c r="I95" s="99">
        <v>0.30959999999999999</v>
      </c>
      <c r="J95" s="100">
        <v>42</v>
      </c>
      <c r="K95" s="100">
        <v>252</v>
      </c>
      <c r="L95">
        <f>K95-J95</f>
        <v>210</v>
      </c>
      <c r="M95">
        <f>H95-J95</f>
        <v>142</v>
      </c>
      <c r="N95" s="112">
        <f>((0.8*M95))/(L95)+0.1</f>
        <v>0.64095238095238094</v>
      </c>
      <c r="O95" s="108">
        <f>I95</f>
        <v>0.30959999999999999</v>
      </c>
      <c r="P95" s="63">
        <v>148.90543393521543</v>
      </c>
      <c r="Q95" s="113">
        <f>0.1+0.8*(P95-J95)/(K95-J95)</f>
        <v>0.50725879594367784</v>
      </c>
      <c r="R95" s="113">
        <f>($Q$2*Q95)+$R$2</f>
        <v>0.44912587084615069</v>
      </c>
      <c r="S95" s="63">
        <f>365*P95*R95</f>
        <v>24410.208181805319</v>
      </c>
      <c r="T95" s="65">
        <f>S95*(1-$T$1)</f>
        <v>17087.145727263724</v>
      </c>
    </row>
    <row r="96" spans="1:20">
      <c r="A96" s="100" t="s">
        <v>216</v>
      </c>
      <c r="B96" s="100" t="s">
        <v>215</v>
      </c>
      <c r="C96" s="100" t="s">
        <v>98</v>
      </c>
      <c r="D96" s="100">
        <v>2</v>
      </c>
      <c r="E96" s="100">
        <v>1000</v>
      </c>
      <c r="F96" s="99">
        <v>0.24110000000000001</v>
      </c>
      <c r="G96" s="4">
        <f>(E96*12)*F96</f>
        <v>2893.2000000000003</v>
      </c>
      <c r="H96" s="100">
        <v>427</v>
      </c>
      <c r="I96" s="99">
        <v>0.24110000000000001</v>
      </c>
      <c r="J96" s="100">
        <v>94</v>
      </c>
      <c r="K96" s="100">
        <v>531</v>
      </c>
      <c r="L96">
        <f>K96-J96</f>
        <v>437</v>
      </c>
      <c r="M96">
        <f>H96-J96</f>
        <v>333</v>
      </c>
      <c r="N96" s="112">
        <f>((0.8*M96))/(L96)+0.1</f>
        <v>0.70961098398169342</v>
      </c>
      <c r="O96" s="108">
        <f>I96</f>
        <v>0.24110000000000001</v>
      </c>
      <c r="P96" s="63">
        <v>313.16511734673406</v>
      </c>
      <c r="Q96" s="113">
        <f>0.1+0.8*(P96-J96)/(K96-J96)</f>
        <v>0.50121760612674426</v>
      </c>
      <c r="R96" s="113">
        <f>($Q$2*Q96)+$R$2</f>
        <v>0.45390896924300056</v>
      </c>
      <c r="S96" s="63">
        <f>365*P96*R96</f>
        <v>51884.186300467576</v>
      </c>
      <c r="T96" s="65">
        <f>S96*(1-$T$1)</f>
        <v>36318.930410327303</v>
      </c>
    </row>
    <row r="97" spans="1:20">
      <c r="A97" s="100" t="s">
        <v>217</v>
      </c>
      <c r="B97" s="100" t="s">
        <v>215</v>
      </c>
      <c r="C97" s="100" t="s">
        <v>107</v>
      </c>
      <c r="D97" s="100">
        <v>1</v>
      </c>
      <c r="E97" s="100">
        <v>900</v>
      </c>
      <c r="F97" s="99">
        <v>4.6600000000000003E-2</v>
      </c>
      <c r="G97" s="4">
        <f>(E97*12)*F97</f>
        <v>503.28000000000003</v>
      </c>
      <c r="H97" s="100">
        <v>418</v>
      </c>
      <c r="I97" s="99">
        <v>4.6600000000000003E-2</v>
      </c>
      <c r="J97" s="100">
        <v>86</v>
      </c>
      <c r="K97" s="100">
        <v>488</v>
      </c>
      <c r="L97">
        <f>K97-J97</f>
        <v>402</v>
      </c>
      <c r="M97">
        <f>H97-J97</f>
        <v>332</v>
      </c>
      <c r="N97" s="112">
        <f>((0.8*M97))/(L97)+0.1</f>
        <v>0.76069651741293531</v>
      </c>
      <c r="O97" s="108">
        <f>I97</f>
        <v>4.6600000000000003E-2</v>
      </c>
      <c r="P97" s="63">
        <v>287.84754496169813</v>
      </c>
      <c r="Q97" s="113">
        <f>0.1+0.8*(P97-J97)/(K97-J97)</f>
        <v>0.50168665664019541</v>
      </c>
      <c r="R97" s="113">
        <f>($Q$2*Q97)+$R$2</f>
        <v>0.45353759955806844</v>
      </c>
      <c r="S97" s="63">
        <f>365*P97*R97</f>
        <v>47650.634871923285</v>
      </c>
      <c r="T97" s="65">
        <f>S97*(1-$T$1)</f>
        <v>33355.444410346296</v>
      </c>
    </row>
    <row r="98" spans="1:20">
      <c r="A98" s="100" t="s">
        <v>218</v>
      </c>
      <c r="B98" s="100" t="s">
        <v>215</v>
      </c>
      <c r="C98" s="100" t="s">
        <v>107</v>
      </c>
      <c r="D98" s="100">
        <v>2</v>
      </c>
      <c r="E98" s="100">
        <v>1200</v>
      </c>
      <c r="F98" s="99">
        <v>0.63560000000000005</v>
      </c>
      <c r="G98" s="4">
        <f>(E98*12)*F98</f>
        <v>9152.6400000000012</v>
      </c>
      <c r="H98" s="100">
        <v>219</v>
      </c>
      <c r="I98" s="99">
        <v>0.63560000000000005</v>
      </c>
      <c r="J98" s="100">
        <v>83</v>
      </c>
      <c r="K98" s="100">
        <v>556</v>
      </c>
      <c r="L98">
        <f>K98-J98</f>
        <v>473</v>
      </c>
      <c r="M98">
        <f>H98-J98</f>
        <v>136</v>
      </c>
      <c r="N98" s="112">
        <f>((0.8*M98))/(L98)+0.1</f>
        <v>0.33002114164904867</v>
      </c>
      <c r="O98" s="108">
        <f>I98</f>
        <v>0.63560000000000005</v>
      </c>
      <c r="P98" s="63">
        <v>329.59176310169954</v>
      </c>
      <c r="Q98" s="113">
        <f>0.1+0.8*(P98-J98)/(K98-J98)</f>
        <v>0.51706852110224022</v>
      </c>
      <c r="R98" s="113">
        <f>($Q$2*Q98)+$R$2</f>
        <v>0.4413590431017323</v>
      </c>
      <c r="S98" s="63">
        <f>365*P98*R98</f>
        <v>53095.931389524318</v>
      </c>
      <c r="T98" s="65">
        <f>S98*(1-$T$1)</f>
        <v>37167.151972667023</v>
      </c>
    </row>
    <row r="99" spans="1:20">
      <c r="A99" s="100" t="s">
        <v>219</v>
      </c>
      <c r="B99" s="100" t="s">
        <v>220</v>
      </c>
      <c r="C99" s="100" t="s">
        <v>98</v>
      </c>
      <c r="D99" s="100">
        <v>1</v>
      </c>
      <c r="E99" s="100">
        <v>1100</v>
      </c>
      <c r="F99" s="99">
        <v>0.43009999999999998</v>
      </c>
      <c r="G99" s="4">
        <f>(E99*12)*F99</f>
        <v>5677.32</v>
      </c>
      <c r="H99" s="100">
        <v>220</v>
      </c>
      <c r="I99" s="99">
        <v>0.43009999999999998</v>
      </c>
      <c r="J99" s="100">
        <v>84</v>
      </c>
      <c r="K99" s="100">
        <v>301</v>
      </c>
      <c r="L99">
        <f>K99-J99</f>
        <v>217</v>
      </c>
      <c r="M99">
        <f>H99-J99</f>
        <v>136</v>
      </c>
      <c r="N99" s="112">
        <f>((0.8*M99))/(L99)+0.1</f>
        <v>0.60138248847926268</v>
      </c>
      <c r="O99" s="108">
        <f>I99</f>
        <v>0.43009999999999998</v>
      </c>
      <c r="P99" s="63">
        <v>174.16894889972264</v>
      </c>
      <c r="Q99" s="113">
        <f>0.1+0.8*(P99-J99)/(K99-J99)</f>
        <v>0.43242008810957655</v>
      </c>
      <c r="R99" s="113">
        <f>($Q$2*Q99)+$R$2</f>
        <v>0.50837924879170604</v>
      </c>
      <c r="S99" s="63">
        <f>365*P99*R99</f>
        <v>32318.515982635941</v>
      </c>
      <c r="T99" s="65">
        <f>S99*(1-$T$1)</f>
        <v>22622.961187845158</v>
      </c>
    </row>
    <row r="100" spans="1:20">
      <c r="A100" s="100" t="s">
        <v>221</v>
      </c>
      <c r="B100" s="100" t="s">
        <v>220</v>
      </c>
      <c r="C100" s="100" t="s">
        <v>98</v>
      </c>
      <c r="D100" s="100">
        <v>2</v>
      </c>
      <c r="E100" s="100">
        <v>1400</v>
      </c>
      <c r="F100" s="99">
        <v>0.38080000000000003</v>
      </c>
      <c r="G100" s="4">
        <f>(E100*12)*F100</f>
        <v>6397.4400000000005</v>
      </c>
      <c r="H100" s="100">
        <v>481</v>
      </c>
      <c r="I100" s="99">
        <v>0.38080000000000003</v>
      </c>
      <c r="J100" s="100">
        <v>134</v>
      </c>
      <c r="K100" s="100">
        <v>568</v>
      </c>
      <c r="L100">
        <f>K100-J100</f>
        <v>434</v>
      </c>
      <c r="M100">
        <f>H100-J100</f>
        <v>347</v>
      </c>
      <c r="N100" s="112">
        <f>((0.8*M100))/(L100)+0.1</f>
        <v>0.73963133640553003</v>
      </c>
      <c r="O100" s="108">
        <f>I100</f>
        <v>0.38080000000000003</v>
      </c>
      <c r="P100" s="63">
        <v>331.33789679946051</v>
      </c>
      <c r="Q100" s="113">
        <f>0.1+0.8*(P100-J100)/(K100-J100)</f>
        <v>0.46375649179624057</v>
      </c>
      <c r="R100" s="113">
        <f>($Q$2*Q100)+$R$2</f>
        <v>0.48356872192883671</v>
      </c>
      <c r="S100" s="63">
        <f>365*P100*R100</f>
        <v>58481.994797894928</v>
      </c>
      <c r="T100" s="65">
        <f>S100*(1-$T$1)</f>
        <v>40937.39635852645</v>
      </c>
    </row>
    <row r="101" spans="1:20">
      <c r="A101" s="100" t="s">
        <v>222</v>
      </c>
      <c r="B101" s="100" t="s">
        <v>220</v>
      </c>
      <c r="C101" s="100" t="s">
        <v>107</v>
      </c>
      <c r="D101" s="100">
        <v>1</v>
      </c>
      <c r="E101" s="100">
        <v>1300</v>
      </c>
      <c r="F101" s="99">
        <v>0.45750000000000002</v>
      </c>
      <c r="G101" s="4">
        <f>(E101*12)*F101</f>
        <v>7137</v>
      </c>
      <c r="H101" s="100">
        <v>280</v>
      </c>
      <c r="I101" s="99">
        <v>0.45750000000000002</v>
      </c>
      <c r="J101" s="100">
        <v>109</v>
      </c>
      <c r="K101" s="100">
        <v>615</v>
      </c>
      <c r="L101">
        <f>K101-J101</f>
        <v>506</v>
      </c>
      <c r="M101">
        <f>H101-J101</f>
        <v>171</v>
      </c>
      <c r="N101" s="112">
        <f>((0.8*M101))/(L101)+0.1</f>
        <v>0.37035573122529653</v>
      </c>
      <c r="O101" s="108">
        <f>I101</f>
        <v>0.45750000000000002</v>
      </c>
      <c r="P101" s="63">
        <v>362.69118843437627</v>
      </c>
      <c r="Q101" s="113">
        <f>0.1+0.8*(P101-J101)/(K101-J101)</f>
        <v>0.50109278803853963</v>
      </c>
      <c r="R101" s="113">
        <f>($Q$2*Q101)+$R$2</f>
        <v>0.45400779368250349</v>
      </c>
      <c r="S101" s="63">
        <f>365*P101*R101</f>
        <v>60102.588580949348</v>
      </c>
      <c r="T101" s="65">
        <f>S101*(1-$T$1)</f>
        <v>42071.812006664542</v>
      </c>
    </row>
    <row r="102" spans="1:20">
      <c r="A102" s="100" t="s">
        <v>223</v>
      </c>
      <c r="B102" s="100" t="s">
        <v>220</v>
      </c>
      <c r="C102" s="100" t="s">
        <v>107</v>
      </c>
      <c r="D102" s="100">
        <v>2</v>
      </c>
      <c r="E102" s="100">
        <v>1900</v>
      </c>
      <c r="F102" s="99">
        <v>0.189</v>
      </c>
      <c r="G102" s="4">
        <f>(E102*12)*F102</f>
        <v>4309.2</v>
      </c>
      <c r="H102" s="100">
        <v>568</v>
      </c>
      <c r="I102" s="99">
        <v>0.189</v>
      </c>
      <c r="J102" s="100">
        <v>227</v>
      </c>
      <c r="K102" s="100">
        <v>861</v>
      </c>
      <c r="L102">
        <f>K102-J102</f>
        <v>634</v>
      </c>
      <c r="M102">
        <f>H102-J102</f>
        <v>341</v>
      </c>
      <c r="N102" s="112">
        <f>((0.8*M102))/(L102)+0.1</f>
        <v>0.53028391167192435</v>
      </c>
      <c r="O102" s="108">
        <f>I102</f>
        <v>0.189</v>
      </c>
      <c r="P102" s="63">
        <v>499.6525981602407</v>
      </c>
      <c r="Q102" s="113">
        <f>0.1+0.8*(P102-J102)/(K102-J102)</f>
        <v>0.44404113332522488</v>
      </c>
      <c r="R102" s="113">
        <f>($Q$2*Q102)+$R$2</f>
        <v>0.49917831248196076</v>
      </c>
      <c r="S102" s="63">
        <f>365*P102*R102</f>
        <v>91036.745383552523</v>
      </c>
      <c r="T102" s="65">
        <f>S102*(1-$T$1)</f>
        <v>63725.721768486765</v>
      </c>
    </row>
    <row r="103" spans="1:20">
      <c r="A103" s="100" t="s">
        <v>224</v>
      </c>
      <c r="B103" s="100" t="s">
        <v>225</v>
      </c>
      <c r="C103" s="100" t="s">
        <v>98</v>
      </c>
      <c r="D103" s="100">
        <v>1</v>
      </c>
      <c r="E103" s="100">
        <v>900</v>
      </c>
      <c r="F103" s="99">
        <v>0.29039999999999999</v>
      </c>
      <c r="G103" s="4">
        <f>(E103*12)*F103</f>
        <v>3136.3199999999997</v>
      </c>
      <c r="H103" s="100">
        <v>318</v>
      </c>
      <c r="I103" s="99">
        <v>0.29039999999999999</v>
      </c>
      <c r="J103" s="100">
        <v>176</v>
      </c>
      <c r="K103" s="100">
        <v>440</v>
      </c>
      <c r="L103">
        <f>K103-J103</f>
        <v>264</v>
      </c>
      <c r="M103">
        <f>H103-J103</f>
        <v>142</v>
      </c>
      <c r="N103" s="112">
        <f>((0.8*M103))/(L103)+0.1</f>
        <v>0.53030303030303039</v>
      </c>
      <c r="O103" s="108">
        <f>I103</f>
        <v>0.29039999999999999</v>
      </c>
      <c r="P103" s="63">
        <v>248.79540272391367</v>
      </c>
      <c r="Q103" s="113">
        <f>0.1+0.8*(P103-J103)/(K103-J103)</f>
        <v>0.32059212946640503</v>
      </c>
      <c r="R103" s="113">
        <f>($Q$2*Q103)+$R$2</f>
        <v>0.59691878254544695</v>
      </c>
      <c r="S103" s="63">
        <f>365*P103*R103</f>
        <v>54206.386847354894</v>
      </c>
      <c r="T103" s="65">
        <f>S103*(1-$T$1)</f>
        <v>37944.470793148423</v>
      </c>
    </row>
    <row r="104" spans="1:20">
      <c r="A104" s="100" t="s">
        <v>226</v>
      </c>
      <c r="B104" s="100" t="s">
        <v>199</v>
      </c>
      <c r="C104" s="100" t="s">
        <v>107</v>
      </c>
      <c r="D104" s="100">
        <v>2</v>
      </c>
      <c r="E104" s="100">
        <v>2800</v>
      </c>
      <c r="F104" s="99">
        <v>0.29859999999999998</v>
      </c>
      <c r="G104" s="4">
        <f>(E104*12)*F104</f>
        <v>10032.959999999999</v>
      </c>
      <c r="H104" s="100">
        <v>556</v>
      </c>
      <c r="I104" s="99">
        <v>0.29859999999999998</v>
      </c>
      <c r="J104" s="100">
        <v>191</v>
      </c>
      <c r="K104" s="100">
        <v>826</v>
      </c>
      <c r="L104">
        <f>K104-J104</f>
        <v>635</v>
      </c>
      <c r="M104">
        <f>H104-J104</f>
        <v>365</v>
      </c>
      <c r="N104" s="112">
        <f>((0.8*M104))/(L104)+0.1</f>
        <v>0.5598425196850394</v>
      </c>
      <c r="O104" s="108">
        <f>I104</f>
        <v>0.29859999999999998</v>
      </c>
      <c r="P104" s="63">
        <v>482.26166928029426</v>
      </c>
      <c r="Q104" s="113">
        <f>0.1+0.8*(P104-J104)/(K104-J104)</f>
        <v>0.46694383531375661</v>
      </c>
      <c r="R104" s="113">
        <f>($Q$2*Q104)+$R$2</f>
        <v>0.48104514989570712</v>
      </c>
      <c r="S104" s="63">
        <f>365*P104*R104</f>
        <v>84676.217500580984</v>
      </c>
      <c r="T104" s="65">
        <f>S104*(1-$T$1)</f>
        <v>59273.352250406686</v>
      </c>
    </row>
    <row r="105" spans="1:20">
      <c r="A105" s="100" t="s">
        <v>227</v>
      </c>
      <c r="B105" s="100" t="s">
        <v>225</v>
      </c>
      <c r="C105" s="100" t="s">
        <v>98</v>
      </c>
      <c r="D105" s="100">
        <v>2</v>
      </c>
      <c r="E105" s="100">
        <v>1100</v>
      </c>
      <c r="F105" s="99">
        <v>0.58079999999999998</v>
      </c>
      <c r="G105" s="4">
        <f>(E105*12)*F105</f>
        <v>7666.5599999999995</v>
      </c>
      <c r="H105" s="100">
        <v>538</v>
      </c>
      <c r="I105" s="99">
        <v>0.58079999999999998</v>
      </c>
      <c r="J105" s="100">
        <v>225</v>
      </c>
      <c r="K105" s="100">
        <v>1033</v>
      </c>
      <c r="L105">
        <f>K105-J105</f>
        <v>808</v>
      </c>
      <c r="M105">
        <f>H105-J105</f>
        <v>313</v>
      </c>
      <c r="N105" s="112">
        <f>((0.8*M105))/(L105)+0.1</f>
        <v>0.40990099009900993</v>
      </c>
      <c r="O105" s="108">
        <f>I105</f>
        <v>0.58079999999999998</v>
      </c>
      <c r="P105" s="63">
        <v>604.63138390311474</v>
      </c>
      <c r="Q105" s="113">
        <f>0.1+0.8*(P105-J105)/(K105-J105)</f>
        <v>0.47587265732981665</v>
      </c>
      <c r="R105" s="113">
        <f>($Q$2*Q105)+$R$2</f>
        <v>0.4739757752253293</v>
      </c>
      <c r="S105" s="63">
        <f>365*P105*R105</f>
        <v>104601.92955253051</v>
      </c>
      <c r="T105" s="65">
        <f>S105*(1-$T$1)</f>
        <v>73221.350686771344</v>
      </c>
    </row>
    <row r="106" spans="1:20">
      <c r="A106" s="100" t="s">
        <v>228</v>
      </c>
      <c r="B106" s="100" t="s">
        <v>225</v>
      </c>
      <c r="C106" s="100" t="s">
        <v>107</v>
      </c>
      <c r="D106" s="100">
        <v>1</v>
      </c>
      <c r="E106" s="100">
        <v>1300</v>
      </c>
      <c r="F106" s="99">
        <v>0.39179999999999998</v>
      </c>
      <c r="G106" s="4">
        <f>(E106*12)*F106</f>
        <v>6112.08</v>
      </c>
      <c r="H106" s="100">
        <v>318</v>
      </c>
      <c r="I106" s="99">
        <v>0.39179999999999998</v>
      </c>
      <c r="J106" s="100">
        <v>157</v>
      </c>
      <c r="K106" s="100">
        <v>471</v>
      </c>
      <c r="L106">
        <f>K106-J106</f>
        <v>314</v>
      </c>
      <c r="M106">
        <f>H106-J106</f>
        <v>161</v>
      </c>
      <c r="N106" s="112">
        <f>((0.8*M106))/(L106)+0.1</f>
        <v>0.51019108280254777</v>
      </c>
      <c r="O106" s="108">
        <f>I106</f>
        <v>0.39179999999999998</v>
      </c>
      <c r="P106" s="63">
        <v>269.74907740691702</v>
      </c>
      <c r="Q106" s="113">
        <f>0.1+0.8*(P106-J106)/(K106-J106)</f>
        <v>0.38725879594118984</v>
      </c>
      <c r="R106" s="113">
        <f>($Q$2*Q106)+$R$2</f>
        <v>0.54413559989406601</v>
      </c>
      <c r="S106" s="63">
        <f>365*P106*R106</f>
        <v>53574.727760324531</v>
      </c>
      <c r="T106" s="65">
        <f>S106*(1-$T$1)</f>
        <v>37502.309432227172</v>
      </c>
    </row>
    <row r="107" spans="1:20">
      <c r="A107" s="100" t="s">
        <v>229</v>
      </c>
      <c r="B107" s="100" t="s">
        <v>225</v>
      </c>
      <c r="C107" s="100" t="s">
        <v>107</v>
      </c>
      <c r="D107" s="100">
        <v>2</v>
      </c>
      <c r="E107" s="100">
        <v>1600</v>
      </c>
      <c r="F107" s="99">
        <v>0.38629999999999998</v>
      </c>
      <c r="G107" s="4">
        <f>(E107*12)*F107</f>
        <v>7416.9599999999991</v>
      </c>
      <c r="H107" s="100">
        <v>680</v>
      </c>
      <c r="I107" s="99">
        <v>0.38629999999999998</v>
      </c>
      <c r="J107" s="100">
        <v>253</v>
      </c>
      <c r="K107" s="100">
        <v>886</v>
      </c>
      <c r="L107">
        <f>K107-J107</f>
        <v>633</v>
      </c>
      <c r="M107">
        <f>H107-J107</f>
        <v>427</v>
      </c>
      <c r="N107" s="112">
        <f>((0.8*M107))/(L107)+0.1</f>
        <v>0.63965244865718796</v>
      </c>
      <c r="O107" s="108">
        <f>I107</f>
        <v>0.38629999999999998</v>
      </c>
      <c r="P107" s="63">
        <v>512.04352229043525</v>
      </c>
      <c r="Q107" s="113">
        <f>0.1+0.8*(P107-J107)/(K107-J107)</f>
        <v>0.4273851782501551</v>
      </c>
      <c r="R107" s="113">
        <f>($Q$2*Q107)+$R$2</f>
        <v>0.51236562730432589</v>
      </c>
      <c r="S107" s="63">
        <f>365*P107*R107</f>
        <v>95759.02768449123</v>
      </c>
      <c r="T107" s="65">
        <f>S107*(1-$T$1)</f>
        <v>67031.319379143853</v>
      </c>
    </row>
    <row r="108" spans="1:20">
      <c r="A108" s="100" t="s">
        <v>230</v>
      </c>
      <c r="B108" s="100" t="s">
        <v>231</v>
      </c>
      <c r="C108" s="100" t="s">
        <v>98</v>
      </c>
      <c r="D108" s="100">
        <v>1</v>
      </c>
      <c r="E108" s="100">
        <v>1400</v>
      </c>
      <c r="F108" s="99">
        <v>0.48770000000000002</v>
      </c>
      <c r="G108" s="4">
        <f>(E108*12)*F108</f>
        <v>8193.36</v>
      </c>
      <c r="H108" s="100">
        <v>202</v>
      </c>
      <c r="I108" s="99">
        <v>0.48770000000000002</v>
      </c>
      <c r="J108" s="100">
        <v>76</v>
      </c>
      <c r="K108" s="100">
        <v>342</v>
      </c>
      <c r="L108">
        <f>K108-J108</f>
        <v>266</v>
      </c>
      <c r="M108">
        <f>H108-J108</f>
        <v>126</v>
      </c>
      <c r="N108" s="112">
        <f>((0.8*M108))/(L108)+0.1</f>
        <v>0.47894736842105268</v>
      </c>
      <c r="O108" s="108">
        <f>I108</f>
        <v>0.48770000000000002</v>
      </c>
      <c r="P108" s="63">
        <v>200.01354965127288</v>
      </c>
      <c r="Q108" s="113">
        <f>0.1+0.8*(P108-J108)/(K108-J108)</f>
        <v>0.47297308165796359</v>
      </c>
      <c r="R108" s="113">
        <f>($Q$2*Q108)+$R$2</f>
        <v>0.47627150771642074</v>
      </c>
      <c r="S108" s="63">
        <f>365*P108*R108</f>
        <v>34770.175522485595</v>
      </c>
      <c r="T108" s="65">
        <f>S108*(1-$T$1)</f>
        <v>24339.122865739915</v>
      </c>
    </row>
    <row r="109" spans="1:20">
      <c r="A109" s="100" t="s">
        <v>232</v>
      </c>
      <c r="B109" s="100" t="s">
        <v>231</v>
      </c>
      <c r="C109" s="100" t="s">
        <v>98</v>
      </c>
      <c r="D109" s="100">
        <v>2</v>
      </c>
      <c r="E109" s="100">
        <v>2000</v>
      </c>
      <c r="F109" s="99">
        <v>0.41099999999999998</v>
      </c>
      <c r="G109" s="4">
        <f>(E109*12)*F109</f>
        <v>9864</v>
      </c>
      <c r="H109" s="100">
        <v>579</v>
      </c>
      <c r="I109" s="99">
        <v>0.41099999999999998</v>
      </c>
      <c r="J109" s="100">
        <v>107</v>
      </c>
      <c r="K109" s="100">
        <v>781</v>
      </c>
      <c r="L109">
        <f>K109-J109</f>
        <v>674</v>
      </c>
      <c r="M109">
        <f>H109-J109</f>
        <v>472</v>
      </c>
      <c r="N109" s="112">
        <f>((0.8*M109))/(L109)+0.1</f>
        <v>0.66023738872403559</v>
      </c>
      <c r="O109" s="108">
        <f>I109</f>
        <v>0.41099999999999998</v>
      </c>
      <c r="P109" s="63">
        <v>464.01553440525493</v>
      </c>
      <c r="Q109" s="113">
        <f>0.1+0.8*(P109-J109)/(K109-J109)</f>
        <v>0.52375731086677146</v>
      </c>
      <c r="R109" s="113">
        <f>($Q$2*Q109)+$R$2</f>
        <v>0.4360632089086206</v>
      </c>
      <c r="S109" s="63">
        <f>365*P109*R109</f>
        <v>73854.137564414428</v>
      </c>
      <c r="T109" s="65">
        <f>S109*(1-$T$1)</f>
        <v>51697.896295090097</v>
      </c>
    </row>
    <row r="110" spans="1:20">
      <c r="A110" s="100" t="s">
        <v>233</v>
      </c>
      <c r="B110" s="100" t="s">
        <v>231</v>
      </c>
      <c r="C110" s="100" t="s">
        <v>107</v>
      </c>
      <c r="D110" s="100">
        <v>1</v>
      </c>
      <c r="E110" s="100">
        <v>1700</v>
      </c>
      <c r="F110" s="99">
        <v>0.50409999999999999</v>
      </c>
      <c r="G110" s="4">
        <f>(E110*12)*F110</f>
        <v>10283.64</v>
      </c>
      <c r="H110" s="100">
        <v>524</v>
      </c>
      <c r="I110" s="99">
        <v>0.50409999999999999</v>
      </c>
      <c r="J110" s="100">
        <v>162</v>
      </c>
      <c r="K110" s="100">
        <v>614</v>
      </c>
      <c r="L110">
        <f>K110-J110</f>
        <v>452</v>
      </c>
      <c r="M110">
        <f>H110-J110</f>
        <v>362</v>
      </c>
      <c r="N110" s="112">
        <f>((0.8*M110))/(L110)+0.1</f>
        <v>0.74070796460176991</v>
      </c>
      <c r="O110" s="108">
        <f>I110</f>
        <v>0.50409999999999999</v>
      </c>
      <c r="P110" s="63">
        <v>356.30122020817799</v>
      </c>
      <c r="Q110" s="113">
        <f>0.1+0.8*(P110-J110)/(K110-J110)</f>
        <v>0.44389596497022654</v>
      </c>
      <c r="R110" s="113">
        <f>($Q$2*Q110)+$R$2</f>
        <v>0.49929324919924772</v>
      </c>
      <c r="S110" s="63">
        <f>365*P110*R110</f>
        <v>64933.05978496022</v>
      </c>
      <c r="T110" s="65">
        <f>S110*(1-$T$1)</f>
        <v>45453.141849472151</v>
      </c>
    </row>
    <row r="111" spans="1:20">
      <c r="A111" s="100" t="s">
        <v>234</v>
      </c>
      <c r="B111" s="100" t="s">
        <v>231</v>
      </c>
      <c r="C111" s="100" t="s">
        <v>107</v>
      </c>
      <c r="D111" s="100">
        <v>2</v>
      </c>
      <c r="E111" s="100">
        <v>2500</v>
      </c>
      <c r="F111" s="99">
        <v>0.2767</v>
      </c>
      <c r="G111" s="4">
        <f>(E111*12)*F111</f>
        <v>8301</v>
      </c>
      <c r="H111" s="100">
        <v>560</v>
      </c>
      <c r="I111" s="99">
        <v>0.2767</v>
      </c>
      <c r="J111" s="100">
        <v>158</v>
      </c>
      <c r="K111" s="100">
        <v>906</v>
      </c>
      <c r="L111">
        <f>K111-J111</f>
        <v>748</v>
      </c>
      <c r="M111">
        <f>H111-J111</f>
        <v>402</v>
      </c>
      <c r="N111" s="112">
        <f>((0.8*M111))/(L111)+0.1</f>
        <v>0.5299465240641712</v>
      </c>
      <c r="O111" s="108">
        <f>I111</f>
        <v>0.2767</v>
      </c>
      <c r="P111" s="63">
        <v>534.5869742073387</v>
      </c>
      <c r="Q111" s="113">
        <f>0.1+0.8*(P111-J111)/(K111-J111)</f>
        <v>0.50276681733405215</v>
      </c>
      <c r="R111" s="113">
        <f>($Q$2*Q111)+$R$2</f>
        <v>0.45268238476765665</v>
      </c>
      <c r="S111" s="63">
        <f>365*P111*R111</f>
        <v>88329.308817714889</v>
      </c>
      <c r="T111" s="65">
        <f>S111*(1-$T$1)</f>
        <v>61830.516172400421</v>
      </c>
    </row>
    <row r="112" spans="1:20">
      <c r="A112" s="100" t="s">
        <v>235</v>
      </c>
      <c r="B112" s="100" t="s">
        <v>236</v>
      </c>
      <c r="C112" s="100" t="s">
        <v>98</v>
      </c>
      <c r="D112" s="100">
        <v>1</v>
      </c>
      <c r="E112" s="100">
        <v>1800</v>
      </c>
      <c r="F112" s="99">
        <v>0.32879999999999998</v>
      </c>
      <c r="G112" s="4">
        <f>(E112*12)*F112</f>
        <v>7102.08</v>
      </c>
      <c r="H112" s="100">
        <v>362</v>
      </c>
      <c r="I112" s="99">
        <v>0.32879999999999998</v>
      </c>
      <c r="J112" s="100">
        <v>199</v>
      </c>
      <c r="K112" s="100">
        <v>432</v>
      </c>
      <c r="L112">
        <f>K112-J112</f>
        <v>233</v>
      </c>
      <c r="M112">
        <f>H112-J112</f>
        <v>163</v>
      </c>
      <c r="N112" s="112">
        <f>((0.8*M112))/(L112)+0.1</f>
        <v>0.65965665236051507</v>
      </c>
      <c r="O112" s="108">
        <f>I112</f>
        <v>0.32879999999999998</v>
      </c>
      <c r="P112" s="63">
        <v>241.41412431859629</v>
      </c>
      <c r="Q112" s="113">
        <f>0.1+0.8*(P112-J112)/(K112-J112)</f>
        <v>0.24562789465612461</v>
      </c>
      <c r="R112" s="113">
        <f>($Q$2*Q112)+$R$2</f>
        <v>0.65627154619095829</v>
      </c>
      <c r="S112" s="63">
        <f>365*P112*R112</f>
        <v>57828.125533199011</v>
      </c>
      <c r="T112" s="65">
        <f>S112*(1-$T$1)</f>
        <v>40479.687873239302</v>
      </c>
    </row>
    <row r="113" spans="1:20">
      <c r="A113" s="100" t="s">
        <v>237</v>
      </c>
      <c r="B113" s="100" t="s">
        <v>236</v>
      </c>
      <c r="C113" s="100" t="s">
        <v>98</v>
      </c>
      <c r="D113" s="100">
        <v>2</v>
      </c>
      <c r="E113" s="100">
        <v>2600</v>
      </c>
      <c r="F113" s="99">
        <v>0.53149999999999997</v>
      </c>
      <c r="G113" s="4">
        <f>(E113*12)*F113</f>
        <v>16582.8</v>
      </c>
      <c r="H113" s="100">
        <v>417</v>
      </c>
      <c r="I113" s="99">
        <v>0.53149999999999997</v>
      </c>
      <c r="J113" s="100">
        <v>366</v>
      </c>
      <c r="K113" s="100">
        <v>594</v>
      </c>
      <c r="L113">
        <f>K113-J113</f>
        <v>228</v>
      </c>
      <c r="M113">
        <f>H113-J113</f>
        <v>51</v>
      </c>
      <c r="N113" s="112">
        <f>((0.8*M113))/(L113)+0.1</f>
        <v>0.27894736842105267</v>
      </c>
      <c r="O113" s="108">
        <f>I113</f>
        <v>0.53149999999999997</v>
      </c>
      <c r="P113" s="63">
        <v>366</v>
      </c>
      <c r="Q113" s="113">
        <f>0.1+0.8*(P113-J113)/(K113-J113)</f>
        <v>0.1</v>
      </c>
      <c r="R113" s="113">
        <f>($Q$2*Q113)+$R$2</f>
        <v>0.77157210296437406</v>
      </c>
      <c r="S113" s="63">
        <f>365*P113*R113</f>
        <v>103074.31723501073</v>
      </c>
      <c r="T113" s="65">
        <f>S113*(1-$T$1)</f>
        <v>72152.022064507502</v>
      </c>
    </row>
    <row r="114" spans="1:20">
      <c r="A114" s="100" t="s">
        <v>238</v>
      </c>
      <c r="B114" s="100" t="s">
        <v>236</v>
      </c>
      <c r="C114" s="100" t="s">
        <v>107</v>
      </c>
      <c r="D114" s="100">
        <v>1</v>
      </c>
      <c r="E114" s="100">
        <v>2500</v>
      </c>
      <c r="F114" s="99">
        <v>0.4274</v>
      </c>
      <c r="G114" s="4">
        <f>(E114*12)*F114</f>
        <v>12822</v>
      </c>
      <c r="H114" s="100">
        <v>474</v>
      </c>
      <c r="I114" s="99">
        <v>0.4274</v>
      </c>
      <c r="J114" s="100">
        <v>333</v>
      </c>
      <c r="K114" s="100">
        <v>665</v>
      </c>
      <c r="L114">
        <f>K114-J114</f>
        <v>332</v>
      </c>
      <c r="M114">
        <f>H114-J114</f>
        <v>141</v>
      </c>
      <c r="N114" s="112">
        <f>((0.8*M114))/(L114)+0.1</f>
        <v>0.43975903614457834</v>
      </c>
      <c r="O114" s="108">
        <f>I114</f>
        <v>0.4274</v>
      </c>
      <c r="P114" s="63">
        <v>368.71240031662637</v>
      </c>
      <c r="Q114" s="113">
        <f>0.1+0.8*(P114-J114)/(K114-J114)</f>
        <v>0.18605397666656959</v>
      </c>
      <c r="R114" s="113">
        <f>($Q$2*Q114)+$R$2</f>
        <v>0.70343906124423328</v>
      </c>
      <c r="S114" s="63">
        <f>365*P114*R114</f>
        <v>94668.84723295999</v>
      </c>
      <c r="T114" s="65">
        <f>S114*(1-$T$1)</f>
        <v>66268.193063071987</v>
      </c>
    </row>
    <row r="115" spans="1:20">
      <c r="A115" s="100" t="s">
        <v>239</v>
      </c>
      <c r="B115" s="100" t="s">
        <v>97</v>
      </c>
      <c r="C115" s="100" t="s">
        <v>107</v>
      </c>
      <c r="D115" s="100">
        <v>1</v>
      </c>
      <c r="E115" s="100">
        <v>1500</v>
      </c>
      <c r="F115" s="99">
        <v>0.24110000000000001</v>
      </c>
      <c r="G115" s="4">
        <f>(E115*12)*F115</f>
        <v>4339.8</v>
      </c>
      <c r="H115" s="100">
        <v>146</v>
      </c>
      <c r="I115" s="99">
        <v>0.24110000000000001</v>
      </c>
      <c r="J115" s="100">
        <v>81</v>
      </c>
      <c r="K115" s="100">
        <v>205</v>
      </c>
      <c r="L115">
        <f>K115-J115</f>
        <v>124</v>
      </c>
      <c r="M115">
        <f>H115-J115</f>
        <v>65</v>
      </c>
      <c r="N115" s="112">
        <f>((0.8*M115))/(L115)+0.1</f>
        <v>0.51935483870967747</v>
      </c>
      <c r="O115" s="108">
        <f>I115</f>
        <v>0.24110000000000001</v>
      </c>
      <c r="P115" s="63">
        <v>116.02511337126995</v>
      </c>
      <c r="Q115" s="113">
        <f>0.1+0.8*(P115-J115)/(K115-J115)</f>
        <v>0.32596847336303197</v>
      </c>
      <c r="R115" s="113">
        <f>($Q$2*Q115)+$R$2</f>
        <v>0.59266207440481067</v>
      </c>
      <c r="S115" s="63">
        <f>365*P115*R115</f>
        <v>25098.744796389619</v>
      </c>
      <c r="T115" s="65">
        <f>S115*(1-$T$1)</f>
        <v>17569.121357472734</v>
      </c>
    </row>
    <row r="116" spans="1:20">
      <c r="A116" s="100" t="s">
        <v>240</v>
      </c>
      <c r="B116" s="100" t="s">
        <v>199</v>
      </c>
      <c r="C116" s="100" t="s">
        <v>98</v>
      </c>
      <c r="D116" s="100">
        <v>1</v>
      </c>
      <c r="E116" s="100">
        <v>1700</v>
      </c>
      <c r="F116" s="99">
        <v>0.41099999999999998</v>
      </c>
      <c r="G116" s="4">
        <f>(E116*12)*F116</f>
        <v>8384.4</v>
      </c>
      <c r="H116" s="100">
        <v>312</v>
      </c>
      <c r="I116" s="99">
        <v>0.41099999999999998</v>
      </c>
      <c r="J116" s="100">
        <v>106</v>
      </c>
      <c r="K116" s="100">
        <v>465</v>
      </c>
      <c r="L116">
        <f>K116-J116</f>
        <v>359</v>
      </c>
      <c r="M116">
        <f>H116-J116</f>
        <v>206</v>
      </c>
      <c r="N116" s="112">
        <f>((0.8*M116))/(L116)+0.1</f>
        <v>0.55905292479108637</v>
      </c>
      <c r="O116" s="108">
        <f>I116</f>
        <v>0.41099999999999998</v>
      </c>
      <c r="P116" s="63">
        <v>271.65738474222553</v>
      </c>
      <c r="Q116" s="113">
        <f>0.1+0.8*(P116-J116)/(K116-J116)</f>
        <v>0.4691529465007811</v>
      </c>
      <c r="R116" s="113">
        <f>($Q$2*Q116)+$R$2</f>
        <v>0.47929609110144411</v>
      </c>
      <c r="S116" s="63">
        <f>365*P116*R116</f>
        <v>47524.577758413274</v>
      </c>
      <c r="T116" s="65">
        <f>S116*(1-$T$1)</f>
        <v>33267.204430889287</v>
      </c>
    </row>
    <row r="117" spans="1:20">
      <c r="A117" s="100" t="s">
        <v>241</v>
      </c>
      <c r="B117" s="100" t="s">
        <v>236</v>
      </c>
      <c r="C117" s="100" t="s">
        <v>107</v>
      </c>
      <c r="D117" s="100">
        <v>2</v>
      </c>
      <c r="E117" s="100">
        <v>3600</v>
      </c>
      <c r="F117" s="99">
        <v>0.39729999999999999</v>
      </c>
      <c r="G117" s="4">
        <f>(E117*12)*F117</f>
        <v>17163.36</v>
      </c>
      <c r="H117" s="100">
        <v>491</v>
      </c>
      <c r="I117" s="99">
        <v>0.39729999999999999</v>
      </c>
      <c r="J117" s="100">
        <v>336</v>
      </c>
      <c r="K117" s="100">
        <v>624</v>
      </c>
      <c r="L117">
        <f>K117-J117</f>
        <v>288</v>
      </c>
      <c r="M117">
        <f>H117-J117</f>
        <v>155</v>
      </c>
      <c r="N117" s="112">
        <f>((0.8*M117))/(L117)+0.1</f>
        <v>0.53055555555555556</v>
      </c>
      <c r="O117" s="108">
        <f>I117</f>
        <v>0.39729999999999999</v>
      </c>
      <c r="P117" s="63">
        <v>343.41316653972353</v>
      </c>
      <c r="Q117" s="113">
        <f>0.1+0.8*(P117-J117)/(K117-J117)</f>
        <v>0.12059212927700982</v>
      </c>
      <c r="R117" s="113">
        <f>($Q$2*Q117)+$R$2</f>
        <v>0.75526833110530911</v>
      </c>
      <c r="S117" s="63">
        <f>365*P117*R117</f>
        <v>94669.717547797001</v>
      </c>
      <c r="T117" s="65">
        <f>S117*(1-$T$1)</f>
        <v>66268.802283457902</v>
      </c>
    </row>
    <row r="118" spans="1:20">
      <c r="A118" s="100" t="s">
        <v>242</v>
      </c>
      <c r="B118" s="100" t="s">
        <v>243</v>
      </c>
      <c r="C118" s="100" t="s">
        <v>98</v>
      </c>
      <c r="D118" s="100">
        <v>1</v>
      </c>
      <c r="E118" s="100">
        <v>1200</v>
      </c>
      <c r="F118" s="99">
        <v>0.79730000000000001</v>
      </c>
      <c r="G118" s="4">
        <f>(E118*12)*F118</f>
        <v>11481.12</v>
      </c>
      <c r="H118" s="100">
        <v>204</v>
      </c>
      <c r="I118" s="99">
        <v>0.79730000000000001</v>
      </c>
      <c r="J118" s="100">
        <v>173</v>
      </c>
      <c r="K118" s="100">
        <v>395</v>
      </c>
      <c r="L118">
        <f>K118-J118</f>
        <v>222</v>
      </c>
      <c r="M118">
        <f>H118-J118</f>
        <v>31</v>
      </c>
      <c r="N118" s="112">
        <f>((0.8*M118))/(L118)+0.1</f>
        <v>0.21171171171171171</v>
      </c>
      <c r="O118" s="108">
        <f>I118</f>
        <v>0.79730000000000001</v>
      </c>
      <c r="P118" s="63">
        <v>221.71431587437064</v>
      </c>
      <c r="Q118" s="113">
        <f>0.1+0.8*(P118-J118)/(K118-J118)</f>
        <v>0.27554708423196628</v>
      </c>
      <c r="R118" s="113">
        <f>($Q$2*Q118)+$R$2</f>
        <v>0.63258309540033342</v>
      </c>
      <c r="S118" s="63">
        <f>365*P118*R118</f>
        <v>51192.245804087484</v>
      </c>
      <c r="T118" s="65">
        <f>S118*(1-$T$1)</f>
        <v>35834.57206286124</v>
      </c>
    </row>
    <row r="119" spans="1:20">
      <c r="A119" s="100" t="s">
        <v>244</v>
      </c>
      <c r="B119" s="100" t="s">
        <v>243</v>
      </c>
      <c r="C119" s="100" t="s">
        <v>98</v>
      </c>
      <c r="D119" s="100">
        <v>2</v>
      </c>
      <c r="E119" s="100">
        <v>1600</v>
      </c>
      <c r="F119" s="99">
        <v>0.68769999999999998</v>
      </c>
      <c r="G119" s="4">
        <f>(E119*12)*F119</f>
        <v>13203.84</v>
      </c>
      <c r="H119" s="100">
        <v>245</v>
      </c>
      <c r="I119" s="99">
        <v>0.68769999999999998</v>
      </c>
      <c r="J119" s="100">
        <v>228</v>
      </c>
      <c r="K119" s="100">
        <v>456</v>
      </c>
      <c r="L119">
        <f>K119-J119</f>
        <v>228</v>
      </c>
      <c r="M119">
        <f>H119-J119</f>
        <v>17</v>
      </c>
      <c r="N119" s="112">
        <f>((0.8*M119))/(L119)+0.1</f>
        <v>0.15964912280701754</v>
      </c>
      <c r="O119" s="108">
        <f>I119</f>
        <v>0.68769999999999998</v>
      </c>
      <c r="P119" s="63">
        <v>252.86875684394829</v>
      </c>
      <c r="Q119" s="113">
        <f>0.1+0.8*(P119-J119)/(K119-J119)</f>
        <v>0.18725879594367822</v>
      </c>
      <c r="R119" s="113">
        <f>($Q$2*Q119)+$R$2</f>
        <v>0.70248514830200481</v>
      </c>
      <c r="S119" s="63">
        <f>365*P119*R119</f>
        <v>64837.339345649583</v>
      </c>
      <c r="T119" s="65">
        <f>S119*(1-$T$1)</f>
        <v>45386.137541954704</v>
      </c>
    </row>
    <row r="120" spans="1:20">
      <c r="A120" s="100" t="s">
        <v>245</v>
      </c>
      <c r="B120" s="100" t="s">
        <v>243</v>
      </c>
      <c r="C120" s="100" t="s">
        <v>107</v>
      </c>
      <c r="D120" s="100">
        <v>1</v>
      </c>
      <c r="E120" s="100">
        <v>1000</v>
      </c>
      <c r="F120" s="99">
        <v>0.58899999999999997</v>
      </c>
      <c r="G120" s="4">
        <f>(E120*12)*F120</f>
        <v>7068</v>
      </c>
      <c r="H120" s="100">
        <v>197</v>
      </c>
      <c r="I120" s="99">
        <v>0.58899999999999997</v>
      </c>
      <c r="J120" s="100">
        <v>155</v>
      </c>
      <c r="K120" s="100">
        <v>252</v>
      </c>
      <c r="L120">
        <f>K120-J120</f>
        <v>97</v>
      </c>
      <c r="M120">
        <f>H120-J120</f>
        <v>42</v>
      </c>
      <c r="N120" s="112">
        <f>((0.8*M120))/(L120)+0.1</f>
        <v>0.44639175257731956</v>
      </c>
      <c r="O120" s="108">
        <f>I120</f>
        <v>0.58899999999999997</v>
      </c>
      <c r="P120" s="63">
        <v>155</v>
      </c>
      <c r="Q120" s="113">
        <f>0.1+0.8*(P120-J120)/(K120-J120)</f>
        <v>0.1</v>
      </c>
      <c r="R120" s="113">
        <f>($Q$2*Q120)+$R$2</f>
        <v>0.77157210296437406</v>
      </c>
      <c r="S120" s="63">
        <f>365*P120*R120</f>
        <v>43651.691725209464</v>
      </c>
      <c r="T120" s="65">
        <f>S120*(1-$T$1)</f>
        <v>30556.184207646624</v>
      </c>
    </row>
    <row r="121" spans="1:20">
      <c r="A121" s="100" t="s">
        <v>246</v>
      </c>
      <c r="B121" s="100" t="s">
        <v>243</v>
      </c>
      <c r="C121" s="100" t="s">
        <v>107</v>
      </c>
      <c r="D121" s="100">
        <v>2</v>
      </c>
      <c r="E121" s="100">
        <v>1500</v>
      </c>
      <c r="F121" s="99">
        <v>0.61919999999999997</v>
      </c>
      <c r="G121" s="4">
        <f>(E121*12)*F121</f>
        <v>11145.6</v>
      </c>
      <c r="H121" s="100">
        <v>195</v>
      </c>
      <c r="I121" s="99">
        <v>0.61919999999999997</v>
      </c>
      <c r="J121" s="100">
        <v>158</v>
      </c>
      <c r="K121" s="100">
        <v>236</v>
      </c>
      <c r="L121">
        <f>K121-J121</f>
        <v>78</v>
      </c>
      <c r="M121">
        <f>H121-J121</f>
        <v>37</v>
      </c>
      <c r="N121" s="112">
        <f>((0.8*M121))/(L121)+0.1</f>
        <v>0.47948717948717956</v>
      </c>
      <c r="O121" s="108">
        <f>I121</f>
        <v>0.61919999999999997</v>
      </c>
      <c r="P121" s="63">
        <v>158</v>
      </c>
      <c r="Q121" s="113">
        <f>0.1+0.8*(P121-J121)/(K121-J121)</f>
        <v>0.1</v>
      </c>
      <c r="R121" s="113">
        <f>($Q$2*Q121)+$R$2</f>
        <v>0.77157210296437406</v>
      </c>
      <c r="S121" s="63">
        <f>365*P121*R121</f>
        <v>44496.563177955453</v>
      </c>
      <c r="T121" s="65">
        <f>S121*(1-$T$1)</f>
        <v>31147.594224568817</v>
      </c>
    </row>
    <row r="122" spans="1:20">
      <c r="A122" s="100" t="s">
        <v>247</v>
      </c>
      <c r="B122" s="100" t="s">
        <v>248</v>
      </c>
      <c r="C122" s="100" t="s">
        <v>98</v>
      </c>
      <c r="D122" s="100">
        <v>1</v>
      </c>
      <c r="E122" s="100">
        <v>750</v>
      </c>
      <c r="F122" s="99">
        <v>0.45479999999999998</v>
      </c>
      <c r="G122" s="4">
        <f>(E122*12)*F122</f>
        <v>4093.2</v>
      </c>
      <c r="H122" s="100">
        <v>124</v>
      </c>
      <c r="I122" s="99">
        <v>0.45479999999999998</v>
      </c>
      <c r="J122" s="100">
        <v>89</v>
      </c>
      <c r="K122" s="100">
        <v>155</v>
      </c>
      <c r="L122">
        <f>K122-J122</f>
        <v>66</v>
      </c>
      <c r="M122">
        <f>H122-J122</f>
        <v>35</v>
      </c>
      <c r="N122" s="112">
        <f>((0.8*M122))/(L122)+0.1</f>
        <v>0.52424242424242429</v>
      </c>
      <c r="O122" s="108">
        <f>I122</f>
        <v>0.45479999999999998</v>
      </c>
      <c r="P122" s="63">
        <v>89</v>
      </c>
      <c r="Q122" s="113">
        <f>0.1+0.8*(P122-J122)/(K122-J122)</f>
        <v>0.1</v>
      </c>
      <c r="R122" s="113">
        <f>($Q$2*Q122)+$R$2</f>
        <v>0.77157210296437406</v>
      </c>
      <c r="S122" s="63">
        <f>365*P122*R122</f>
        <v>25064.519764797693</v>
      </c>
      <c r="T122" s="65">
        <f>S122*(1-$T$1)</f>
        <v>17545.163835358384</v>
      </c>
    </row>
    <row r="123" spans="1:20">
      <c r="A123" s="100" t="s">
        <v>249</v>
      </c>
      <c r="B123" s="100" t="s">
        <v>248</v>
      </c>
      <c r="C123" s="100" t="s">
        <v>98</v>
      </c>
      <c r="D123" s="100">
        <v>2</v>
      </c>
      <c r="E123" s="100">
        <v>1040</v>
      </c>
      <c r="F123" s="99">
        <v>0.48770000000000002</v>
      </c>
      <c r="G123" s="4">
        <f>(E123*12)*F123</f>
        <v>6086.4960000000001</v>
      </c>
      <c r="H123" s="100">
        <v>156</v>
      </c>
      <c r="I123" s="99">
        <v>0.48770000000000002</v>
      </c>
      <c r="J123" s="100">
        <v>115</v>
      </c>
      <c r="K123" s="100">
        <v>179</v>
      </c>
      <c r="L123">
        <f>K123-J123</f>
        <v>64</v>
      </c>
      <c r="M123">
        <f>H123-J123</f>
        <v>41</v>
      </c>
      <c r="N123" s="112">
        <f>((0.8*M123))/(L123)+0.1</f>
        <v>0.61250000000000004</v>
      </c>
      <c r="O123" s="108">
        <f>I123</f>
        <v>0.48770000000000002</v>
      </c>
      <c r="P123" s="63">
        <v>115</v>
      </c>
      <c r="Q123" s="113">
        <f>0.1+0.8*(P123-J123)/(K123-J123)</f>
        <v>0.1</v>
      </c>
      <c r="R123" s="113">
        <f>($Q$2*Q123)+$R$2</f>
        <v>0.77157210296437406</v>
      </c>
      <c r="S123" s="63">
        <f>365*P123*R123</f>
        <v>32386.739021929603</v>
      </c>
      <c r="T123" s="65">
        <f>S123*(1-$T$1)</f>
        <v>22670.717315350721</v>
      </c>
    </row>
    <row r="124" spans="1:20">
      <c r="A124" s="100" t="s">
        <v>250</v>
      </c>
      <c r="B124" s="100" t="s">
        <v>248</v>
      </c>
      <c r="C124" s="100" t="s">
        <v>107</v>
      </c>
      <c r="D124" s="100">
        <v>1</v>
      </c>
      <c r="E124" s="100">
        <v>900</v>
      </c>
      <c r="F124" s="99">
        <v>0.47949999999999998</v>
      </c>
      <c r="G124" s="4">
        <f>(E124*12)*F124</f>
        <v>5178.5999999999995</v>
      </c>
      <c r="H124" s="100">
        <v>256</v>
      </c>
      <c r="I124" s="99">
        <v>0.47949999999999998</v>
      </c>
      <c r="J124" s="100">
        <v>152</v>
      </c>
      <c r="K124" s="100">
        <v>300</v>
      </c>
      <c r="L124">
        <f>K124-J124</f>
        <v>148</v>
      </c>
      <c r="M124">
        <f>H124-J124</f>
        <v>104</v>
      </c>
      <c r="N124" s="112">
        <f>((0.8*M124))/(L124)+0.1</f>
        <v>0.66216216216216217</v>
      </c>
      <c r="O124" s="108">
        <f>I124</f>
        <v>0.47949999999999998</v>
      </c>
      <c r="P124" s="63">
        <v>166.1428772495801</v>
      </c>
      <c r="Q124" s="113">
        <f>0.1+0.8*(P124-J124)/(K124-J124)</f>
        <v>0.17644798513286541</v>
      </c>
      <c r="R124" s="113">
        <f>($Q$2*Q124)+$R$2</f>
        <v>0.7110445833511907</v>
      </c>
      <c r="S124" s="63">
        <f>365*P124*R124</f>
        <v>43119.272419703928</v>
      </c>
      <c r="T124" s="65">
        <f>S124*(1-$T$1)</f>
        <v>30183.490693792748</v>
      </c>
    </row>
    <row r="125" spans="1:20">
      <c r="A125" s="100" t="s">
        <v>251</v>
      </c>
      <c r="B125" s="100" t="s">
        <v>248</v>
      </c>
      <c r="C125" s="100" t="s">
        <v>107</v>
      </c>
      <c r="D125" s="100">
        <v>2</v>
      </c>
      <c r="E125" s="100">
        <v>1400</v>
      </c>
      <c r="F125" s="99">
        <v>0.49320000000000003</v>
      </c>
      <c r="G125" s="4">
        <f>(E125*12)*F125</f>
        <v>8285.76</v>
      </c>
      <c r="H125" s="100">
        <v>284</v>
      </c>
      <c r="I125" s="99">
        <v>0.49320000000000003</v>
      </c>
      <c r="J125" s="100">
        <v>175</v>
      </c>
      <c r="K125" s="100">
        <v>368</v>
      </c>
      <c r="L125">
        <f>K125-J125</f>
        <v>193</v>
      </c>
      <c r="M125">
        <f>H125-J125</f>
        <v>109</v>
      </c>
      <c r="N125" s="112">
        <f>((0.8*M125))/(L125)+0.1</f>
        <v>0.55181347150259075</v>
      </c>
      <c r="O125" s="108">
        <f>I125</f>
        <v>0.49320000000000003</v>
      </c>
      <c r="P125" s="63">
        <v>205.05118452141247</v>
      </c>
      <c r="Q125" s="113">
        <f>0.1+0.8*(P125-J125)/(K125-J125)</f>
        <v>0.22456449542554391</v>
      </c>
      <c r="R125" s="113">
        <f>($Q$2*Q125)+$R$2</f>
        <v>0.67294844497165873</v>
      </c>
      <c r="S125" s="63">
        <f>365*P125*R125</f>
        <v>50365.939653597627</v>
      </c>
      <c r="T125" s="65">
        <f>S125*(1-$T$1)</f>
        <v>35256.157757518333</v>
      </c>
    </row>
    <row r="126" spans="1:20">
      <c r="A126" s="100" t="s">
        <v>252</v>
      </c>
      <c r="B126" s="100" t="s">
        <v>253</v>
      </c>
      <c r="C126" s="100" t="s">
        <v>98</v>
      </c>
      <c r="D126" s="100">
        <v>1</v>
      </c>
      <c r="E126" s="100">
        <v>825</v>
      </c>
      <c r="F126" s="99">
        <v>0.36159999999999998</v>
      </c>
      <c r="G126" s="4">
        <f>(E126*12)*F126</f>
        <v>3579.8399999999997</v>
      </c>
      <c r="H126" s="100">
        <v>128</v>
      </c>
      <c r="I126" s="99">
        <v>0.36159999999999998</v>
      </c>
      <c r="J126" s="100">
        <v>77</v>
      </c>
      <c r="K126" s="100">
        <v>161</v>
      </c>
      <c r="L126">
        <f>K126-J126</f>
        <v>84</v>
      </c>
      <c r="M126">
        <f>H126-J126</f>
        <v>51</v>
      </c>
      <c r="N126" s="112">
        <f>((0.8*M126))/(L126)+0.1</f>
        <v>0.58571428571428574</v>
      </c>
      <c r="O126" s="108">
        <f>I126</f>
        <v>0.36159999999999998</v>
      </c>
      <c r="P126" s="63">
        <v>89.662173574086125</v>
      </c>
      <c r="Q126" s="113">
        <f>0.1+0.8*(P126-J126)/(K126-J126)</f>
        <v>0.22059212927701072</v>
      </c>
      <c r="R126" s="113">
        <f>($Q$2*Q126)+$R$2</f>
        <v>0.67609355690035389</v>
      </c>
      <c r="S126" s="63">
        <f>365*P126*R126</f>
        <v>22126.306515659093</v>
      </c>
      <c r="T126" s="65">
        <f>S126*(1-$T$1)</f>
        <v>15488.414560961364</v>
      </c>
    </row>
    <row r="127" spans="1:20">
      <c r="A127" s="100" t="s">
        <v>254</v>
      </c>
      <c r="B127" s="100" t="s">
        <v>255</v>
      </c>
      <c r="C127" s="100" t="s">
        <v>98</v>
      </c>
      <c r="D127" s="100">
        <v>2</v>
      </c>
      <c r="E127" s="100">
        <v>2700</v>
      </c>
      <c r="F127" s="99">
        <v>0.4219</v>
      </c>
      <c r="G127" s="4">
        <f>(E127*12)*F127</f>
        <v>13669.56</v>
      </c>
      <c r="H127" s="100">
        <v>337</v>
      </c>
      <c r="I127" s="99">
        <v>0.4219</v>
      </c>
      <c r="J127" s="100">
        <v>157</v>
      </c>
      <c r="K127" s="100">
        <v>526</v>
      </c>
      <c r="L127">
        <f>K127-J127</f>
        <v>369</v>
      </c>
      <c r="M127">
        <f>H127-J127</f>
        <v>180</v>
      </c>
      <c r="N127" s="112">
        <f>((0.8*M127))/(L127)+0.1</f>
        <v>0.49024390243902438</v>
      </c>
      <c r="O127" s="108">
        <f>I127</f>
        <v>0.4219</v>
      </c>
      <c r="P127" s="63">
        <v>303.24811962902152</v>
      </c>
      <c r="Q127" s="113">
        <f>0.1+0.8*(P127-J127)/(K127-J127)</f>
        <v>0.41706909404665915</v>
      </c>
      <c r="R127" s="113">
        <f>($Q$2*Q127)+$R$2</f>
        <v>0.52053336367923686</v>
      </c>
      <c r="S127" s="63">
        <f>365*P127*R127</f>
        <v>57615.528765062838</v>
      </c>
      <c r="T127" s="65">
        <f>S127*(1-$T$1)</f>
        <v>40330.870135543984</v>
      </c>
    </row>
    <row r="128" spans="1:20">
      <c r="A128" s="100" t="s">
        <v>256</v>
      </c>
      <c r="B128" s="100" t="s">
        <v>253</v>
      </c>
      <c r="C128" s="100" t="s">
        <v>98</v>
      </c>
      <c r="D128" s="100">
        <v>2</v>
      </c>
      <c r="E128" s="100">
        <v>1300</v>
      </c>
      <c r="F128" s="99">
        <v>0.74250000000000005</v>
      </c>
      <c r="G128" s="4">
        <f>(E128*12)*F128</f>
        <v>11583</v>
      </c>
      <c r="H128" s="100">
        <v>139</v>
      </c>
      <c r="I128" s="99">
        <v>0.74250000000000005</v>
      </c>
      <c r="J128" s="100">
        <v>125</v>
      </c>
      <c r="K128" s="100">
        <v>170</v>
      </c>
      <c r="L128">
        <f>K128-J128</f>
        <v>45</v>
      </c>
      <c r="M128">
        <f>H128-J128</f>
        <v>14</v>
      </c>
      <c r="N128" s="112">
        <f>((0.8*M128))/(L128)+0.1</f>
        <v>0.34888888888888892</v>
      </c>
      <c r="O128" s="108">
        <f>I128</f>
        <v>0.74250000000000005</v>
      </c>
      <c r="P128" s="63">
        <v>125</v>
      </c>
      <c r="Q128" s="113">
        <f>0.1+0.8*(P128-J128)/(K128-J128)</f>
        <v>0.1</v>
      </c>
      <c r="R128" s="113">
        <f>($Q$2*Q128)+$R$2</f>
        <v>0.77157210296437406</v>
      </c>
      <c r="S128" s="63">
        <f>365*P128*R128</f>
        <v>35202.977197749569</v>
      </c>
      <c r="T128" s="65">
        <f>S128*(1-$T$1)</f>
        <v>24642.084038424699</v>
      </c>
    </row>
    <row r="129" spans="1:20">
      <c r="A129" s="100" t="s">
        <v>257</v>
      </c>
      <c r="B129" s="100" t="s">
        <v>253</v>
      </c>
      <c r="C129" s="100" t="s">
        <v>107</v>
      </c>
      <c r="D129" s="100">
        <v>1</v>
      </c>
      <c r="E129" s="100">
        <v>1000</v>
      </c>
      <c r="F129" s="99">
        <v>0.36990000000000001</v>
      </c>
      <c r="G129" s="4">
        <f>(E129*12)*F129</f>
        <v>4438.8</v>
      </c>
      <c r="H129" s="100">
        <v>240</v>
      </c>
      <c r="I129" s="99">
        <v>0.36990000000000001</v>
      </c>
      <c r="J129" s="100">
        <v>140</v>
      </c>
      <c r="K129" s="100">
        <v>288</v>
      </c>
      <c r="L129">
        <f>K129-J129</f>
        <v>148</v>
      </c>
      <c r="M129">
        <f>H129-J129</f>
        <v>100</v>
      </c>
      <c r="N129" s="112">
        <f>((0.8*M129))/(L129)+0.1</f>
        <v>0.64054054054054055</v>
      </c>
      <c r="O129" s="108">
        <f>I129</f>
        <v>0.36990000000000001</v>
      </c>
      <c r="P129" s="63">
        <v>160.14287724958047</v>
      </c>
      <c r="Q129" s="113">
        <f>0.1+0.8*(P129-J129)/(K129-J129)</f>
        <v>0.20888041756529979</v>
      </c>
      <c r="R129" s="113">
        <f>($Q$2*Q129)+$R$2</f>
        <v>0.68536627820363627</v>
      </c>
      <c r="S129" s="63">
        <f>365*P129*R129</f>
        <v>40061.132632898858</v>
      </c>
      <c r="T129" s="65">
        <f>S129*(1-$T$1)</f>
        <v>28042.792843029198</v>
      </c>
    </row>
    <row r="130" spans="1:20">
      <c r="A130" s="100" t="s">
        <v>258</v>
      </c>
      <c r="B130" s="100" t="s">
        <v>253</v>
      </c>
      <c r="C130" s="100" t="s">
        <v>107</v>
      </c>
      <c r="D130" s="100">
        <v>2</v>
      </c>
      <c r="E130" s="100">
        <v>1480</v>
      </c>
      <c r="F130" s="99">
        <v>0.44109999999999999</v>
      </c>
      <c r="G130" s="4">
        <f>(E130*12)*F130</f>
        <v>7833.9359999999997</v>
      </c>
      <c r="H130" s="100">
        <v>249</v>
      </c>
      <c r="I130" s="99">
        <v>0.44109999999999999</v>
      </c>
      <c r="J130" s="100">
        <v>175</v>
      </c>
      <c r="K130" s="100">
        <v>310</v>
      </c>
      <c r="L130">
        <f>K130-J130</f>
        <v>135</v>
      </c>
      <c r="M130">
        <f>H130-J130</f>
        <v>74</v>
      </c>
      <c r="N130" s="112">
        <f>((0.8*M130))/(L130)+0.1</f>
        <v>0.53851851851851851</v>
      </c>
      <c r="O130" s="108">
        <f>I130</f>
        <v>0.44109999999999999</v>
      </c>
      <c r="P130" s="63">
        <v>175</v>
      </c>
      <c r="Q130" s="113">
        <f>0.1+0.8*(P130-J130)/(K130-J130)</f>
        <v>0.1</v>
      </c>
      <c r="R130" s="113">
        <f>($Q$2*Q130)+$R$2</f>
        <v>0.77157210296437406</v>
      </c>
      <c r="S130" s="63">
        <f>365*P130*R130</f>
        <v>49284.16807684939</v>
      </c>
      <c r="T130" s="65">
        <f>S130*(1-$T$1)</f>
        <v>34498.917653794568</v>
      </c>
    </row>
    <row r="131" spans="1:20">
      <c r="A131" s="100" t="s">
        <v>259</v>
      </c>
      <c r="B131" s="100" t="s">
        <v>260</v>
      </c>
      <c r="C131" s="100" t="s">
        <v>98</v>
      </c>
      <c r="D131" s="100">
        <v>1</v>
      </c>
      <c r="E131" s="100">
        <v>650</v>
      </c>
      <c r="F131" s="99">
        <v>0.47949999999999998</v>
      </c>
      <c r="G131" s="4">
        <f>(E131*12)*F131</f>
        <v>3740.1</v>
      </c>
      <c r="H131" s="100">
        <v>107</v>
      </c>
      <c r="I131" s="99">
        <v>0.47949999999999998</v>
      </c>
      <c r="J131" s="100">
        <v>80</v>
      </c>
      <c r="K131" s="100">
        <v>156</v>
      </c>
      <c r="L131">
        <f>K131-J131</f>
        <v>76</v>
      </c>
      <c r="M131">
        <f>H131-J131</f>
        <v>27</v>
      </c>
      <c r="N131" s="112">
        <f>((0.8*M131))/(L131)+0.1</f>
        <v>0.38421052631578945</v>
      </c>
      <c r="O131" s="108">
        <f>I131</f>
        <v>0.47949999999999998</v>
      </c>
      <c r="P131" s="63">
        <v>86.289585614649383</v>
      </c>
      <c r="Q131" s="113">
        <f>0.1+0.8*(P131-J131)/(K131-J131)</f>
        <v>0.16620616436473035</v>
      </c>
      <c r="R131" s="113">
        <f>($Q$2*Q131)+$R$2</f>
        <v>0.71915352181883774</v>
      </c>
      <c r="S131" s="63">
        <f>365*P131*R131</f>
        <v>22650.242677738075</v>
      </c>
      <c r="T131" s="65">
        <f>S131*(1-$T$1)</f>
        <v>15855.169874416652</v>
      </c>
    </row>
    <row r="132" spans="1:20">
      <c r="A132" s="100" t="s">
        <v>261</v>
      </c>
      <c r="B132" s="100" t="s">
        <v>260</v>
      </c>
      <c r="C132" s="100" t="s">
        <v>98</v>
      </c>
      <c r="D132" s="100">
        <v>2</v>
      </c>
      <c r="E132" s="100">
        <v>920</v>
      </c>
      <c r="F132" s="99">
        <v>0.41370000000000001</v>
      </c>
      <c r="G132" s="4">
        <f>(E132*12)*F132</f>
        <v>4567.2480000000005</v>
      </c>
      <c r="H132" s="100">
        <v>147</v>
      </c>
      <c r="I132" s="99">
        <v>0.41370000000000001</v>
      </c>
      <c r="J132" s="100">
        <v>108</v>
      </c>
      <c r="K132" s="100">
        <v>205</v>
      </c>
      <c r="L132">
        <f>K132-J132</f>
        <v>97</v>
      </c>
      <c r="M132">
        <f>H132-J132</f>
        <v>39</v>
      </c>
      <c r="N132" s="112">
        <f>((0.8*M132))/(L132)+0.1</f>
        <v>0.42164948453608253</v>
      </c>
      <c r="O132" s="108">
        <f>I132</f>
        <v>0.41370000000000001</v>
      </c>
      <c r="P132" s="63">
        <v>113.08012900817093</v>
      </c>
      <c r="Q132" s="113">
        <f>0.1+0.8*(P132-J132)/(K132-J132)</f>
        <v>0.14189797120140973</v>
      </c>
      <c r="R132" s="113">
        <f>($Q$2*Q132)+$R$2</f>
        <v>0.73839947886920099</v>
      </c>
      <c r="S132" s="63">
        <f>365*P132*R132</f>
        <v>30476.882540484832</v>
      </c>
      <c r="T132" s="65">
        <f>S132*(1-$T$1)</f>
        <v>21333.81777833938</v>
      </c>
    </row>
    <row r="133" spans="1:20">
      <c r="A133" s="100" t="s">
        <v>262</v>
      </c>
      <c r="B133" s="100" t="s">
        <v>260</v>
      </c>
      <c r="C133" s="100" t="s">
        <v>107</v>
      </c>
      <c r="D133" s="100">
        <v>1</v>
      </c>
      <c r="E133" s="100">
        <v>880</v>
      </c>
      <c r="F133" s="99">
        <v>0.44379999999999997</v>
      </c>
      <c r="G133" s="4">
        <f>(E133*12)*F133</f>
        <v>4686.5279999999993</v>
      </c>
      <c r="H133" s="100">
        <v>246</v>
      </c>
      <c r="I133" s="99">
        <v>0.44379999999999997</v>
      </c>
      <c r="J133" s="100">
        <v>145</v>
      </c>
      <c r="K133" s="100">
        <v>333</v>
      </c>
      <c r="L133">
        <f>K133-J133</f>
        <v>188</v>
      </c>
      <c r="M133">
        <f>H133-J133</f>
        <v>101</v>
      </c>
      <c r="N133" s="112">
        <f>((0.8*M133))/(L133)+0.1</f>
        <v>0.52978723404255323</v>
      </c>
      <c r="O133" s="108">
        <f>I133</f>
        <v>0.44379999999999997</v>
      </c>
      <c r="P133" s="63">
        <v>187.00581679676432</v>
      </c>
      <c r="Q133" s="113">
        <f>0.1+0.8*(P133-J133)/(K133-J133)</f>
        <v>0.27874815658197583</v>
      </c>
      <c r="R133" s="113">
        <f>($Q$2*Q133)+$R$2</f>
        <v>0.63004865359507611</v>
      </c>
      <c r="S133" s="63">
        <f>365*P133*R133</f>
        <v>43005.308526845824</v>
      </c>
      <c r="T133" s="65">
        <f>S133*(1-$T$1)</f>
        <v>30103.715968792076</v>
      </c>
    </row>
    <row r="134" spans="1:20">
      <c r="A134" s="100" t="s">
        <v>263</v>
      </c>
      <c r="B134" s="100" t="s">
        <v>260</v>
      </c>
      <c r="C134" s="100" t="s">
        <v>107</v>
      </c>
      <c r="D134" s="100">
        <v>2</v>
      </c>
      <c r="E134" s="100">
        <v>1200</v>
      </c>
      <c r="F134" s="99">
        <v>0.61919999999999997</v>
      </c>
      <c r="G134" s="4">
        <f>(E134*12)*F134</f>
        <v>8916.48</v>
      </c>
      <c r="H134" s="100">
        <v>169</v>
      </c>
      <c r="I134" s="99">
        <v>0.61919999999999997</v>
      </c>
      <c r="J134" s="100">
        <v>160</v>
      </c>
      <c r="K134" s="100">
        <v>310</v>
      </c>
      <c r="L134">
        <f>K134-J134</f>
        <v>150</v>
      </c>
      <c r="M134">
        <f>H134-J134</f>
        <v>9</v>
      </c>
      <c r="N134" s="112">
        <f>((0.8*M134))/(L134)+0.1</f>
        <v>0.14800000000000002</v>
      </c>
      <c r="O134" s="108">
        <f>I134</f>
        <v>0.61919999999999997</v>
      </c>
      <c r="P134" s="63">
        <v>171.36102423943947</v>
      </c>
      <c r="Q134" s="113">
        <f>0.1+0.8*(P134-J134)/(K134-J134)</f>
        <v>0.16059212927701053</v>
      </c>
      <c r="R134" s="113">
        <f>($Q$2*Q134)+$R$2</f>
        <v>0.72359842142332675</v>
      </c>
      <c r="S134" s="63">
        <f>365*P134*R134</f>
        <v>45258.746821097135</v>
      </c>
      <c r="T134" s="65">
        <f>S134*(1-$T$1)</f>
        <v>31681.122774767991</v>
      </c>
    </row>
    <row r="135" spans="1:20">
      <c r="A135" s="100" t="s">
        <v>264</v>
      </c>
      <c r="B135" s="100" t="s">
        <v>265</v>
      </c>
      <c r="C135" s="100" t="s">
        <v>98</v>
      </c>
      <c r="D135" s="100">
        <v>1</v>
      </c>
      <c r="E135" s="100">
        <v>1000</v>
      </c>
      <c r="F135" s="99">
        <v>0.54790000000000005</v>
      </c>
      <c r="G135" s="4">
        <f>(E135*12)*F135</f>
        <v>6574.8000000000011</v>
      </c>
      <c r="H135" s="100">
        <v>174</v>
      </c>
      <c r="I135" s="99">
        <v>0.54790000000000005</v>
      </c>
      <c r="J135" s="100">
        <v>95</v>
      </c>
      <c r="K135" s="100">
        <v>280</v>
      </c>
      <c r="L135">
        <f>K135-J135</f>
        <v>185</v>
      </c>
      <c r="M135">
        <f>H135-J135</f>
        <v>79</v>
      </c>
      <c r="N135" s="112">
        <f>((0.8*M135))/(L135)+0.1</f>
        <v>0.44162162162162166</v>
      </c>
      <c r="O135" s="108">
        <f>I135</f>
        <v>0.54790000000000005</v>
      </c>
      <c r="P135" s="63">
        <v>160.1785974417364</v>
      </c>
      <c r="Q135" s="113">
        <f>0.1+0.8*(P135-J135)/(K135-J135)</f>
        <v>0.38185339434264387</v>
      </c>
      <c r="R135" s="113">
        <f>($Q$2*Q135)+$R$2</f>
        <v>0.5484153144045858</v>
      </c>
      <c r="S135" s="63">
        <f>365*P135*R135</f>
        <v>32063.204495066839</v>
      </c>
      <c r="T135" s="65">
        <f>S135*(1-$T$1)</f>
        <v>22444.243146546785</v>
      </c>
    </row>
    <row r="136" spans="1:20">
      <c r="A136" s="100" t="s">
        <v>266</v>
      </c>
      <c r="B136" s="100" t="s">
        <v>265</v>
      </c>
      <c r="C136" s="100" t="s">
        <v>98</v>
      </c>
      <c r="D136" s="100">
        <v>2</v>
      </c>
      <c r="E136" s="100">
        <v>1200</v>
      </c>
      <c r="F136" s="99">
        <v>0.2712</v>
      </c>
      <c r="G136" s="4">
        <f>(E136*12)*F136</f>
        <v>3905.2799999999997</v>
      </c>
      <c r="H136" s="100">
        <v>203</v>
      </c>
      <c r="I136" s="99">
        <v>0.2712</v>
      </c>
      <c r="J136" s="100">
        <v>125</v>
      </c>
      <c r="K136" s="100">
        <v>277</v>
      </c>
      <c r="L136">
        <f>K136-J136</f>
        <v>152</v>
      </c>
      <c r="M136">
        <f>H136-J136</f>
        <v>78</v>
      </c>
      <c r="N136" s="112">
        <f>((0.8*M136))/(L136)+0.1</f>
        <v>0.51052631578947372</v>
      </c>
      <c r="O136" s="108">
        <f>I136</f>
        <v>0.2712</v>
      </c>
      <c r="P136" s="63">
        <v>155.07917122929882</v>
      </c>
      <c r="Q136" s="113">
        <f>0.1+0.8*(P136-J136)/(K136-J136)</f>
        <v>0.25831142752262537</v>
      </c>
      <c r="R136" s="113">
        <f>($Q$2*Q136)+$R$2</f>
        <v>0.64622938768269522</v>
      </c>
      <c r="S136" s="63">
        <f>365*P136*R136</f>
        <v>36579.102021035113</v>
      </c>
      <c r="T136" s="65">
        <f>S136*(1-$T$1)</f>
        <v>25605.371414724577</v>
      </c>
    </row>
    <row r="137" spans="1:20">
      <c r="A137" s="100" t="s">
        <v>267</v>
      </c>
      <c r="B137" s="100" t="s">
        <v>265</v>
      </c>
      <c r="C137" s="100" t="s">
        <v>107</v>
      </c>
      <c r="D137" s="100">
        <v>1</v>
      </c>
      <c r="E137" s="100">
        <v>1400</v>
      </c>
      <c r="F137" s="99">
        <v>0.76160000000000005</v>
      </c>
      <c r="G137" s="4">
        <f>(E137*12)*F137</f>
        <v>12794.880000000001</v>
      </c>
      <c r="H137" s="100">
        <v>240</v>
      </c>
      <c r="I137" s="99">
        <v>0.76160000000000005</v>
      </c>
      <c r="J137" s="100">
        <v>209</v>
      </c>
      <c r="K137" s="100">
        <v>384</v>
      </c>
      <c r="L137">
        <f>K137-J137</f>
        <v>175</v>
      </c>
      <c r="M137">
        <f>H137-J137</f>
        <v>31</v>
      </c>
      <c r="N137" s="112">
        <f>((0.8*M137))/(L137)+0.1</f>
        <v>0.24171428571428571</v>
      </c>
      <c r="O137" s="108">
        <f>I137</f>
        <v>0.76160000000000005</v>
      </c>
      <c r="P137" s="63">
        <v>211.08786161267889</v>
      </c>
      <c r="Q137" s="113">
        <f>0.1+0.8*(P137-J137)/(K137-J137)</f>
        <v>0.10954451022938923</v>
      </c>
      <c r="R137" s="113">
        <f>($Q$2*Q137)+$R$2</f>
        <v>0.76401525854128627</v>
      </c>
      <c r="S137" s="63">
        <f>365*P137*R137</f>
        <v>58865.13671520241</v>
      </c>
      <c r="T137" s="65">
        <f>S137*(1-$T$1)</f>
        <v>41205.595700641687</v>
      </c>
    </row>
    <row r="138" spans="1:20">
      <c r="A138" s="100" t="s">
        <v>268</v>
      </c>
      <c r="B138" s="100" t="s">
        <v>255</v>
      </c>
      <c r="C138" s="100" t="s">
        <v>107</v>
      </c>
      <c r="D138" s="100">
        <v>1</v>
      </c>
      <c r="E138" s="100">
        <v>2700</v>
      </c>
      <c r="F138" s="99">
        <v>0.51229999999999998</v>
      </c>
      <c r="G138" s="4">
        <f>(E138*12)*F138</f>
        <v>16598.52</v>
      </c>
      <c r="H138" s="100">
        <v>389</v>
      </c>
      <c r="I138" s="99">
        <v>0.51229999999999998</v>
      </c>
      <c r="J138" s="100">
        <v>202</v>
      </c>
      <c r="K138" s="100">
        <v>629</v>
      </c>
      <c r="L138">
        <f>K138-J138</f>
        <v>427</v>
      </c>
      <c r="M138">
        <f>H138-J138</f>
        <v>187</v>
      </c>
      <c r="N138" s="112">
        <f>((0.8*M138))/(L138)+0.1</f>
        <v>0.45035128805620606</v>
      </c>
      <c r="O138" s="108">
        <f>I138</f>
        <v>0.51229999999999998</v>
      </c>
      <c r="P138" s="63">
        <v>361.07438233493804</v>
      </c>
      <c r="Q138" s="113">
        <f>0.1+0.8*(P138-J138)/(K138-J138)</f>
        <v>0.39803162966733119</v>
      </c>
      <c r="R138" s="113">
        <f>($Q$2*Q138)+$R$2</f>
        <v>0.53560623311591837</v>
      </c>
      <c r="S138" s="63">
        <f>365*P138*R138</f>
        <v>70588.696775931661</v>
      </c>
      <c r="T138" s="65">
        <f>S138*(1-$T$1)</f>
        <v>49412.087743152159</v>
      </c>
    </row>
    <row r="139" spans="1:20">
      <c r="A139" s="100" t="s">
        <v>269</v>
      </c>
      <c r="B139" s="100" t="s">
        <v>265</v>
      </c>
      <c r="C139" s="100" t="s">
        <v>107</v>
      </c>
      <c r="D139" s="100">
        <v>2</v>
      </c>
      <c r="E139" s="100">
        <v>1600</v>
      </c>
      <c r="F139" s="99">
        <v>0.60819999999999996</v>
      </c>
      <c r="G139" s="4">
        <f>(E139*12)*F139</f>
        <v>11677.439999999999</v>
      </c>
      <c r="H139" s="100">
        <v>312</v>
      </c>
      <c r="I139" s="99">
        <v>0.60819999999999996</v>
      </c>
      <c r="J139" s="100">
        <v>220</v>
      </c>
      <c r="K139" s="100">
        <v>418</v>
      </c>
      <c r="L139">
        <f>K139-J139</f>
        <v>198</v>
      </c>
      <c r="M139">
        <f>H139-J139</f>
        <v>92</v>
      </c>
      <c r="N139" s="112">
        <f>((0.8*M139))/(L139)+0.1</f>
        <v>0.47171717171717176</v>
      </c>
      <c r="O139" s="108">
        <f>I139</f>
        <v>0.60819999999999996</v>
      </c>
      <c r="P139" s="63">
        <v>230.59655199606019</v>
      </c>
      <c r="Q139" s="113">
        <f>0.1+0.8*(P139-J139)/(K139-J139)</f>
        <v>0.14281435149923308</v>
      </c>
      <c r="R139" s="113">
        <f>($Q$2*Q139)+$R$2</f>
        <v>0.73767393683754068</v>
      </c>
      <c r="S139" s="63">
        <f>365*P139*R139</f>
        <v>62088.349211215173</v>
      </c>
      <c r="T139" s="65">
        <f>S139*(1-$T$1)</f>
        <v>43461.844447850621</v>
      </c>
    </row>
    <row r="140" spans="1:20">
      <c r="A140" s="100" t="s">
        <v>270</v>
      </c>
      <c r="B140" s="100" t="s">
        <v>271</v>
      </c>
      <c r="C140" s="100" t="s">
        <v>98</v>
      </c>
      <c r="D140" s="100">
        <v>1</v>
      </c>
      <c r="E140" s="100">
        <v>1105</v>
      </c>
      <c r="F140" s="99">
        <v>0.61099999999999999</v>
      </c>
      <c r="G140" s="4">
        <f>(E140*12)*F140</f>
        <v>8101.86</v>
      </c>
      <c r="H140" s="100">
        <v>111</v>
      </c>
      <c r="I140" s="99">
        <v>0.61099999999999999</v>
      </c>
      <c r="J140" s="100">
        <v>82</v>
      </c>
      <c r="K140" s="100">
        <v>235</v>
      </c>
      <c r="L140">
        <f>K140-J140</f>
        <v>153</v>
      </c>
      <c r="M140">
        <f>H140-J140</f>
        <v>29</v>
      </c>
      <c r="N140" s="112">
        <f>((0.8*M140))/(L140)+0.1</f>
        <v>0.25163398692810457</v>
      </c>
      <c r="O140" s="108">
        <f>I140</f>
        <v>0.61099999999999999</v>
      </c>
      <c r="P140" s="63">
        <v>134.18824472422844</v>
      </c>
      <c r="Q140" s="113">
        <f>0.1+0.8*(P140-J140)/(K140-J140)</f>
        <v>0.37287971097635786</v>
      </c>
      <c r="R140" s="113">
        <f>($Q$2*Q140)+$R$2</f>
        <v>0.55552020794771018</v>
      </c>
      <c r="S140" s="63">
        <f>365*P140*R140</f>
        <v>27208.662788869686</v>
      </c>
      <c r="T140" s="65">
        <f>S140*(1-$T$1)</f>
        <v>19046.06395220878</v>
      </c>
    </row>
    <row r="141" spans="1:20">
      <c r="A141" s="100" t="s">
        <v>272</v>
      </c>
      <c r="B141" s="100" t="s">
        <v>271</v>
      </c>
      <c r="C141" s="100" t="s">
        <v>98</v>
      </c>
      <c r="D141" s="100">
        <v>2</v>
      </c>
      <c r="E141" s="100">
        <v>1665</v>
      </c>
      <c r="F141" s="99">
        <v>0.30680000000000002</v>
      </c>
      <c r="G141" s="4">
        <f>(E141*12)*F141</f>
        <v>6129.8640000000005</v>
      </c>
      <c r="H141" s="100">
        <v>169</v>
      </c>
      <c r="I141" s="99">
        <v>0.30680000000000002</v>
      </c>
      <c r="J141" s="100">
        <v>130</v>
      </c>
      <c r="K141" s="100">
        <v>200</v>
      </c>
      <c r="L141">
        <f>K141-J141</f>
        <v>70</v>
      </c>
      <c r="M141">
        <f>H141-J141</f>
        <v>39</v>
      </c>
      <c r="N141" s="112">
        <f>((0.8*M141))/(L141)+0.1</f>
        <v>0.54571428571428571</v>
      </c>
      <c r="O141" s="108">
        <f>I141</f>
        <v>0.30680000000000002</v>
      </c>
      <c r="P141" s="63">
        <v>130</v>
      </c>
      <c r="Q141" s="113">
        <f>0.1+0.8*(P141-J141)/(K141-J141)</f>
        <v>0.1</v>
      </c>
      <c r="R141" s="113">
        <f>($Q$2*Q141)+$R$2</f>
        <v>0.77157210296437406</v>
      </c>
      <c r="S141" s="63">
        <f>365*P141*R141</f>
        <v>36611.096285659551</v>
      </c>
      <c r="T141" s="65">
        <f>S141*(1-$T$1)</f>
        <v>25627.767399961685</v>
      </c>
    </row>
    <row r="142" spans="1:20">
      <c r="A142" s="100" t="s">
        <v>273</v>
      </c>
      <c r="B142" s="100" t="s">
        <v>271</v>
      </c>
      <c r="C142" s="100" t="s">
        <v>107</v>
      </c>
      <c r="D142" s="100">
        <v>1</v>
      </c>
      <c r="E142" s="100">
        <v>1175</v>
      </c>
      <c r="F142" s="99">
        <v>0.52329999999999999</v>
      </c>
      <c r="G142" s="4">
        <f>(E142*12)*F142</f>
        <v>7378.53</v>
      </c>
      <c r="H142" s="100">
        <v>201</v>
      </c>
      <c r="I142" s="99">
        <v>0.52329999999999999</v>
      </c>
      <c r="J142" s="100">
        <v>106</v>
      </c>
      <c r="K142" s="100">
        <v>267</v>
      </c>
      <c r="L142">
        <f>K142-J142</f>
        <v>161</v>
      </c>
      <c r="M142">
        <f>H142-J142</f>
        <v>95</v>
      </c>
      <c r="N142" s="112">
        <f>((0.8*M142))/(L142)+0.1</f>
        <v>0.57204968944099377</v>
      </c>
      <c r="O142" s="108">
        <f>I142</f>
        <v>0.52329999999999999</v>
      </c>
      <c r="P142" s="63">
        <v>151.06083293366518</v>
      </c>
      <c r="Q142" s="113">
        <f>0.1+0.8*(P142-J142)/(K142-J142)</f>
        <v>0.32390475991883316</v>
      </c>
      <c r="R142" s="113">
        <f>($Q$2*Q142)+$R$2</f>
        <v>0.59429601486449246</v>
      </c>
      <c r="S142" s="63">
        <f>365*P142*R142</f>
        <v>32767.820620324655</v>
      </c>
      <c r="T142" s="65">
        <f>S142*(1-$T$1)</f>
        <v>22937.474434227257</v>
      </c>
    </row>
    <row r="143" spans="1:20">
      <c r="A143" s="100" t="s">
        <v>274</v>
      </c>
      <c r="B143" s="100" t="s">
        <v>271</v>
      </c>
      <c r="C143" s="100" t="s">
        <v>107</v>
      </c>
      <c r="D143" s="100">
        <v>2</v>
      </c>
      <c r="E143" s="100">
        <v>1725</v>
      </c>
      <c r="F143" s="99">
        <v>0.48220000000000002</v>
      </c>
      <c r="G143" s="4">
        <f>(E143*12)*F143</f>
        <v>9981.5400000000009</v>
      </c>
      <c r="H143" s="100">
        <v>242</v>
      </c>
      <c r="I143" s="99">
        <v>0.48220000000000002</v>
      </c>
      <c r="J143" s="100">
        <v>195</v>
      </c>
      <c r="K143" s="100">
        <v>305</v>
      </c>
      <c r="L143">
        <f>K143-J143</f>
        <v>110</v>
      </c>
      <c r="M143">
        <f>H143-J143</f>
        <v>47</v>
      </c>
      <c r="N143" s="112">
        <f>((0.8*M143))/(L143)+0.1</f>
        <v>0.44181818181818189</v>
      </c>
      <c r="O143" s="108">
        <f>I143</f>
        <v>0.48220000000000002</v>
      </c>
      <c r="P143" s="63">
        <v>195</v>
      </c>
      <c r="Q143" s="113">
        <f>0.1+0.8*(P143-J143)/(K143-J143)</f>
        <v>0.1</v>
      </c>
      <c r="R143" s="113">
        <f>($Q$2*Q143)+$R$2</f>
        <v>0.77157210296437406</v>
      </c>
      <c r="S143" s="63">
        <f>365*P143*R143</f>
        <v>54916.644428489322</v>
      </c>
      <c r="T143" s="65">
        <f>S143*(1-$T$1)</f>
        <v>38441.651099942523</v>
      </c>
    </row>
    <row r="144" spans="1:20">
      <c r="A144" s="100" t="s">
        <v>275</v>
      </c>
      <c r="B144" s="100" t="s">
        <v>276</v>
      </c>
      <c r="C144" s="100" t="s">
        <v>98</v>
      </c>
      <c r="D144" s="100">
        <v>1</v>
      </c>
      <c r="E144" s="100">
        <v>709</v>
      </c>
      <c r="F144" s="99">
        <v>0.22189999999999999</v>
      </c>
      <c r="G144" s="4">
        <f>(E144*12)*F144</f>
        <v>1887.9251999999999</v>
      </c>
      <c r="H144" s="100">
        <v>158</v>
      </c>
      <c r="I144" s="99">
        <v>0.22189999999999999</v>
      </c>
      <c r="J144" s="100">
        <v>86</v>
      </c>
      <c r="K144" s="100">
        <v>192</v>
      </c>
      <c r="L144">
        <f>K144-J144</f>
        <v>106</v>
      </c>
      <c r="M144">
        <f>H144-J144</f>
        <v>72</v>
      </c>
      <c r="N144" s="112">
        <f>((0.8*M144))/(L144)+0.1</f>
        <v>0.64339622641509431</v>
      </c>
      <c r="O144" s="108">
        <f>I144</f>
        <v>0.22189999999999999</v>
      </c>
      <c r="P144" s="63">
        <v>107.56179045300291</v>
      </c>
      <c r="Q144" s="113">
        <f>0.1+0.8*(P144-J144)/(K144-J144)</f>
        <v>0.26273049398492765</v>
      </c>
      <c r="R144" s="113">
        <f>($Q$2*Q144)+$R$2</f>
        <v>0.6427306017892005</v>
      </c>
      <c r="S144" s="63">
        <f>365*P144*R144</f>
        <v>25233.637822194592</v>
      </c>
      <c r="T144" s="65">
        <f>S144*(1-$T$1)</f>
        <v>17663.546475536212</v>
      </c>
    </row>
    <row r="145" spans="1:20">
      <c r="A145" s="100" t="s">
        <v>277</v>
      </c>
      <c r="B145" s="100" t="s">
        <v>276</v>
      </c>
      <c r="C145" s="100" t="s">
        <v>98</v>
      </c>
      <c r="D145" s="100">
        <v>2</v>
      </c>
      <c r="E145" s="100">
        <v>869</v>
      </c>
      <c r="F145" s="99">
        <v>0.38900000000000001</v>
      </c>
      <c r="G145" s="4">
        <f>(E145*12)*F145</f>
        <v>4056.4920000000002</v>
      </c>
      <c r="H145" s="100">
        <v>246</v>
      </c>
      <c r="I145" s="99">
        <v>0.38900000000000001</v>
      </c>
      <c r="J145" s="100">
        <v>135</v>
      </c>
      <c r="K145" s="100">
        <v>305</v>
      </c>
      <c r="L145">
        <f>K145-J145</f>
        <v>170</v>
      </c>
      <c r="M145">
        <f>H145-J145</f>
        <v>111</v>
      </c>
      <c r="N145" s="112">
        <f>((0.8*M145))/(L145)+0.1</f>
        <v>0.62235294117647066</v>
      </c>
      <c r="O145" s="108">
        <f>I145</f>
        <v>0.38900000000000001</v>
      </c>
      <c r="P145" s="63">
        <v>171.04249413803157</v>
      </c>
      <c r="Q145" s="113">
        <f>0.1+0.8*(P145-J145)/(K145-J145)</f>
        <v>0.26961173712014858</v>
      </c>
      <c r="R145" s="113">
        <f>($Q$2*Q145)+$R$2</f>
        <v>0.63728239307439538</v>
      </c>
      <c r="S145" s="63">
        <f>365*P145*R145</f>
        <v>39785.865043319769</v>
      </c>
      <c r="T145" s="65">
        <f>S145*(1-$T$1)</f>
        <v>27850.105530323835</v>
      </c>
    </row>
    <row r="146" spans="1:20">
      <c r="A146" s="100" t="s">
        <v>278</v>
      </c>
      <c r="B146" s="100" t="s">
        <v>276</v>
      </c>
      <c r="C146" s="100" t="s">
        <v>107</v>
      </c>
      <c r="D146" s="100">
        <v>1</v>
      </c>
      <c r="E146" s="100">
        <v>925</v>
      </c>
      <c r="F146" s="99">
        <v>0.41639999999999999</v>
      </c>
      <c r="G146" s="4">
        <f>(E146*12)*F146</f>
        <v>4622.04</v>
      </c>
      <c r="H146" s="100">
        <v>207</v>
      </c>
      <c r="I146" s="99">
        <v>0.41639999999999999</v>
      </c>
      <c r="J146" s="100">
        <v>125</v>
      </c>
      <c r="K146" s="100">
        <v>288</v>
      </c>
      <c r="L146">
        <f>K146-J146</f>
        <v>163</v>
      </c>
      <c r="M146">
        <f>H146-J146</f>
        <v>82</v>
      </c>
      <c r="N146" s="112">
        <f>((0.8*M146))/(L146)+0.1</f>
        <v>0.50245398773006145</v>
      </c>
      <c r="O146" s="108">
        <f>I146</f>
        <v>0.41639999999999999</v>
      </c>
      <c r="P146" s="63">
        <v>161.77897967352436</v>
      </c>
      <c r="Q146" s="113">
        <f>0.1+0.8*(P146-J146)/(K146-J146)</f>
        <v>0.28051032968600914</v>
      </c>
      <c r="R146" s="113">
        <f>($Q$2*Q146)+$R$2</f>
        <v>0.62865345701885733</v>
      </c>
      <c r="S146" s="63">
        <f>365*P146*R146</f>
        <v>37121.563918331754</v>
      </c>
      <c r="T146" s="65">
        <f>S146*(1-$T$1)</f>
        <v>25985.094742832225</v>
      </c>
    </row>
    <row r="147" spans="1:20">
      <c r="A147" s="100" t="s">
        <v>279</v>
      </c>
      <c r="B147" s="100" t="s">
        <v>276</v>
      </c>
      <c r="C147" s="100" t="s">
        <v>107</v>
      </c>
      <c r="D147" s="100">
        <v>2</v>
      </c>
      <c r="E147" s="100">
        <v>1350</v>
      </c>
      <c r="F147" s="99">
        <v>0.4849</v>
      </c>
      <c r="G147" s="4">
        <f>(E147*12)*F147</f>
        <v>7855.38</v>
      </c>
      <c r="H147" s="100">
        <v>224</v>
      </c>
      <c r="I147" s="99">
        <v>0.4849</v>
      </c>
      <c r="J147" s="100">
        <v>119</v>
      </c>
      <c r="K147" s="100">
        <v>360</v>
      </c>
      <c r="L147">
        <f>K147-J147</f>
        <v>241</v>
      </c>
      <c r="M147">
        <f>H147-J147</f>
        <v>105</v>
      </c>
      <c r="N147" s="112">
        <f>((0.8*M147))/(L147)+0.1</f>
        <v>0.44854771784232361</v>
      </c>
      <c r="O147" s="108">
        <f>I147</f>
        <v>0.4849</v>
      </c>
      <c r="P147" s="63">
        <v>206.28671180259605</v>
      </c>
      <c r="Q147" s="113">
        <f>0.1+0.8*(P147-J147)/(K147-J147)</f>
        <v>0.38974842092148065</v>
      </c>
      <c r="R147" s="113">
        <f>($Q$2*Q147)+$R$2</f>
        <v>0.54216444493737059</v>
      </c>
      <c r="S147" s="63">
        <f>365*P147*R147</f>
        <v>40822.082019879585</v>
      </c>
      <c r="T147" s="65">
        <f>S147*(1-$T$1)</f>
        <v>28575.457413915708</v>
      </c>
    </row>
    <row r="148" spans="1:20">
      <c r="A148" s="100" t="s">
        <v>280</v>
      </c>
      <c r="B148" s="100" t="s">
        <v>281</v>
      </c>
      <c r="C148" s="100" t="s">
        <v>98</v>
      </c>
      <c r="D148" s="100">
        <v>1</v>
      </c>
      <c r="E148" s="100">
        <v>900</v>
      </c>
      <c r="F148" s="99">
        <v>0.55069999999999997</v>
      </c>
      <c r="G148" s="4">
        <f>(E148*12)*F148</f>
        <v>5947.5599999999995</v>
      </c>
      <c r="H148" s="100">
        <v>139</v>
      </c>
      <c r="I148" s="99">
        <v>0.55069999999999997</v>
      </c>
      <c r="J148" s="100">
        <v>89</v>
      </c>
      <c r="K148" s="100">
        <v>177</v>
      </c>
      <c r="L148">
        <f>K148-J148</f>
        <v>88</v>
      </c>
      <c r="M148">
        <f>H148-J148</f>
        <v>50</v>
      </c>
      <c r="N148" s="112">
        <f>((0.8*M148))/(L148)+0.1</f>
        <v>0.55454545454545456</v>
      </c>
      <c r="O148" s="108">
        <f>I148</f>
        <v>0.55069999999999997</v>
      </c>
      <c r="P148" s="63">
        <v>98.098467428804639</v>
      </c>
      <c r="Q148" s="113">
        <f>0.1+0.8*(P148-J148)/(K148-J148)</f>
        <v>0.18271334026186037</v>
      </c>
      <c r="R148" s="113">
        <f>($Q$2*Q148)+$R$2</f>
        <v>0.7060840025746703</v>
      </c>
      <c r="S148" s="63">
        <f>365*P148*R148</f>
        <v>25282.00186292853</v>
      </c>
      <c r="T148" s="65">
        <f>S148*(1-$T$1)</f>
        <v>17697.40130404997</v>
      </c>
    </row>
    <row r="149" spans="1:20">
      <c r="A149" s="100" t="s">
        <v>282</v>
      </c>
      <c r="B149" s="100" t="s">
        <v>255</v>
      </c>
      <c r="C149" s="100" t="s">
        <v>107</v>
      </c>
      <c r="D149" s="100">
        <v>2</v>
      </c>
      <c r="E149" s="100">
        <v>3200</v>
      </c>
      <c r="F149" s="99">
        <v>0.81640000000000001</v>
      </c>
      <c r="G149" s="4">
        <f>(E149*12)*F149</f>
        <v>31349.760000000002</v>
      </c>
      <c r="H149" s="100">
        <v>325</v>
      </c>
      <c r="I149" s="99">
        <v>0.81640000000000001</v>
      </c>
      <c r="J149" s="100">
        <v>195</v>
      </c>
      <c r="K149" s="100">
        <v>844</v>
      </c>
      <c r="L149">
        <f>K149-J149</f>
        <v>649</v>
      </c>
      <c r="M149">
        <f>H149-J149</f>
        <v>130</v>
      </c>
      <c r="N149" s="112">
        <f>((0.8*M149))/(L149)+0.1</f>
        <v>0.26024653312788903</v>
      </c>
      <c r="O149" s="108">
        <f>I149</f>
        <v>0.81640000000000001</v>
      </c>
      <c r="P149" s="63">
        <v>492.78869827180876</v>
      </c>
      <c r="Q149" s="113">
        <f>0.1+0.8*(P149-J149)/(K149-J149)</f>
        <v>0.46707389617480277</v>
      </c>
      <c r="R149" s="113">
        <f>($Q$2*Q149)+$R$2</f>
        <v>0.48094217450264481</v>
      </c>
      <c r="S149" s="63">
        <f>365*P149*R149</f>
        <v>86506.046862767573</v>
      </c>
      <c r="T149" s="65">
        <f>S149*(1-$T$1)</f>
        <v>60554.232803937295</v>
      </c>
    </row>
    <row r="150" spans="1:20">
      <c r="A150" s="100" t="s">
        <v>283</v>
      </c>
      <c r="B150" s="100" t="s">
        <v>281</v>
      </c>
      <c r="C150" s="100" t="s">
        <v>98</v>
      </c>
      <c r="D150" s="100">
        <v>2</v>
      </c>
      <c r="E150" s="100">
        <v>1325</v>
      </c>
      <c r="F150" s="99">
        <v>0.29320000000000002</v>
      </c>
      <c r="G150" s="4">
        <f>(E150*12)*F150</f>
        <v>4661.88</v>
      </c>
      <c r="H150" s="100">
        <v>283</v>
      </c>
      <c r="I150" s="99">
        <v>0.29320000000000002</v>
      </c>
      <c r="J150" s="100">
        <v>161</v>
      </c>
      <c r="K150" s="100">
        <v>319</v>
      </c>
      <c r="L150">
        <f>K150-J150</f>
        <v>158</v>
      </c>
      <c r="M150">
        <f>H150-J150</f>
        <v>122</v>
      </c>
      <c r="N150" s="112">
        <f>((0.8*M150))/(L150)+0.1</f>
        <v>0.71772151898734182</v>
      </c>
      <c r="O150" s="108">
        <f>I150</f>
        <v>0.29320000000000002</v>
      </c>
      <c r="P150" s="63">
        <v>176.73361241652742</v>
      </c>
      <c r="Q150" s="113">
        <f>0.1+0.8*(P150-J150)/(K150-J150)</f>
        <v>0.17966386033684772</v>
      </c>
      <c r="R150" s="113">
        <f>($Q$2*Q150)+$R$2</f>
        <v>0.70849842141972452</v>
      </c>
      <c r="S150" s="63">
        <f>365*P150*R150</f>
        <v>45703.652174254014</v>
      </c>
      <c r="T150" s="65">
        <f>S150*(1-$T$1)</f>
        <v>31992.556521977807</v>
      </c>
    </row>
    <row r="151" spans="1:20">
      <c r="A151" s="100" t="s">
        <v>284</v>
      </c>
      <c r="B151" s="100" t="s">
        <v>281</v>
      </c>
      <c r="C151" s="100" t="s">
        <v>107</v>
      </c>
      <c r="D151" s="100">
        <v>1</v>
      </c>
      <c r="E151" s="100">
        <v>975</v>
      </c>
      <c r="F151" s="99">
        <v>0.50139999999999996</v>
      </c>
      <c r="G151" s="4">
        <f>(E151*12)*F151</f>
        <v>5866.3799999999992</v>
      </c>
      <c r="H151" s="100">
        <v>192</v>
      </c>
      <c r="I151" s="99">
        <v>0.50139999999999996</v>
      </c>
      <c r="J151" s="100">
        <v>145</v>
      </c>
      <c r="K151" s="100">
        <v>300</v>
      </c>
      <c r="L151">
        <f>K151-J151</f>
        <v>155</v>
      </c>
      <c r="M151">
        <f>H151-J151</f>
        <v>47</v>
      </c>
      <c r="N151" s="112">
        <f>((0.8*M151))/(L151)+0.1</f>
        <v>0.34258064516129033</v>
      </c>
      <c r="O151" s="108">
        <f>I151</f>
        <v>0.50139999999999996</v>
      </c>
      <c r="P151" s="63">
        <v>166.90639171408756</v>
      </c>
      <c r="Q151" s="113">
        <f>0.1+0.8*(P151-J151)/(K151-J151)</f>
        <v>0.21306524755658096</v>
      </c>
      <c r="R151" s="113">
        <f>($Q$2*Q151)+$R$2</f>
        <v>0.68205294850717824</v>
      </c>
      <c r="S151" s="63">
        <f>365*P151*R151</f>
        <v>41551.233756549933</v>
      </c>
      <c r="T151" s="65">
        <f>S151*(1-$T$1)</f>
        <v>29085.86362958495</v>
      </c>
    </row>
    <row r="152" spans="1:20">
      <c r="A152" s="100" t="s">
        <v>285</v>
      </c>
      <c r="B152" s="100" t="s">
        <v>281</v>
      </c>
      <c r="C152" s="100" t="s">
        <v>107</v>
      </c>
      <c r="D152" s="100">
        <v>2</v>
      </c>
      <c r="E152" s="100">
        <v>1550</v>
      </c>
      <c r="F152" s="99">
        <v>0.3014</v>
      </c>
      <c r="G152" s="4">
        <f>(E152*12)*F152</f>
        <v>5606.04</v>
      </c>
      <c r="H152" s="100">
        <v>307</v>
      </c>
      <c r="I152" s="99">
        <v>0.3014</v>
      </c>
      <c r="J152" s="100">
        <v>185</v>
      </c>
      <c r="K152" s="100">
        <v>376</v>
      </c>
      <c r="L152">
        <f>K152-J152</f>
        <v>191</v>
      </c>
      <c r="M152">
        <f>H152-J152</f>
        <v>122</v>
      </c>
      <c r="N152" s="112">
        <f>((0.8*M152))/(L152)+0.1</f>
        <v>0.61099476439790579</v>
      </c>
      <c r="O152" s="108">
        <f>I152</f>
        <v>0.3014</v>
      </c>
      <c r="P152" s="63">
        <v>208.83303753155317</v>
      </c>
      <c r="Q152" s="113">
        <f>0.1+0.8*(P152-J152)/(K152-J152)</f>
        <v>0.19982424096985624</v>
      </c>
      <c r="R152" s="113">
        <f>($Q$2*Q152)+$R$2</f>
        <v>0.69253648557468062</v>
      </c>
      <c r="S152" s="63">
        <f>365*P152*R152</f>
        <v>52787.941727655336</v>
      </c>
      <c r="T152" s="65">
        <f>S152*(1-$T$1)</f>
        <v>36951.559209358733</v>
      </c>
    </row>
    <row r="153" spans="1:20">
      <c r="A153" s="100" t="s">
        <v>286</v>
      </c>
      <c r="B153" s="100" t="s">
        <v>287</v>
      </c>
      <c r="C153" s="100" t="s">
        <v>98</v>
      </c>
      <c r="D153" s="100">
        <v>1</v>
      </c>
      <c r="E153" s="100">
        <v>1165</v>
      </c>
      <c r="F153" s="99">
        <v>0.34250000000000003</v>
      </c>
      <c r="G153" s="4">
        <f>(E153*12)*F153</f>
        <v>4788.1500000000005</v>
      </c>
      <c r="H153" s="100">
        <v>180</v>
      </c>
      <c r="I153" s="99">
        <v>0.34250000000000003</v>
      </c>
      <c r="J153" s="100">
        <v>135</v>
      </c>
      <c r="K153" s="100">
        <v>220</v>
      </c>
      <c r="L153">
        <f>K153-J153</f>
        <v>85</v>
      </c>
      <c r="M153">
        <f>H153-J153</f>
        <v>45</v>
      </c>
      <c r="N153" s="112">
        <f>((0.8*M153))/(L153)+0.1</f>
        <v>0.52352941176470591</v>
      </c>
      <c r="O153" s="108">
        <f>I153</f>
        <v>0.34250000000000003</v>
      </c>
      <c r="P153" s="63">
        <v>135</v>
      </c>
      <c r="Q153" s="113">
        <f>0.1+0.8*(P153-J153)/(K153-J153)</f>
        <v>0.1</v>
      </c>
      <c r="R153" s="113">
        <f>($Q$2*Q153)+$R$2</f>
        <v>0.77157210296437406</v>
      </c>
      <c r="S153" s="63">
        <f>365*P153*R153</f>
        <v>38019.215373569532</v>
      </c>
      <c r="T153" s="65">
        <f>S153*(1-$T$1)</f>
        <v>26613.450761498672</v>
      </c>
    </row>
    <row r="154" spans="1:20">
      <c r="A154" s="100" t="s">
        <v>288</v>
      </c>
      <c r="B154" s="100" t="s">
        <v>287</v>
      </c>
      <c r="C154" s="100" t="s">
        <v>98</v>
      </c>
      <c r="D154" s="100">
        <v>2</v>
      </c>
      <c r="E154" s="100">
        <v>1625</v>
      </c>
      <c r="F154" s="99">
        <v>0.6</v>
      </c>
      <c r="G154" s="4">
        <f>(E154*12)*F154</f>
        <v>11700</v>
      </c>
      <c r="H154" s="100">
        <v>260</v>
      </c>
      <c r="I154" s="99">
        <v>0.6</v>
      </c>
      <c r="J154" s="100">
        <v>220</v>
      </c>
      <c r="K154" s="100">
        <v>312</v>
      </c>
      <c r="L154">
        <f>K154-J154</f>
        <v>92</v>
      </c>
      <c r="M154">
        <f>H154-J154</f>
        <v>40</v>
      </c>
      <c r="N154" s="112">
        <f>((0.8*M154))/(L154)+0.1</f>
        <v>0.44782608695652171</v>
      </c>
      <c r="O154" s="108">
        <f>I154</f>
        <v>0.6</v>
      </c>
      <c r="P154" s="63">
        <v>220</v>
      </c>
      <c r="Q154" s="113">
        <f>0.1+0.8*(P154-J154)/(K154-J154)</f>
        <v>0.1</v>
      </c>
      <c r="R154" s="113">
        <f>($Q$2*Q154)+$R$2</f>
        <v>0.77157210296437406</v>
      </c>
      <c r="S154" s="63">
        <f>365*P154*R154</f>
        <v>61957.239868039236</v>
      </c>
      <c r="T154" s="65">
        <f>S154*(1-$T$1)</f>
        <v>43370.067907627461</v>
      </c>
    </row>
    <row r="155" spans="1:20">
      <c r="A155" s="100" t="s">
        <v>289</v>
      </c>
      <c r="B155" s="100" t="s">
        <v>287</v>
      </c>
      <c r="C155" s="100" t="s">
        <v>107</v>
      </c>
      <c r="D155" s="100">
        <v>1</v>
      </c>
      <c r="E155" s="100">
        <v>1400</v>
      </c>
      <c r="F155" s="99">
        <v>0.49859999999999999</v>
      </c>
      <c r="G155" s="4">
        <f>(E155*12)*F155</f>
        <v>8376.48</v>
      </c>
      <c r="H155" s="100">
        <v>232</v>
      </c>
      <c r="I155" s="99">
        <v>0.49859999999999999</v>
      </c>
      <c r="J155" s="100">
        <v>135</v>
      </c>
      <c r="K155" s="100">
        <v>287</v>
      </c>
      <c r="L155">
        <f>K155-J155</f>
        <v>152</v>
      </c>
      <c r="M155">
        <f>H155-J155</f>
        <v>97</v>
      </c>
      <c r="N155" s="112">
        <f>((0.8*M155))/(L155)+0.1</f>
        <v>0.61052631578947369</v>
      </c>
      <c r="O155" s="108">
        <f>I155</f>
        <v>0.49859999999999999</v>
      </c>
      <c r="P155" s="63">
        <v>160.07917122929868</v>
      </c>
      <c r="Q155" s="113">
        <f>0.1+0.8*(P155-J155)/(K155-J155)</f>
        <v>0.23199563804894044</v>
      </c>
      <c r="R155" s="113">
        <f>($Q$2*Q155)+$R$2</f>
        <v>0.66706485457873643</v>
      </c>
      <c r="S155" s="63">
        <f>365*P155*R155</f>
        <v>38975.864013162223</v>
      </c>
      <c r="T155" s="65">
        <f>S155*(1-$T$1)</f>
        <v>27283.104809213553</v>
      </c>
    </row>
    <row r="156" spans="1:20">
      <c r="A156" s="100" t="s">
        <v>290</v>
      </c>
      <c r="B156" s="100" t="s">
        <v>287</v>
      </c>
      <c r="C156" s="100" t="s">
        <v>107</v>
      </c>
      <c r="D156" s="100">
        <v>2</v>
      </c>
      <c r="E156" s="100">
        <v>1995</v>
      </c>
      <c r="F156" s="99">
        <v>0.63839999999999997</v>
      </c>
      <c r="G156" s="4">
        <f>(E156*12)*F156</f>
        <v>15283.295999999998</v>
      </c>
      <c r="H156" s="100">
        <v>292</v>
      </c>
      <c r="I156" s="99">
        <v>0.63839999999999997</v>
      </c>
      <c r="J156" s="100">
        <v>224</v>
      </c>
      <c r="K156" s="100">
        <v>331</v>
      </c>
      <c r="L156">
        <f>K156-J156</f>
        <v>107</v>
      </c>
      <c r="M156">
        <f>H156-J156</f>
        <v>68</v>
      </c>
      <c r="N156" s="112">
        <f>((0.8*M156))/(L156)+0.1</f>
        <v>0.60841121495327111</v>
      </c>
      <c r="O156" s="108">
        <f>I156</f>
        <v>0.63839999999999997</v>
      </c>
      <c r="P156" s="63">
        <v>224</v>
      </c>
      <c r="Q156" s="113">
        <f>0.1+0.8*(P156-J156)/(K156-J156)</f>
        <v>0.1</v>
      </c>
      <c r="R156" s="113">
        <f>($Q$2*Q156)+$R$2</f>
        <v>0.77157210296437406</v>
      </c>
      <c r="S156" s="63">
        <f>365*P156*R156</f>
        <v>63083.735138367221</v>
      </c>
      <c r="T156" s="65">
        <f>S156*(1-$T$1)</f>
        <v>44158.614596857049</v>
      </c>
    </row>
    <row r="157" spans="1:20">
      <c r="A157" s="100" t="s">
        <v>291</v>
      </c>
      <c r="B157" s="100" t="s">
        <v>292</v>
      </c>
      <c r="C157" s="100" t="s">
        <v>98</v>
      </c>
      <c r="D157" s="100">
        <v>1</v>
      </c>
      <c r="E157" s="100">
        <v>760</v>
      </c>
      <c r="F157" s="99">
        <v>0.29039999999999999</v>
      </c>
      <c r="G157" s="4">
        <f>(E157*12)*F157</f>
        <v>2648.4479999999999</v>
      </c>
      <c r="H157" s="100">
        <v>169</v>
      </c>
      <c r="I157" s="99">
        <v>0.29039999999999999</v>
      </c>
      <c r="J157" s="100">
        <v>100</v>
      </c>
      <c r="K157" s="100">
        <v>195</v>
      </c>
      <c r="L157">
        <f>K157-J157</f>
        <v>95</v>
      </c>
      <c r="M157">
        <f>H157-J157</f>
        <v>69</v>
      </c>
      <c r="N157" s="112">
        <f>((0.8*M157))/(L157)+0.1</f>
        <v>0.68105263157894735</v>
      </c>
      <c r="O157" s="108">
        <f>I157</f>
        <v>0.29039999999999999</v>
      </c>
      <c r="P157" s="63">
        <v>107.86198201831178</v>
      </c>
      <c r="Q157" s="113">
        <f>0.1+0.8*(P157-J157)/(K157-J157)</f>
        <v>0.16620616436473079</v>
      </c>
      <c r="R157" s="113">
        <f>($Q$2*Q157)+$R$2</f>
        <v>0.7191535218188374</v>
      </c>
      <c r="S157" s="63">
        <f>365*P157*R157</f>
        <v>28312.803347172594</v>
      </c>
      <c r="T157" s="65">
        <f>S157*(1-$T$1)</f>
        <v>19818.962343020816</v>
      </c>
    </row>
    <row r="158" spans="1:20">
      <c r="A158" s="100" t="s">
        <v>293</v>
      </c>
      <c r="B158" s="100" t="s">
        <v>292</v>
      </c>
      <c r="C158" s="100" t="s">
        <v>98</v>
      </c>
      <c r="D158" s="100">
        <v>2</v>
      </c>
      <c r="E158" s="100">
        <v>965</v>
      </c>
      <c r="F158" s="99">
        <v>0.53969999999999996</v>
      </c>
      <c r="G158" s="4">
        <f>(E158*12)*F158</f>
        <v>6249.7259999999997</v>
      </c>
      <c r="H158" s="100">
        <v>189</v>
      </c>
      <c r="I158" s="99">
        <v>0.53969999999999996</v>
      </c>
      <c r="J158" s="100">
        <v>135</v>
      </c>
      <c r="K158" s="100">
        <v>284</v>
      </c>
      <c r="L158">
        <f>K158-J158</f>
        <v>149</v>
      </c>
      <c r="M158">
        <f>H158-J158</f>
        <v>54</v>
      </c>
      <c r="N158" s="112">
        <f>((0.8*M158))/(L158)+0.1</f>
        <v>0.38993288590604025</v>
      </c>
      <c r="O158" s="108">
        <f>I158</f>
        <v>0.53969999999999996</v>
      </c>
      <c r="P158" s="63">
        <v>158.25195074451008</v>
      </c>
      <c r="Q158" s="113">
        <f>0.1+0.8*(P158-J158)/(K158-J158)</f>
        <v>0.22484268856112799</v>
      </c>
      <c r="R158" s="113">
        <f>($Q$2*Q158)+$R$2</f>
        <v>0.67272818618470631</v>
      </c>
      <c r="S158" s="63">
        <f>365*P158*R158</f>
        <v>38858.0999413592</v>
      </c>
      <c r="T158" s="65">
        <f>S158*(1-$T$1)</f>
        <v>27200.669958951439</v>
      </c>
    </row>
    <row r="159" spans="1:20">
      <c r="A159" s="100" t="s">
        <v>294</v>
      </c>
      <c r="B159" s="100" t="s">
        <v>292</v>
      </c>
      <c r="C159" s="100" t="s">
        <v>107</v>
      </c>
      <c r="D159" s="100">
        <v>1</v>
      </c>
      <c r="E159" s="100">
        <v>1185</v>
      </c>
      <c r="F159" s="99">
        <v>0.27950000000000003</v>
      </c>
      <c r="G159" s="4">
        <f>(E159*12)*F159</f>
        <v>3974.4900000000002</v>
      </c>
      <c r="H159" s="100">
        <v>289</v>
      </c>
      <c r="I159" s="99">
        <v>0.27950000000000003</v>
      </c>
      <c r="J159" s="100">
        <v>157</v>
      </c>
      <c r="K159" s="100">
        <v>320</v>
      </c>
      <c r="L159">
        <f>K159-J159</f>
        <v>163</v>
      </c>
      <c r="M159">
        <f>H159-J159</f>
        <v>132</v>
      </c>
      <c r="N159" s="112">
        <f>((0.8*M159))/(L159)+0.1</f>
        <v>0.74785276073619633</v>
      </c>
      <c r="O159" s="108">
        <f>I159</f>
        <v>0.27950000000000003</v>
      </c>
      <c r="P159" s="63">
        <v>177.77897953158538</v>
      </c>
      <c r="Q159" s="113">
        <f>0.1+0.8*(P159-J159)/(K159-J159)</f>
        <v>0.20198272162741293</v>
      </c>
      <c r="R159" s="113">
        <f>($Q$2*Q159)+$R$2</f>
        <v>0.69082751338780257</v>
      </c>
      <c r="S159" s="63">
        <f>365*P159*R159</f>
        <v>44827.332782285557</v>
      </c>
      <c r="T159" s="65">
        <f>S159*(1-$T$1)</f>
        <v>31379.132947599886</v>
      </c>
    </row>
    <row r="160" spans="1:20">
      <c r="A160" s="100" t="s">
        <v>295</v>
      </c>
      <c r="B160" s="100" t="s">
        <v>255</v>
      </c>
      <c r="C160" s="100" t="s">
        <v>98</v>
      </c>
      <c r="D160" s="100">
        <v>1</v>
      </c>
      <c r="E160" s="100">
        <v>1700</v>
      </c>
      <c r="F160" s="99">
        <v>0.67669999999999997</v>
      </c>
      <c r="G160" s="4">
        <f>(E160*12)*F160</f>
        <v>13804.679999999998</v>
      </c>
      <c r="H160" s="100">
        <v>239</v>
      </c>
      <c r="I160" s="99">
        <v>0.67669999999999997</v>
      </c>
      <c r="J160" s="100">
        <v>98</v>
      </c>
      <c r="K160" s="100">
        <v>430</v>
      </c>
      <c r="L160">
        <f>K160-J160</f>
        <v>332</v>
      </c>
      <c r="M160">
        <f>H160-J160</f>
        <v>141</v>
      </c>
      <c r="N160" s="112">
        <f>((0.8*M160))/(L160)+0.1</f>
        <v>0.43975903614457834</v>
      </c>
      <c r="O160" s="108">
        <f>I160</f>
        <v>0.67669999999999997</v>
      </c>
      <c r="P160" s="63">
        <v>251.21240031662634</v>
      </c>
      <c r="Q160" s="113">
        <f>0.1+0.8*(P160-J160)/(K160-J160)</f>
        <v>0.46918650678705143</v>
      </c>
      <c r="R160" s="113">
        <f>($Q$2*Q160)+$R$2</f>
        <v>0.47926951982056704</v>
      </c>
      <c r="S160" s="63">
        <f>365*P160*R160</f>
        <v>43945.432962543375</v>
      </c>
      <c r="T160" s="65">
        <f>S160*(1-$T$1)</f>
        <v>30761.80307378036</v>
      </c>
    </row>
    <row r="161" spans="1:20">
      <c r="A161" s="100" t="s">
        <v>296</v>
      </c>
      <c r="B161" s="100" t="s">
        <v>292</v>
      </c>
      <c r="C161" s="100" t="s">
        <v>107</v>
      </c>
      <c r="D161" s="100">
        <v>2</v>
      </c>
      <c r="E161" s="100">
        <v>1340</v>
      </c>
      <c r="F161" s="99">
        <v>0.38900000000000001</v>
      </c>
      <c r="G161" s="4">
        <f>(E161*12)*F161</f>
        <v>6255.12</v>
      </c>
      <c r="H161" s="100">
        <v>278</v>
      </c>
      <c r="I161" s="99">
        <v>0.38900000000000001</v>
      </c>
      <c r="J161" s="100">
        <v>135</v>
      </c>
      <c r="K161" s="100">
        <v>347</v>
      </c>
      <c r="L161">
        <f>K161-J161</f>
        <v>212</v>
      </c>
      <c r="M161">
        <f>H161-J161</f>
        <v>143</v>
      </c>
      <c r="N161" s="112">
        <f>((0.8*M161))/(L161)+0.1</f>
        <v>0.63962264150943393</v>
      </c>
      <c r="O161" s="108">
        <f>I161</f>
        <v>0.38900000000000001</v>
      </c>
      <c r="P161" s="63">
        <v>196.62358092507463</v>
      </c>
      <c r="Q161" s="113">
        <f>0.1+0.8*(P161-J161)/(K161-J161)</f>
        <v>0.33254181481160239</v>
      </c>
      <c r="R161" s="113">
        <f>($Q$2*Q161)+$R$2</f>
        <v>0.58745764615518437</v>
      </c>
      <c r="S161" s="63">
        <f>365*P161*R161</f>
        <v>42160.429500529426</v>
      </c>
      <c r="T161" s="65">
        <f>S161*(1-$T$1)</f>
        <v>29512.300650370595</v>
      </c>
    </row>
    <row r="162" spans="1:20">
      <c r="A162" s="100" t="s">
        <v>297</v>
      </c>
      <c r="B162" s="100" t="s">
        <v>298</v>
      </c>
      <c r="C162" s="100" t="s">
        <v>98</v>
      </c>
      <c r="D162" s="100">
        <v>1</v>
      </c>
      <c r="E162" s="100">
        <v>1150</v>
      </c>
      <c r="F162" s="99">
        <v>0.57530000000000003</v>
      </c>
      <c r="G162" s="4">
        <f>(E162*12)*F162</f>
        <v>7939.14</v>
      </c>
      <c r="H162" s="100">
        <v>183</v>
      </c>
      <c r="I162" s="99">
        <v>0.57530000000000003</v>
      </c>
      <c r="J162" s="100">
        <v>80</v>
      </c>
      <c r="K162" s="100">
        <v>267</v>
      </c>
      <c r="L162">
        <f>K162-J162</f>
        <v>187</v>
      </c>
      <c r="M162">
        <f>H162-J162</f>
        <v>103</v>
      </c>
      <c r="N162" s="112">
        <f>((0.8*M162))/(L162)+0.1</f>
        <v>0.54064171122994653</v>
      </c>
      <c r="O162" s="108">
        <f>I162</f>
        <v>0.57530000000000003</v>
      </c>
      <c r="P162" s="63">
        <v>153.89674355183473</v>
      </c>
      <c r="Q162" s="113">
        <f>0.1+0.8*(P162-J162)/(K162-J162)</f>
        <v>0.41613580129127159</v>
      </c>
      <c r="R162" s="113">
        <f>($Q$2*Q162)+$R$2</f>
        <v>0.52127229611098613</v>
      </c>
      <c r="S162" s="63">
        <f>365*P162*R162</f>
        <v>29281.069739472998</v>
      </c>
      <c r="T162" s="65">
        <f>S162*(1-$T$1)</f>
        <v>20496.748817631098</v>
      </c>
    </row>
    <row r="163" spans="1:20">
      <c r="A163" s="100" t="s">
        <v>299</v>
      </c>
      <c r="B163" s="100" t="s">
        <v>298</v>
      </c>
      <c r="C163" s="100" t="s">
        <v>98</v>
      </c>
      <c r="D163" s="100">
        <v>2</v>
      </c>
      <c r="E163" s="100">
        <v>2000</v>
      </c>
      <c r="F163" s="99">
        <v>0.31230000000000002</v>
      </c>
      <c r="G163" s="4">
        <f>(E163*12)*F163</f>
        <v>7495.2000000000007</v>
      </c>
      <c r="H163" s="100">
        <v>237</v>
      </c>
      <c r="I163" s="99">
        <v>0.31230000000000002</v>
      </c>
      <c r="J163" s="100">
        <v>160</v>
      </c>
      <c r="K163" s="100">
        <v>323</v>
      </c>
      <c r="L163">
        <f>K163-J163</f>
        <v>163</v>
      </c>
      <c r="M163">
        <f>H163-J163</f>
        <v>77</v>
      </c>
      <c r="N163" s="112">
        <f>((0.8*M163))/(L163)+0.1</f>
        <v>0.47791411042944787</v>
      </c>
      <c r="O163" s="108">
        <f>I163</f>
        <v>0.31230000000000002</v>
      </c>
      <c r="P163" s="63">
        <v>179.27897968914942</v>
      </c>
      <c r="Q163" s="113">
        <f>0.1+0.8*(P163-J163)/(K163-J163)</f>
        <v>0.19462075921054933</v>
      </c>
      <c r="R163" s="113">
        <f>($Q$2*Q163)+$R$2</f>
        <v>0.69665633050840792</v>
      </c>
      <c r="S163" s="63">
        <f>365*P163*R163</f>
        <v>45586.980186549998</v>
      </c>
      <c r="T163" s="65">
        <f>S163*(1-$T$1)</f>
        <v>31910.886130584997</v>
      </c>
    </row>
    <row r="164" spans="1:20">
      <c r="A164" s="100" t="s">
        <v>300</v>
      </c>
      <c r="B164" s="100" t="s">
        <v>298</v>
      </c>
      <c r="C164" s="100" t="s">
        <v>107</v>
      </c>
      <c r="D164" s="100">
        <v>1</v>
      </c>
      <c r="E164" s="100">
        <v>1600</v>
      </c>
      <c r="F164" s="99">
        <v>0.4521</v>
      </c>
      <c r="G164" s="4">
        <f>(E164*12)*F164</f>
        <v>8680.32</v>
      </c>
      <c r="H164" s="100">
        <v>297</v>
      </c>
      <c r="I164" s="99">
        <v>0.4521</v>
      </c>
      <c r="J164" s="100">
        <v>225</v>
      </c>
      <c r="K164" s="100">
        <v>406</v>
      </c>
      <c r="L164">
        <f>K164-J164</f>
        <v>181</v>
      </c>
      <c r="M164">
        <f>H164-J164</f>
        <v>72</v>
      </c>
      <c r="N164" s="112">
        <f>((0.8*M164))/(L164)+0.1</f>
        <v>0.41823204419889504</v>
      </c>
      <c r="O164" s="108">
        <f>I164</f>
        <v>0.4521</v>
      </c>
      <c r="P164" s="63">
        <v>225</v>
      </c>
      <c r="Q164" s="113">
        <f>0.1+0.8*(P164-J164)/(K164-J164)</f>
        <v>0.1</v>
      </c>
      <c r="R164" s="113">
        <f>($Q$2*Q164)+$R$2</f>
        <v>0.77157210296437406</v>
      </c>
      <c r="S164" s="63">
        <f>365*P164*R164</f>
        <v>63365.358955949217</v>
      </c>
      <c r="T164" s="65">
        <f>S164*(1-$T$1)</f>
        <v>44355.751269164452</v>
      </c>
    </row>
    <row r="165" spans="1:20">
      <c r="A165" s="100" t="s">
        <v>301</v>
      </c>
      <c r="B165" s="100" t="s">
        <v>298</v>
      </c>
      <c r="C165" s="100" t="s">
        <v>107</v>
      </c>
      <c r="D165" s="100">
        <v>2</v>
      </c>
      <c r="E165" s="100">
        <v>2150</v>
      </c>
      <c r="F165" s="99">
        <v>0.53149999999999997</v>
      </c>
      <c r="G165" s="4">
        <f>(E165*12)*F165</f>
        <v>13712.699999999999</v>
      </c>
      <c r="H165" s="100">
        <v>360</v>
      </c>
      <c r="I165" s="99">
        <v>0.53149999999999997</v>
      </c>
      <c r="J165" s="100">
        <v>170</v>
      </c>
      <c r="K165" s="100">
        <v>447</v>
      </c>
      <c r="L165">
        <f>K165-J165</f>
        <v>277</v>
      </c>
      <c r="M165">
        <f>H165-J165</f>
        <v>190</v>
      </c>
      <c r="N165" s="112">
        <f>((0.8*M165))/(L165)+0.1</f>
        <v>0.64873646209386282</v>
      </c>
      <c r="O165" s="108">
        <f>I165</f>
        <v>0.53149999999999997</v>
      </c>
      <c r="P165" s="63">
        <v>253.71335809549851</v>
      </c>
      <c r="Q165" s="113">
        <f>0.1+0.8*(P165-J165)/(K165-J165)</f>
        <v>0.34177143132273941</v>
      </c>
      <c r="R165" s="113">
        <f>($Q$2*Q165)+$R$2</f>
        <v>0.58015011812250838</v>
      </c>
      <c r="S165" s="63">
        <f>365*P165*R165</f>
        <v>53725.019653952033</v>
      </c>
      <c r="T165" s="65">
        <f>S165*(1-$T$1)</f>
        <v>37607.513757766421</v>
      </c>
    </row>
    <row r="166" spans="1:20">
      <c r="A166" s="100" t="s">
        <v>302</v>
      </c>
      <c r="B166" s="100" t="s">
        <v>303</v>
      </c>
      <c r="C166" s="100" t="s">
        <v>98</v>
      </c>
      <c r="D166" s="100">
        <v>1</v>
      </c>
      <c r="E166" s="100">
        <v>1600</v>
      </c>
      <c r="F166" s="99">
        <v>0.53969999999999996</v>
      </c>
      <c r="G166" s="4">
        <f>(E166*12)*F166</f>
        <v>10362.24</v>
      </c>
      <c r="H166" s="100">
        <v>209</v>
      </c>
      <c r="I166" s="99">
        <v>0.53969999999999996</v>
      </c>
      <c r="J166" s="100">
        <v>94</v>
      </c>
      <c r="K166" s="100">
        <v>411</v>
      </c>
      <c r="L166">
        <f>K166-J166</f>
        <v>317</v>
      </c>
      <c r="M166">
        <f>H166-J166</f>
        <v>115</v>
      </c>
      <c r="N166" s="112">
        <f>((0.8*M166))/(L166)+0.1</f>
        <v>0.39022082018927451</v>
      </c>
      <c r="O166" s="108">
        <f>I166</f>
        <v>0.53969999999999996</v>
      </c>
      <c r="P166" s="63">
        <v>240.07629789268233</v>
      </c>
      <c r="Q166" s="113">
        <f>0.1+0.8*(P166-J166)/(K166-J166)</f>
        <v>0.46864680856197438</v>
      </c>
      <c r="R166" s="113">
        <f>($Q$2*Q166)+$R$2</f>
        <v>0.47969682467165992</v>
      </c>
      <c r="S166" s="63">
        <f>365*P166*R166</f>
        <v>42034.800788987239</v>
      </c>
      <c r="T166" s="65">
        <f>S166*(1-$T$1)</f>
        <v>29424.360552291066</v>
      </c>
    </row>
    <row r="167" spans="1:20">
      <c r="A167" s="100" t="s">
        <v>304</v>
      </c>
      <c r="B167" s="100" t="s">
        <v>303</v>
      </c>
      <c r="C167" s="100" t="s">
        <v>98</v>
      </c>
      <c r="D167" s="100">
        <v>2</v>
      </c>
      <c r="E167" s="100">
        <v>2100</v>
      </c>
      <c r="F167" s="99">
        <v>0.4027</v>
      </c>
      <c r="G167" s="4">
        <f>(E167*12)*F167</f>
        <v>10148.040000000001</v>
      </c>
      <c r="H167" s="100">
        <v>265</v>
      </c>
      <c r="I167" s="99">
        <v>0.4027</v>
      </c>
      <c r="J167" s="100">
        <v>130</v>
      </c>
      <c r="K167" s="100">
        <v>438</v>
      </c>
      <c r="L167">
        <f>K167-J167</f>
        <v>308</v>
      </c>
      <c r="M167">
        <f>H167-J167</f>
        <v>135</v>
      </c>
      <c r="N167" s="112">
        <f>((0.8*M167))/(L167)+0.1</f>
        <v>0.45064935064935063</v>
      </c>
      <c r="O167" s="108">
        <f>I167</f>
        <v>0.4027</v>
      </c>
      <c r="P167" s="63">
        <v>252.59463643831597</v>
      </c>
      <c r="Q167" s="113">
        <f>0.1+0.8*(P167-J167)/(K167-J167)</f>
        <v>0.41842762711250903</v>
      </c>
      <c r="R167" s="113">
        <f>($Q$2*Q167)+$R$2</f>
        <v>0.51945774819185053</v>
      </c>
      <c r="S167" s="63">
        <f>365*P167*R167</f>
        <v>47892.467983099174</v>
      </c>
      <c r="T167" s="65">
        <f>S167*(1-$T$1)</f>
        <v>33524.727588169422</v>
      </c>
    </row>
    <row r="168" spans="1:20">
      <c r="A168" s="100" t="s">
        <v>305</v>
      </c>
      <c r="B168" s="100" t="s">
        <v>303</v>
      </c>
      <c r="C168" s="100" t="s">
        <v>107</v>
      </c>
      <c r="D168" s="100">
        <v>1</v>
      </c>
      <c r="E168" s="100">
        <v>1200</v>
      </c>
      <c r="F168" s="99">
        <v>0.4</v>
      </c>
      <c r="G168" s="4">
        <f>(E168*12)*F168</f>
        <v>5760</v>
      </c>
      <c r="H168" s="100">
        <v>435</v>
      </c>
      <c r="I168" s="99">
        <v>0.4</v>
      </c>
      <c r="J168" s="100">
        <v>162</v>
      </c>
      <c r="K168" s="100">
        <v>504</v>
      </c>
      <c r="L168">
        <f>K168-J168</f>
        <v>342</v>
      </c>
      <c r="M168">
        <f>H168-J168</f>
        <v>273</v>
      </c>
      <c r="N168" s="112">
        <f>((0.8*M168))/(L168)+0.1</f>
        <v>0.73859649122807014</v>
      </c>
      <c r="O168" s="108">
        <f>I168</f>
        <v>0.4</v>
      </c>
      <c r="P168" s="63">
        <v>289.30313526592238</v>
      </c>
      <c r="Q168" s="113">
        <f>0.1+0.8*(P168-J168)/(K168-J168)</f>
        <v>0.39778511173315179</v>
      </c>
      <c r="R168" s="113">
        <f>($Q$2*Q168)+$R$2</f>
        <v>0.53580141313367968</v>
      </c>
      <c r="S168" s="63">
        <f>365*P168*R168</f>
        <v>56578.29547531213</v>
      </c>
      <c r="T168" s="65">
        <f>S168*(1-$T$1)</f>
        <v>39604.806832718488</v>
      </c>
    </row>
    <row r="169" spans="1:20">
      <c r="A169" s="100" t="s">
        <v>306</v>
      </c>
      <c r="B169" s="100" t="s">
        <v>303</v>
      </c>
      <c r="C169" s="100" t="s">
        <v>107</v>
      </c>
      <c r="D169" s="100">
        <v>2</v>
      </c>
      <c r="E169" s="100">
        <v>2100</v>
      </c>
      <c r="F169" s="99">
        <v>0.43009999999999998</v>
      </c>
      <c r="G169" s="4">
        <f>(E169*12)*F169</f>
        <v>10838.52</v>
      </c>
      <c r="H169" s="100">
        <v>487</v>
      </c>
      <c r="I169" s="99">
        <v>0.43009999999999998</v>
      </c>
      <c r="J169" s="100">
        <v>175</v>
      </c>
      <c r="K169" s="100">
        <v>755</v>
      </c>
      <c r="L169">
        <f>K169-J169</f>
        <v>580</v>
      </c>
      <c r="M169">
        <f>H169-J169</f>
        <v>312</v>
      </c>
      <c r="N169" s="112">
        <f>((0.8*M169))/(L169)+0.1</f>
        <v>0.53034482758620693</v>
      </c>
      <c r="O169" s="108">
        <f>I169</f>
        <v>0.43009999999999998</v>
      </c>
      <c r="P169" s="63">
        <v>440.76262634762685</v>
      </c>
      <c r="Q169" s="113">
        <f>0.1+0.8*(P169-J169)/(K169-J169)</f>
        <v>0.46656913978983017</v>
      </c>
      <c r="R169" s="113">
        <f>($Q$2*Q169)+$R$2</f>
        <v>0.48134181423073197</v>
      </c>
      <c r="S169" s="63">
        <f>365*P169*R169</f>
        <v>77437.481007113165</v>
      </c>
      <c r="T169" s="65">
        <f>S169*(1-$T$1)</f>
        <v>54206.236704979216</v>
      </c>
    </row>
    <row r="170" spans="1:20">
      <c r="A170" s="100" t="s">
        <v>307</v>
      </c>
      <c r="B170" s="100" t="s">
        <v>308</v>
      </c>
      <c r="C170" s="100" t="s">
        <v>98</v>
      </c>
      <c r="D170" s="100">
        <v>2</v>
      </c>
      <c r="E170" s="100">
        <v>2500</v>
      </c>
      <c r="F170" s="99">
        <v>0.4027</v>
      </c>
      <c r="G170" s="4">
        <f>(E170*12)*F170</f>
        <v>12081</v>
      </c>
      <c r="H170" s="100">
        <v>231</v>
      </c>
      <c r="I170" s="99">
        <v>0.4027</v>
      </c>
      <c r="J170" s="100">
        <v>129</v>
      </c>
      <c r="K170" s="100">
        <v>431</v>
      </c>
      <c r="L170">
        <f>K170-J170</f>
        <v>302</v>
      </c>
      <c r="M170">
        <f>H170-J170</f>
        <v>102</v>
      </c>
      <c r="N170" s="112">
        <f>((0.8*M170))/(L170)+0.1</f>
        <v>0.37019867549668872</v>
      </c>
      <c r="O170" s="108">
        <f>I170</f>
        <v>0.4027</v>
      </c>
      <c r="P170" s="63">
        <v>248.44019523616404</v>
      </c>
      <c r="Q170" s="113">
        <f>0.1+0.8*(P170-J170)/(K170-J170)</f>
        <v>0.41639786817526903</v>
      </c>
      <c r="R170" s="113">
        <f>($Q$2*Q170)+$R$2</f>
        <v>0.52106480524731513</v>
      </c>
      <c r="S170" s="63">
        <f>365*P170*R170</f>
        <v>47250.506310412922</v>
      </c>
      <c r="T170" s="65">
        <f>S170*(1-$T$1)</f>
        <v>33075.354417289047</v>
      </c>
    </row>
    <row r="171" spans="1:20">
      <c r="A171" s="100" t="s">
        <v>309</v>
      </c>
      <c r="B171" s="100" t="s">
        <v>97</v>
      </c>
      <c r="C171" s="100" t="s">
        <v>107</v>
      </c>
      <c r="D171" s="100">
        <v>2</v>
      </c>
      <c r="E171" s="100">
        <v>2000</v>
      </c>
      <c r="F171" s="99">
        <v>0.31230000000000002</v>
      </c>
      <c r="G171" s="4">
        <f>(E171*12)*F171</f>
        <v>7495.2000000000007</v>
      </c>
      <c r="H171" s="100">
        <v>199</v>
      </c>
      <c r="I171" s="99">
        <v>0.31230000000000002</v>
      </c>
      <c r="J171" s="100">
        <v>97</v>
      </c>
      <c r="K171" s="100">
        <v>240</v>
      </c>
      <c r="L171">
        <f>K171-J171</f>
        <v>143</v>
      </c>
      <c r="M171">
        <f>H171-J171</f>
        <v>102</v>
      </c>
      <c r="N171" s="112">
        <f>((0.8*M171))/(L171)+0.1</f>
        <v>0.67062937062937067</v>
      </c>
      <c r="O171" s="108">
        <f>I171</f>
        <v>0.31230000000000002</v>
      </c>
      <c r="P171" s="63">
        <v>135.59750966907356</v>
      </c>
      <c r="Q171" s="113">
        <f>0.1+0.8*(P171-J171)/(K171-J171)</f>
        <v>0.31593012402278914</v>
      </c>
      <c r="R171" s="113">
        <f>($Q$2*Q171)+$R$2</f>
        <v>0.60060991482885251</v>
      </c>
      <c r="S171" s="63">
        <f>365*P171*R171</f>
        <v>29726.041187671573</v>
      </c>
      <c r="T171" s="65">
        <f>S171*(1-$T$1)</f>
        <v>20808.228831370099</v>
      </c>
    </row>
    <row r="172" spans="1:20">
      <c r="A172" s="100" t="s">
        <v>310</v>
      </c>
      <c r="B172" s="100" t="s">
        <v>308</v>
      </c>
      <c r="C172" s="100" t="s">
        <v>107</v>
      </c>
      <c r="D172" s="100">
        <v>1</v>
      </c>
      <c r="E172" s="100">
        <v>2500</v>
      </c>
      <c r="F172" s="99">
        <v>0.2301</v>
      </c>
      <c r="G172" s="4">
        <f>(E172*12)*F172</f>
        <v>6903</v>
      </c>
      <c r="H172" s="100">
        <v>490</v>
      </c>
      <c r="I172" s="99">
        <v>0.2301</v>
      </c>
      <c r="J172" s="100">
        <v>186</v>
      </c>
      <c r="K172" s="100">
        <v>578</v>
      </c>
      <c r="L172">
        <f>K172-J172</f>
        <v>392</v>
      </c>
      <c r="M172">
        <f>H172-J172</f>
        <v>304</v>
      </c>
      <c r="N172" s="112">
        <f>((0.8*M172))/(L172)+0.1</f>
        <v>0.7204081632653061</v>
      </c>
      <c r="O172" s="108">
        <f>I172</f>
        <v>0.2301</v>
      </c>
      <c r="P172" s="63">
        <v>331.75681050888522</v>
      </c>
      <c r="Q172" s="113">
        <f>0.1+0.8*(P172-J172)/(K172-J172)</f>
        <v>0.39746287858956175</v>
      </c>
      <c r="R172" s="113">
        <f>($Q$2*Q172)+$R$2</f>
        <v>0.5360565404975306</v>
      </c>
      <c r="S172" s="63">
        <f>365*P172*R172</f>
        <v>64911.748966679057</v>
      </c>
      <c r="T172" s="65">
        <f>S172*(1-$T$1)</f>
        <v>45438.224276675341</v>
      </c>
    </row>
    <row r="173" spans="1:20">
      <c r="A173" s="100" t="s">
        <v>311</v>
      </c>
      <c r="B173" s="100" t="s">
        <v>308</v>
      </c>
      <c r="C173" s="100" t="s">
        <v>107</v>
      </c>
      <c r="D173" s="100">
        <v>2</v>
      </c>
      <c r="E173" s="100">
        <v>2750</v>
      </c>
      <c r="F173" s="99">
        <v>0.6</v>
      </c>
      <c r="G173" s="4">
        <f>(E173*12)*F173</f>
        <v>19800</v>
      </c>
      <c r="H173" s="100">
        <v>538</v>
      </c>
      <c r="I173" s="99">
        <v>0.6</v>
      </c>
      <c r="J173" s="100">
        <v>188</v>
      </c>
      <c r="K173" s="100">
        <v>810</v>
      </c>
      <c r="L173">
        <f>K173-J173</f>
        <v>622</v>
      </c>
      <c r="M173">
        <f>H173-J173</f>
        <v>350</v>
      </c>
      <c r="N173" s="112">
        <f>((0.8*M173))/(L173)+0.1</f>
        <v>0.5501607717041801</v>
      </c>
      <c r="O173" s="108">
        <f>I173</f>
        <v>0.6</v>
      </c>
      <c r="P173" s="63">
        <v>472.84371384620954</v>
      </c>
      <c r="Q173" s="113">
        <f>0.1+0.8*(P173-J173)/(K173-J173)</f>
        <v>0.46635847440026956</v>
      </c>
      <c r="R173" s="113">
        <f>($Q$2*Q173)+$R$2</f>
        <v>0.48150860807724455</v>
      </c>
      <c r="S173" s="63">
        <f>365*P173*R173</f>
        <v>83102.5862496396</v>
      </c>
      <c r="T173" s="65">
        <f>S173*(1-$T$1)</f>
        <v>58171.810374747714</v>
      </c>
    </row>
    <row r="174" spans="1:20">
      <c r="A174" s="100" t="s">
        <v>312</v>
      </c>
      <c r="B174" s="100" t="s">
        <v>308</v>
      </c>
      <c r="C174" s="100" t="s">
        <v>98</v>
      </c>
      <c r="D174" s="100">
        <v>1</v>
      </c>
      <c r="E174" s="100">
        <v>1800</v>
      </c>
      <c r="F174" s="99">
        <v>0.2329</v>
      </c>
      <c r="G174" s="4">
        <f>(E174*12)*F174</f>
        <v>5030.6400000000003</v>
      </c>
      <c r="H174" s="100">
        <v>288</v>
      </c>
      <c r="I174" s="99">
        <v>0.2329</v>
      </c>
      <c r="J174" s="100">
        <v>89</v>
      </c>
      <c r="K174" s="100">
        <v>390</v>
      </c>
      <c r="L174">
        <f>K174-J174</f>
        <v>301</v>
      </c>
      <c r="M174">
        <f>H174-J174</f>
        <v>199</v>
      </c>
      <c r="N174" s="112">
        <f>((0.8*M174))/(L174)+0.1</f>
        <v>0.62890365448504992</v>
      </c>
      <c r="O174" s="108">
        <f>I174</f>
        <v>0.2329</v>
      </c>
      <c r="P174" s="63">
        <v>227.83112197380882</v>
      </c>
      <c r="Q174" s="113">
        <f>0.1+0.8*(P174-J174)/(K174-J174)</f>
        <v>0.46898637069450855</v>
      </c>
      <c r="R174" s="113">
        <f>($Q$2*Q174)+$R$2</f>
        <v>0.47942797711994045</v>
      </c>
      <c r="S174" s="63">
        <f>365*P174*R174</f>
        <v>39868.444085497395</v>
      </c>
      <c r="T174" s="65">
        <f>S174*(1-$T$1)</f>
        <v>27907.910859848176</v>
      </c>
    </row>
    <row r="175" spans="1:20" s="114" customFormat="1">
      <c r="A175" s="120" t="s">
        <v>313</v>
      </c>
      <c r="B175" s="120" t="s">
        <v>314</v>
      </c>
      <c r="C175" s="120" t="s">
        <v>98</v>
      </c>
      <c r="D175" s="120">
        <v>2</v>
      </c>
      <c r="E175" s="120">
        <v>3000</v>
      </c>
      <c r="F175" s="121">
        <v>0.40820000000000001</v>
      </c>
      <c r="G175" s="122">
        <f>(E175*12)*F175</f>
        <v>14695.2</v>
      </c>
      <c r="H175" s="120">
        <v>415</v>
      </c>
      <c r="I175" s="121">
        <v>0.40820000000000001</v>
      </c>
      <c r="J175" s="120">
        <v>193</v>
      </c>
      <c r="K175" s="120">
        <v>648</v>
      </c>
      <c r="L175" s="114">
        <f>K175-J175</f>
        <v>455</v>
      </c>
      <c r="M175" s="114">
        <f>H175-J175</f>
        <v>222</v>
      </c>
      <c r="N175" s="119">
        <f>((0.8*M175))/(L175)+0.1</f>
        <v>0.49032967032967034</v>
      </c>
      <c r="O175" s="118">
        <f>I175</f>
        <v>0.40820000000000001</v>
      </c>
      <c r="P175" s="116">
        <v>373.62844019296676</v>
      </c>
      <c r="Q175" s="117">
        <f>0.1+0.8*(P175-J175)/(K175-J175)</f>
        <v>0.41758846627334811</v>
      </c>
      <c r="R175" s="117">
        <f>($Q$2*Q175)+$R$2</f>
        <v>0.52012215189147248</v>
      </c>
      <c r="S175" s="116">
        <f>365*P175*R175</f>
        <v>70931.336337172383</v>
      </c>
      <c r="T175" s="115">
        <f>S175*(1-$T$1)</f>
        <v>49651.935436020663</v>
      </c>
    </row>
    <row r="176" spans="1:20" s="114" customFormat="1">
      <c r="A176" s="120" t="s">
        <v>315</v>
      </c>
      <c r="B176" s="120" t="s">
        <v>314</v>
      </c>
      <c r="C176" s="120" t="s">
        <v>107</v>
      </c>
      <c r="D176" s="120">
        <v>1</v>
      </c>
      <c r="E176" s="120">
        <v>2000</v>
      </c>
      <c r="F176" s="121">
        <v>0.32600000000000001</v>
      </c>
      <c r="G176" s="122">
        <f>(E176*12)*F176</f>
        <v>7824</v>
      </c>
      <c r="H176" s="120">
        <v>387</v>
      </c>
      <c r="I176" s="121">
        <v>0.32600000000000001</v>
      </c>
      <c r="J176" s="120">
        <v>193</v>
      </c>
      <c r="K176" s="120">
        <v>600</v>
      </c>
      <c r="L176" s="114">
        <f>K176-J176</f>
        <v>407</v>
      </c>
      <c r="M176" s="114">
        <f>H176-J176</f>
        <v>194</v>
      </c>
      <c r="N176" s="119">
        <f>((0.8*M176))/(L176)+0.1</f>
        <v>0.48132678132678142</v>
      </c>
      <c r="O176" s="118">
        <f>I176</f>
        <v>0.32600000000000001</v>
      </c>
      <c r="P176" s="116">
        <v>344.39291237807225</v>
      </c>
      <c r="Q176" s="117">
        <f>0.1+0.8*(P176-J176)/(K176-J176)</f>
        <v>0.397578206148545</v>
      </c>
      <c r="R176" s="117">
        <f>($Q$2*Q176)+$R$2</f>
        <v>0.53596523016310949</v>
      </c>
      <c r="S176" s="116">
        <f>365*P176*R176</f>
        <v>67372.658690478842</v>
      </c>
      <c r="T176" s="115">
        <f>S176*(1-$T$1)</f>
        <v>47160.861083335185</v>
      </c>
    </row>
    <row r="177" spans="1:20">
      <c r="A177" s="100" t="s">
        <v>316</v>
      </c>
      <c r="B177" s="100" t="s">
        <v>314</v>
      </c>
      <c r="C177" s="100" t="s">
        <v>107</v>
      </c>
      <c r="D177" s="100">
        <v>2</v>
      </c>
      <c r="E177" s="100">
        <v>2950</v>
      </c>
      <c r="F177" s="99">
        <v>0.38900000000000001</v>
      </c>
      <c r="G177" s="4">
        <f>(E177*12)*F177</f>
        <v>13770.6</v>
      </c>
      <c r="H177" s="100">
        <v>575</v>
      </c>
      <c r="I177" s="99">
        <v>0.38900000000000001</v>
      </c>
      <c r="J177" s="100">
        <v>192</v>
      </c>
      <c r="K177" s="100">
        <v>829</v>
      </c>
      <c r="L177">
        <f>K177-J177</f>
        <v>637</v>
      </c>
      <c r="M177">
        <f>H177-J177</f>
        <v>383</v>
      </c>
      <c r="N177" s="112">
        <f>((0.8*M177))/(L177)+0.1</f>
        <v>0.58100470957613826</v>
      </c>
      <c r="O177" s="108">
        <f>I177</f>
        <v>0.38900000000000001</v>
      </c>
      <c r="P177" s="63">
        <v>483.97981627015349</v>
      </c>
      <c r="Q177" s="113">
        <f>0.1+0.8*(P177-J177)/(K177-J177)</f>
        <v>0.46669364680710024</v>
      </c>
      <c r="R177" s="113">
        <f>($Q$2*Q177)+$R$2</f>
        <v>0.48124323608093905</v>
      </c>
      <c r="S177" s="63">
        <f>365*P177*R177</f>
        <v>85012.884737593049</v>
      </c>
      <c r="T177" s="65">
        <f>S177*(1-$T$1)</f>
        <v>59509.019316315127</v>
      </c>
    </row>
    <row r="178" spans="1:20">
      <c r="A178" s="100" t="s">
        <v>317</v>
      </c>
      <c r="B178" s="100" t="s">
        <v>314</v>
      </c>
      <c r="C178" s="100" t="s">
        <v>98</v>
      </c>
      <c r="D178" s="100">
        <v>1</v>
      </c>
      <c r="E178" s="100">
        <v>1700</v>
      </c>
      <c r="F178" s="99">
        <v>0.52049999999999996</v>
      </c>
      <c r="G178" s="4">
        <f>(E178*12)*F178</f>
        <v>10618.199999999999</v>
      </c>
      <c r="H178" s="100">
        <v>228</v>
      </c>
      <c r="I178" s="99">
        <v>0.52049999999999996</v>
      </c>
      <c r="J178" s="100">
        <v>98</v>
      </c>
      <c r="K178" s="100">
        <v>432</v>
      </c>
      <c r="L178">
        <f>K178-J178</f>
        <v>334</v>
      </c>
      <c r="M178">
        <f>H178-J178</f>
        <v>130</v>
      </c>
      <c r="N178" s="112">
        <f>((0.8*M178))/(L178)+0.1</f>
        <v>0.41137724550898203</v>
      </c>
      <c r="O178" s="108">
        <f>I178</f>
        <v>0.52049999999999996</v>
      </c>
      <c r="P178" s="63">
        <v>252.43054730648558</v>
      </c>
      <c r="Q178" s="113">
        <f>0.1+0.8*(P178-J178)/(K178-J178)</f>
        <v>0.46989352648260019</v>
      </c>
      <c r="R178" s="113">
        <f>($Q$2*Q178)+$R$2</f>
        <v>0.47870973857303173</v>
      </c>
      <c r="S178" s="63">
        <f>365*P178*R178</f>
        <v>44106.950877761286</v>
      </c>
      <c r="T178" s="65">
        <f>S178*(1-$T$1)</f>
        <v>30874.8656144329</v>
      </c>
    </row>
    <row r="179" spans="1:20">
      <c r="A179" s="100" t="s">
        <v>318</v>
      </c>
      <c r="B179" s="100" t="s">
        <v>319</v>
      </c>
      <c r="C179" s="100" t="s">
        <v>98</v>
      </c>
      <c r="D179" s="100">
        <v>1</v>
      </c>
      <c r="E179" s="100">
        <v>3000</v>
      </c>
      <c r="F179" s="99">
        <v>0.46300000000000002</v>
      </c>
      <c r="G179" s="4">
        <f>(E179*12)*F179</f>
        <v>16668</v>
      </c>
      <c r="H179" s="100">
        <v>337</v>
      </c>
      <c r="I179" s="99">
        <v>0.46300000000000002</v>
      </c>
      <c r="J179" s="100">
        <v>87</v>
      </c>
      <c r="K179" s="100">
        <v>512</v>
      </c>
      <c r="L179">
        <f>K179-J179</f>
        <v>425</v>
      </c>
      <c r="M179">
        <f>H179-J179</f>
        <v>250</v>
      </c>
      <c r="N179" s="112">
        <f>((0.8*M179))/(L179)+0.1</f>
        <v>0.57058823529411762</v>
      </c>
      <c r="O179" s="108">
        <f>I179</f>
        <v>0.46300000000000002</v>
      </c>
      <c r="P179" s="63">
        <v>302.35623623048662</v>
      </c>
      <c r="Q179" s="113">
        <f>0.1+0.8*(P179-J179)/(K179-J179)</f>
        <v>0.50537644466915133</v>
      </c>
      <c r="R179" s="113">
        <f>($Q$2*Q179)+$R$2</f>
        <v>0.45061621821750114</v>
      </c>
      <c r="S179" s="63">
        <f>365*P179*R179</f>
        <v>49730.017659500641</v>
      </c>
      <c r="T179" s="65">
        <f>S179*(1-$T$1)</f>
        <v>34811.01236165045</v>
      </c>
    </row>
    <row r="180" spans="1:20">
      <c r="A180" s="100" t="s">
        <v>320</v>
      </c>
      <c r="B180" s="100" t="s">
        <v>319</v>
      </c>
      <c r="C180" s="100" t="s">
        <v>98</v>
      </c>
      <c r="D180" s="100">
        <v>2</v>
      </c>
      <c r="E180" s="100">
        <v>3200</v>
      </c>
      <c r="F180" s="99">
        <v>0.67949999999999999</v>
      </c>
      <c r="G180" s="4">
        <f>(E180*12)*F180</f>
        <v>26092.799999999999</v>
      </c>
      <c r="H180" s="100">
        <v>154</v>
      </c>
      <c r="I180" s="99">
        <v>0.67949999999999999</v>
      </c>
      <c r="J180" s="100">
        <v>154</v>
      </c>
      <c r="K180" s="100">
        <v>480</v>
      </c>
      <c r="L180">
        <f>K180-J180</f>
        <v>326</v>
      </c>
      <c r="M180">
        <f>H180-J180</f>
        <v>0</v>
      </c>
      <c r="N180" s="112">
        <f>((0.8*M180))/(L180)+0.1</f>
        <v>0.1</v>
      </c>
      <c r="O180" s="108">
        <f>I180</f>
        <v>0.67949999999999999</v>
      </c>
      <c r="P180" s="63">
        <v>275.55795851371539</v>
      </c>
      <c r="Q180" s="113">
        <f>0.1+0.8*(P180-J180)/(K180-J180)</f>
        <v>0.39830173868396412</v>
      </c>
      <c r="R180" s="113">
        <f>($Q$2*Q180)+$R$2</f>
        <v>0.53539237491189207</v>
      </c>
      <c r="S180" s="63">
        <f>365*P180*R180</f>
        <v>53849.044889603712</v>
      </c>
      <c r="T180" s="65">
        <f>S180*(1-$T$1)</f>
        <v>37694.331422722593</v>
      </c>
    </row>
    <row r="181" spans="1:20">
      <c r="A181" s="100" t="s">
        <v>321</v>
      </c>
      <c r="B181" s="100" t="s">
        <v>322</v>
      </c>
      <c r="C181" s="100" t="s">
        <v>98</v>
      </c>
      <c r="D181" s="100">
        <v>2</v>
      </c>
      <c r="E181" s="100">
        <v>4500</v>
      </c>
      <c r="F181" s="99">
        <v>0.68220000000000003</v>
      </c>
      <c r="G181" s="4">
        <f>(E181*12)*F181</f>
        <v>36838.800000000003</v>
      </c>
      <c r="H181" s="100">
        <v>432</v>
      </c>
      <c r="I181" s="99">
        <v>0.68220000000000003</v>
      </c>
      <c r="J181" s="100">
        <v>273</v>
      </c>
      <c r="K181" s="100">
        <v>853</v>
      </c>
      <c r="L181">
        <f>K181-J181</f>
        <v>580</v>
      </c>
      <c r="M181">
        <f>H181-J181</f>
        <v>159</v>
      </c>
      <c r="N181" s="112">
        <f>((0.8*M181))/(L181)+0.1</f>
        <v>0.31931034482758625</v>
      </c>
      <c r="O181" s="108">
        <f>I181</f>
        <v>0.68220000000000003</v>
      </c>
      <c r="P181" s="63">
        <v>489.76262776366997</v>
      </c>
      <c r="Q181" s="113">
        <f>0.1+0.8*(P181-J181)/(K181-J181)</f>
        <v>0.39898293484644132</v>
      </c>
      <c r="R181" s="113">
        <f>($Q$2*Q181)+$R$2</f>
        <v>0.53485303938835793</v>
      </c>
      <c r="S181" s="63">
        <f>365*P181*R181</f>
        <v>95612.125963953178</v>
      </c>
      <c r="T181" s="65">
        <f>S181*(1-$T$1)</f>
        <v>66928.488174767219</v>
      </c>
    </row>
    <row r="182" spans="1:20">
      <c r="A182" s="100" t="s">
        <v>323</v>
      </c>
      <c r="B182" s="100" t="s">
        <v>97</v>
      </c>
      <c r="C182" s="100" t="s">
        <v>98</v>
      </c>
      <c r="D182" s="100">
        <v>1</v>
      </c>
      <c r="E182" s="100">
        <v>800</v>
      </c>
      <c r="F182" s="99">
        <v>0.56989999999999996</v>
      </c>
      <c r="G182" s="4">
        <f>(E182*12)*F182</f>
        <v>5471.04</v>
      </c>
      <c r="H182" s="100">
        <v>104</v>
      </c>
      <c r="I182" s="99">
        <v>0.56989999999999996</v>
      </c>
      <c r="J182" s="100">
        <v>53</v>
      </c>
      <c r="K182" s="100">
        <v>188</v>
      </c>
      <c r="L182">
        <f>K182-J182</f>
        <v>135</v>
      </c>
      <c r="M182">
        <f>H182-J182</f>
        <v>51</v>
      </c>
      <c r="N182" s="112">
        <f>((0.8*M182))/(L182)+0.1</f>
        <v>0.40222222222222226</v>
      </c>
      <c r="O182" s="108">
        <f>I182</f>
        <v>0.56989999999999996</v>
      </c>
      <c r="P182" s="63">
        <v>108.72492181549543</v>
      </c>
      <c r="Q182" s="113">
        <f>0.1+0.8*(P182-J182)/(K182-J182)</f>
        <v>0.43022175890663961</v>
      </c>
      <c r="R182" s="113">
        <f>($Q$2*Q182)+$R$2</f>
        <v>0.51011977097441286</v>
      </c>
      <c r="S182" s="63">
        <f>365*P182*R182</f>
        <v>20243.897258741988</v>
      </c>
      <c r="T182" s="65">
        <f>S182*(1-$T$1)</f>
        <v>14170.72808111939</v>
      </c>
    </row>
    <row r="183" spans="1:20">
      <c r="A183" s="100" t="s">
        <v>324</v>
      </c>
      <c r="B183" s="100" t="s">
        <v>322</v>
      </c>
      <c r="C183" s="100" t="s">
        <v>107</v>
      </c>
      <c r="D183" s="100">
        <v>1</v>
      </c>
      <c r="E183" s="100">
        <v>4500</v>
      </c>
      <c r="F183" s="99">
        <v>0.86850000000000005</v>
      </c>
      <c r="G183" s="4">
        <f>(E183*12)*F183</f>
        <v>46899</v>
      </c>
      <c r="H183" s="100">
        <v>200</v>
      </c>
      <c r="I183" s="99">
        <v>0.86850000000000005</v>
      </c>
      <c r="J183" s="100">
        <v>103</v>
      </c>
      <c r="K183" s="100">
        <v>807</v>
      </c>
      <c r="L183">
        <f>K183-J183</f>
        <v>704</v>
      </c>
      <c r="M183">
        <f>H183-J183</f>
        <v>97</v>
      </c>
      <c r="N183" s="112">
        <f>((0.8*M183))/(L183)+0.1</f>
        <v>0.21022727272727276</v>
      </c>
      <c r="O183" s="108">
        <f>I183</f>
        <v>0.86850000000000005</v>
      </c>
      <c r="P183" s="63">
        <v>480.28774043043649</v>
      </c>
      <c r="Q183" s="113">
        <f>0.1+0.8*(P183-J183)/(K183-J183)</f>
        <v>0.52873606867095058</v>
      </c>
      <c r="R183" s="113">
        <f>($Q$2*Q183)+$R$2</f>
        <v>0.43212128865895022</v>
      </c>
      <c r="S183" s="63">
        <f>365*P183*R183</f>
        <v>75753.033422491892</v>
      </c>
      <c r="T183" s="65">
        <f>S183*(1-$T$1)</f>
        <v>53027.123395744318</v>
      </c>
    </row>
    <row r="184" spans="1:20">
      <c r="A184" s="100" t="s">
        <v>325</v>
      </c>
      <c r="B184" s="100" t="s">
        <v>322</v>
      </c>
      <c r="C184" s="100" t="s">
        <v>107</v>
      </c>
      <c r="D184" s="100">
        <v>2</v>
      </c>
      <c r="E184" s="100">
        <v>5500</v>
      </c>
      <c r="F184" s="99">
        <v>0.52329999999999999</v>
      </c>
      <c r="G184" s="4">
        <f>(E184*12)*F184</f>
        <v>34537.799999999996</v>
      </c>
      <c r="H184" s="100">
        <v>428</v>
      </c>
      <c r="I184" s="99">
        <v>0.52329999999999999</v>
      </c>
      <c r="J184" s="100">
        <v>200</v>
      </c>
      <c r="K184" s="100">
        <v>770</v>
      </c>
      <c r="L184">
        <f>K184-J184</f>
        <v>570</v>
      </c>
      <c r="M184">
        <f>H184-J184</f>
        <v>228</v>
      </c>
      <c r="N184" s="112">
        <f>((0.8*M184))/(L184)+0.1</f>
        <v>0.42000000000000004</v>
      </c>
      <c r="O184" s="108">
        <f>I184</f>
        <v>0.52329999999999999</v>
      </c>
      <c r="P184" s="63">
        <v>447.17189210987044</v>
      </c>
      <c r="Q184" s="113">
        <f>0.1+0.8*(P184-J184)/(K184-J184)</f>
        <v>0.44690791875069535</v>
      </c>
      <c r="R184" s="113">
        <f>($Q$2*Q184)+$R$2</f>
        <v>0.49690854159440395</v>
      </c>
      <c r="S184" s="63">
        <f>365*P184*R184</f>
        <v>81104.289453868943</v>
      </c>
      <c r="T184" s="65">
        <f>S184*(1-$T$1)</f>
        <v>56773.002617708255</v>
      </c>
    </row>
    <row r="185" spans="1:20">
      <c r="A185" s="100" t="s">
        <v>326</v>
      </c>
      <c r="B185" s="100" t="s">
        <v>322</v>
      </c>
      <c r="C185" s="100" t="s">
        <v>98</v>
      </c>
      <c r="D185" s="100">
        <v>1</v>
      </c>
      <c r="E185" s="100">
        <v>3500</v>
      </c>
      <c r="F185" s="99">
        <v>0.46029999999999999</v>
      </c>
      <c r="G185" s="4">
        <f>(E185*12)*F185</f>
        <v>19332.599999999999</v>
      </c>
      <c r="H185" s="100">
        <v>576</v>
      </c>
      <c r="I185" s="99">
        <v>0.46029999999999999</v>
      </c>
      <c r="J185" s="100">
        <v>151</v>
      </c>
      <c r="K185" s="100">
        <v>890</v>
      </c>
      <c r="L185">
        <f>K185-J185</f>
        <v>739</v>
      </c>
      <c r="M185">
        <f>H185-J185</f>
        <v>425</v>
      </c>
      <c r="N185" s="112">
        <f>((0.8*M185))/(L185)+0.1</f>
        <v>0.56008119079837615</v>
      </c>
      <c r="O185" s="108">
        <f>I185</f>
        <v>0.46029999999999999</v>
      </c>
      <c r="P185" s="63">
        <v>525.60531175186429</v>
      </c>
      <c r="Q185" s="113">
        <f>0.1+0.8*(P185-J185)/(K185-J185)</f>
        <v>0.5055267244945757</v>
      </c>
      <c r="R185" s="113">
        <f>($Q$2*Q185)+$R$2</f>
        <v>0.45049723450504581</v>
      </c>
      <c r="S185" s="63">
        <f>365*P185*R185</f>
        <v>86426.06487566272</v>
      </c>
      <c r="T185" s="65">
        <f>S185*(1-$T$1)</f>
        <v>60498.245412963901</v>
      </c>
    </row>
    <row r="186" spans="1:20">
      <c r="A186" s="100" t="s">
        <v>327</v>
      </c>
      <c r="B186" s="100" t="s">
        <v>328</v>
      </c>
      <c r="C186" s="100" t="s">
        <v>98</v>
      </c>
      <c r="D186" s="100">
        <v>2</v>
      </c>
      <c r="E186" s="100">
        <v>4000</v>
      </c>
      <c r="F186" s="99">
        <v>0.35339999999999999</v>
      </c>
      <c r="G186" s="4">
        <f>(E186*12)*F186</f>
        <v>16963.2</v>
      </c>
      <c r="H186" s="100">
        <v>560</v>
      </c>
      <c r="I186" s="99">
        <v>0.35339999999999999</v>
      </c>
      <c r="J186" s="100">
        <v>218</v>
      </c>
      <c r="K186" s="100">
        <v>681</v>
      </c>
      <c r="L186">
        <f>K186-J186</f>
        <v>463</v>
      </c>
      <c r="M186">
        <f>H186-J186</f>
        <v>342</v>
      </c>
      <c r="N186" s="112">
        <f>((0.8*M186))/(L186)+0.1</f>
        <v>0.69092872570194386</v>
      </c>
      <c r="O186" s="108">
        <f>I186</f>
        <v>0.35339999999999999</v>
      </c>
      <c r="P186" s="63">
        <v>391.00102840240356</v>
      </c>
      <c r="Q186" s="113">
        <f>0.1+0.8*(P186-J186)/(K186-J186)</f>
        <v>0.3989218633302869</v>
      </c>
      <c r="R186" s="113">
        <f>($Q$2*Q186)+$R$2</f>
        <v>0.53490139262337666</v>
      </c>
      <c r="S186" s="63">
        <f>365*P186*R186</f>
        <v>76338.653032510614</v>
      </c>
      <c r="T186" s="65">
        <f>S186*(1-$T$1)</f>
        <v>53437.057122757426</v>
      </c>
    </row>
    <row r="187" spans="1:20">
      <c r="A187" s="100" t="s">
        <v>329</v>
      </c>
      <c r="B187" s="100" t="s">
        <v>328</v>
      </c>
      <c r="C187" s="100" t="s">
        <v>98</v>
      </c>
      <c r="D187" s="100">
        <v>1</v>
      </c>
      <c r="E187" s="100">
        <v>3000</v>
      </c>
      <c r="F187" s="99">
        <v>0.49859999999999999</v>
      </c>
      <c r="G187" s="4">
        <f>(E187*12)*F187</f>
        <v>17949.599999999999</v>
      </c>
      <c r="H187" s="100">
        <v>288</v>
      </c>
      <c r="I187" s="99">
        <v>0.49859999999999999</v>
      </c>
      <c r="J187" s="100">
        <v>109</v>
      </c>
      <c r="K187" s="100">
        <v>640</v>
      </c>
      <c r="L187">
        <f>K187-J187</f>
        <v>531</v>
      </c>
      <c r="M187">
        <f>H187-J187</f>
        <v>179</v>
      </c>
      <c r="N187" s="112">
        <f>((0.8*M187))/(L187)+0.1</f>
        <v>0.36967984934086628</v>
      </c>
      <c r="O187" s="108">
        <f>I187</f>
        <v>0.49859999999999999</v>
      </c>
      <c r="P187" s="63">
        <v>377.91802605761626</v>
      </c>
      <c r="Q187" s="113">
        <f>0.1+0.8*(P187-J187)/(K187-J187)</f>
        <v>0.5051495684483861</v>
      </c>
      <c r="R187" s="113">
        <f>($Q$2*Q187)+$R$2</f>
        <v>0.45079584695301672</v>
      </c>
      <c r="S187" s="63">
        <f>365*P187*R187</f>
        <v>62182.81497194121</v>
      </c>
      <c r="T187" s="65">
        <f>S187*(1-$T$1)</f>
        <v>43527.970480358847</v>
      </c>
    </row>
    <row r="188" spans="1:20">
      <c r="A188" s="100" t="s">
        <v>330</v>
      </c>
      <c r="B188" s="100" t="s">
        <v>331</v>
      </c>
      <c r="C188" s="100" t="s">
        <v>98</v>
      </c>
      <c r="D188" s="100">
        <v>2</v>
      </c>
      <c r="E188" s="100">
        <v>5600</v>
      </c>
      <c r="F188" s="99">
        <v>0.5151</v>
      </c>
      <c r="G188" s="4">
        <f>(E188*12)*F188</f>
        <v>34614.720000000001</v>
      </c>
      <c r="H188" s="100">
        <v>373</v>
      </c>
      <c r="I188" s="99">
        <v>0.5151</v>
      </c>
      <c r="J188" s="100">
        <v>196</v>
      </c>
      <c r="K188" s="100">
        <v>612</v>
      </c>
      <c r="L188">
        <f>K188-J188</f>
        <v>416</v>
      </c>
      <c r="M188">
        <f>H188-J188</f>
        <v>177</v>
      </c>
      <c r="N188" s="112">
        <f>((0.8*M188))/(L188)+0.1</f>
        <v>0.44038461538461537</v>
      </c>
      <c r="O188" s="108">
        <f>I188</f>
        <v>0.5151</v>
      </c>
      <c r="P188" s="63">
        <v>351.37457389071255</v>
      </c>
      <c r="Q188" s="113">
        <f>0.1+0.8*(P188-J188)/(K188-J188)</f>
        <v>0.39879725748213957</v>
      </c>
      <c r="R188" s="113">
        <f>($Q$2*Q188)+$R$2</f>
        <v>0.53500004902229348</v>
      </c>
      <c r="S188" s="63">
        <f>365*P188*R188</f>
        <v>68614.676203702329</v>
      </c>
      <c r="T188" s="65">
        <f>S188*(1-$T$1)</f>
        <v>48030.27334259163</v>
      </c>
    </row>
    <row r="189" spans="1:20">
      <c r="A189" s="100" t="s">
        <v>332</v>
      </c>
      <c r="B189" s="100" t="s">
        <v>331</v>
      </c>
      <c r="C189" s="100" t="s">
        <v>107</v>
      </c>
      <c r="D189" s="100">
        <v>1</v>
      </c>
      <c r="E189" s="100">
        <v>3200</v>
      </c>
      <c r="F189" s="99">
        <v>0.87119999999999997</v>
      </c>
      <c r="G189" s="4">
        <f>(E189*12)*F189</f>
        <v>33454.080000000002</v>
      </c>
      <c r="H189" s="100">
        <v>420</v>
      </c>
      <c r="I189" s="99">
        <v>0.87119999999999997</v>
      </c>
      <c r="J189" s="100">
        <v>165</v>
      </c>
      <c r="K189" s="100">
        <v>1296</v>
      </c>
      <c r="L189">
        <f>K189-J189</f>
        <v>1131</v>
      </c>
      <c r="M189">
        <f>H189-J189</f>
        <v>255</v>
      </c>
      <c r="N189" s="112">
        <f>((0.8*M189))/(L189)+0.1</f>
        <v>0.28037135278514591</v>
      </c>
      <c r="O189" s="108">
        <f>I189</f>
        <v>0.87119999999999997</v>
      </c>
      <c r="P189" s="63">
        <v>771.36212476537457</v>
      </c>
      <c r="Q189" s="113">
        <f>0.1+0.8*(P189-J189)/(K189-J189)</f>
        <v>0.52890335969257263</v>
      </c>
      <c r="R189" s="113">
        <f>($Q$2*Q189)+$R$2</f>
        <v>0.43198883637031582</v>
      </c>
      <c r="S189" s="63">
        <f>365*P189*R189</f>
        <v>121625.23674459792</v>
      </c>
      <c r="T189" s="65">
        <f>S189*(1-$T$1)</f>
        <v>85137.665721218538</v>
      </c>
    </row>
    <row r="190" spans="1:20">
      <c r="A190" s="100" t="s">
        <v>333</v>
      </c>
      <c r="B190" s="100" t="s">
        <v>331</v>
      </c>
      <c r="C190" s="100" t="s">
        <v>107</v>
      </c>
      <c r="D190" s="100">
        <v>2</v>
      </c>
      <c r="E190" s="100">
        <v>3500</v>
      </c>
      <c r="F190" s="99">
        <v>0.50680000000000003</v>
      </c>
      <c r="G190" s="4">
        <f>(E190*12)*F190</f>
        <v>21285.600000000002</v>
      </c>
      <c r="H190" s="100">
        <v>593</v>
      </c>
      <c r="I190" s="99">
        <v>0.50680000000000003</v>
      </c>
      <c r="J190" s="100">
        <v>268</v>
      </c>
      <c r="K190" s="100">
        <v>1032</v>
      </c>
      <c r="L190">
        <f>K190-J190</f>
        <v>764</v>
      </c>
      <c r="M190">
        <f>H190-J190</f>
        <v>325</v>
      </c>
      <c r="N190" s="112">
        <f>((0.8*M190))/(L190)+0.1</f>
        <v>0.44031413612565451</v>
      </c>
      <c r="O190" s="108">
        <f>I190</f>
        <v>0.50680000000000003</v>
      </c>
      <c r="P190" s="63">
        <v>599.33214922795071</v>
      </c>
      <c r="Q190" s="113">
        <f>0.1+0.8*(P190-J190)/(K190-J190)</f>
        <v>0.44694465887743529</v>
      </c>
      <c r="R190" s="113">
        <f>($Q$2*Q190)+$R$2</f>
        <v>0.496879452682015</v>
      </c>
      <c r="S190" s="63">
        <f>365*P190*R190</f>
        <v>108695.47805333877</v>
      </c>
      <c r="T190" s="65">
        <f>S190*(1-$T$1)</f>
        <v>76086.834637337131</v>
      </c>
    </row>
    <row r="191" spans="1:20">
      <c r="A191" s="100" t="s">
        <v>334</v>
      </c>
      <c r="B191" s="100" t="s">
        <v>331</v>
      </c>
      <c r="C191" s="100" t="s">
        <v>98</v>
      </c>
      <c r="D191" s="100">
        <v>1</v>
      </c>
      <c r="E191" s="100">
        <v>3400</v>
      </c>
      <c r="F191" s="99">
        <v>0.28220000000000001</v>
      </c>
      <c r="G191" s="4">
        <f>(E191*12)*F191</f>
        <v>11513.76</v>
      </c>
      <c r="H191" s="100">
        <v>436</v>
      </c>
      <c r="I191" s="99">
        <v>0.28220000000000001</v>
      </c>
      <c r="J191" s="100">
        <v>106</v>
      </c>
      <c r="K191" s="100">
        <v>624</v>
      </c>
      <c r="L191">
        <f>K191-J191</f>
        <v>518</v>
      </c>
      <c r="M191">
        <f>H191-J191</f>
        <v>330</v>
      </c>
      <c r="N191" s="112">
        <f>((0.8*M191))/(L191)+0.1</f>
        <v>0.60965250965250961</v>
      </c>
      <c r="O191" s="108">
        <f>I191</f>
        <v>0.28220000000000001</v>
      </c>
      <c r="P191" s="63">
        <v>368.5000693735314</v>
      </c>
      <c r="Q191" s="113">
        <f>0.1+0.8*(P191-J191)/(K191-J191)</f>
        <v>0.50540551254599442</v>
      </c>
      <c r="R191" s="113">
        <f>($Q$2*Q191)+$R$2</f>
        <v>0.45059320379164441</v>
      </c>
      <c r="S191" s="63">
        <f>365*P191*R191</f>
        <v>60605.923802608901</v>
      </c>
      <c r="T191" s="65">
        <f>S191*(1-$T$1)</f>
        <v>42424.146661826228</v>
      </c>
    </row>
    <row r="192" spans="1:20">
      <c r="A192" s="100" t="s">
        <v>335</v>
      </c>
      <c r="B192" s="100" t="s">
        <v>336</v>
      </c>
      <c r="C192" s="100" t="s">
        <v>98</v>
      </c>
      <c r="D192" s="100">
        <v>2</v>
      </c>
      <c r="E192" s="100">
        <v>4200</v>
      </c>
      <c r="F192" s="99">
        <v>0.54249999999999998</v>
      </c>
      <c r="G192" s="4">
        <f>(E192*12)*F192</f>
        <v>27342</v>
      </c>
      <c r="H192" s="100">
        <v>426</v>
      </c>
      <c r="I192" s="99">
        <v>0.54249999999999998</v>
      </c>
      <c r="J192" s="100">
        <v>210</v>
      </c>
      <c r="K192" s="100">
        <v>654</v>
      </c>
      <c r="L192">
        <f>K192-J192</f>
        <v>444</v>
      </c>
      <c r="M192">
        <f>H192-J192</f>
        <v>216</v>
      </c>
      <c r="N192" s="112">
        <f>((0.8*M192))/(L192)+0.1</f>
        <v>0.48918918918918919</v>
      </c>
      <c r="O192" s="108">
        <f>I192</f>
        <v>0.54249999999999998</v>
      </c>
      <c r="P192" s="63">
        <v>375.42863174874128</v>
      </c>
      <c r="Q192" s="113">
        <f>0.1+0.8*(P192-J192)/(K192-J192)</f>
        <v>0.39806960675448877</v>
      </c>
      <c r="R192" s="113">
        <f>($Q$2*Q192)+$R$2</f>
        <v>0.53557616484291171</v>
      </c>
      <c r="S192" s="63">
        <f>365*P192*R192</f>
        <v>73390.778768937627</v>
      </c>
      <c r="T192" s="65">
        <f>S192*(1-$T$1)</f>
        <v>51373.545138256333</v>
      </c>
    </row>
    <row r="193" spans="1:20">
      <c r="A193" s="100" t="s">
        <v>337</v>
      </c>
      <c r="B193" s="100" t="s">
        <v>338</v>
      </c>
      <c r="C193" s="100" t="s">
        <v>98</v>
      </c>
      <c r="D193" s="100">
        <v>2</v>
      </c>
      <c r="E193" s="100">
        <v>1100</v>
      </c>
      <c r="F193" s="99">
        <v>8.2199999999999995E-2</v>
      </c>
      <c r="G193" s="4">
        <f>(E193*12)*F193</f>
        <v>1085.04</v>
      </c>
      <c r="H193" s="100">
        <v>142</v>
      </c>
      <c r="I193" s="99">
        <v>8.2199999999999995E-2</v>
      </c>
      <c r="J193" s="100">
        <v>111</v>
      </c>
      <c r="K193" s="100">
        <v>148</v>
      </c>
      <c r="L193">
        <f>K193-J193</f>
        <v>37</v>
      </c>
      <c r="M193">
        <f>H193-J193</f>
        <v>31</v>
      </c>
      <c r="N193" s="112">
        <f>((0.8*M193))/(L193)+0.1</f>
        <v>0.77027027027027029</v>
      </c>
      <c r="O193" s="108">
        <f>I193</f>
        <v>8.2199999999999995E-2</v>
      </c>
      <c r="P193" s="63">
        <v>111</v>
      </c>
      <c r="Q193" s="113">
        <f>0.1+0.8*(P193-J193)/(K193-J193)</f>
        <v>0.1</v>
      </c>
      <c r="R193" s="113">
        <f>($Q$2*Q193)+$R$2</f>
        <v>0.77157210296437406</v>
      </c>
      <c r="S193" s="63">
        <f>365*P193*R193</f>
        <v>31260.243751601614</v>
      </c>
      <c r="T193" s="65">
        <f>S193*(1-$T$1)</f>
        <v>21882.170626121129</v>
      </c>
    </row>
    <row r="194" spans="1:20">
      <c r="A194" s="100" t="s">
        <v>339</v>
      </c>
      <c r="B194" s="100" t="s">
        <v>336</v>
      </c>
      <c r="C194" s="100" t="s">
        <v>107</v>
      </c>
      <c r="D194" s="100">
        <v>1</v>
      </c>
      <c r="E194" s="100">
        <v>3000</v>
      </c>
      <c r="F194" s="99">
        <v>0.34789999999999999</v>
      </c>
      <c r="G194" s="4">
        <f>(E194*12)*F194</f>
        <v>12524.4</v>
      </c>
      <c r="H194" s="100">
        <v>621</v>
      </c>
      <c r="I194" s="99">
        <v>0.34789999999999999</v>
      </c>
      <c r="J194" s="100">
        <v>133</v>
      </c>
      <c r="K194" s="100">
        <v>1040</v>
      </c>
      <c r="L194">
        <f>K194-J194</f>
        <v>907</v>
      </c>
      <c r="M194">
        <f>H194-J194</f>
        <v>488</v>
      </c>
      <c r="N194" s="112">
        <f>((0.8*M194))/(L194)+0.1</f>
        <v>0.53042998897464166</v>
      </c>
      <c r="O194" s="108">
        <f>I194</f>
        <v>0.34789999999999999</v>
      </c>
      <c r="P194" s="63">
        <v>618.92965990114487</v>
      </c>
      <c r="Q194" s="113">
        <f>0.1+0.8*(P194-J194)/(K194-J194)</f>
        <v>0.52860388965922378</v>
      </c>
      <c r="R194" s="113">
        <f>($Q$2*Q194)+$R$2</f>
        <v>0.43222594109303125</v>
      </c>
      <c r="S194" s="63">
        <f>365*P194*R194</f>
        <v>97643.87097322417</v>
      </c>
      <c r="T194" s="65">
        <f>S194*(1-$T$1)</f>
        <v>68350.709681256922</v>
      </c>
    </row>
    <row r="195" spans="1:20">
      <c r="A195" s="100" t="s">
        <v>340</v>
      </c>
      <c r="B195" s="100" t="s">
        <v>336</v>
      </c>
      <c r="C195" s="100" t="s">
        <v>107</v>
      </c>
      <c r="D195" s="100">
        <v>2</v>
      </c>
      <c r="E195" s="100">
        <v>3900</v>
      </c>
      <c r="F195" s="99">
        <v>0.47670000000000001</v>
      </c>
      <c r="G195" s="4">
        <f>(E195*12)*F195</f>
        <v>22309.56</v>
      </c>
      <c r="H195" s="100">
        <v>535</v>
      </c>
      <c r="I195" s="99">
        <v>0.47670000000000001</v>
      </c>
      <c r="J195" s="100">
        <v>231</v>
      </c>
      <c r="K195" s="100">
        <v>888</v>
      </c>
      <c r="L195">
        <f>K195-J195</f>
        <v>657</v>
      </c>
      <c r="M195">
        <f>H195-J195</f>
        <v>304</v>
      </c>
      <c r="N195" s="112">
        <f>((0.8*M195))/(L195)+0.1</f>
        <v>0.4701674277016743</v>
      </c>
      <c r="O195" s="108">
        <f>I195</f>
        <v>0.47670000000000001</v>
      </c>
      <c r="P195" s="63">
        <v>515.66128566874534</v>
      </c>
      <c r="Q195" s="113">
        <f>0.1+0.8*(P195-J195)/(K195-J195)</f>
        <v>0.446619525928457</v>
      </c>
      <c r="R195" s="113">
        <f>($Q$2*Q195)+$R$2</f>
        <v>0.49713687596023448</v>
      </c>
      <c r="S195" s="63">
        <f>365*P195*R195</f>
        <v>93569.297823014305</v>
      </c>
      <c r="T195" s="65">
        <f>S195*(1-$T$1)</f>
        <v>65498.508476110008</v>
      </c>
    </row>
    <row r="196" spans="1:20">
      <c r="A196" s="100" t="s">
        <v>341</v>
      </c>
      <c r="B196" s="100" t="s">
        <v>336</v>
      </c>
      <c r="C196" s="100" t="s">
        <v>98</v>
      </c>
      <c r="D196" s="100">
        <v>1</v>
      </c>
      <c r="E196" s="100">
        <v>3600</v>
      </c>
      <c r="F196" s="99">
        <v>0.77810000000000001</v>
      </c>
      <c r="G196" s="4">
        <f>(E196*12)*F196</f>
        <v>33613.919999999998</v>
      </c>
      <c r="H196" s="100">
        <v>196</v>
      </c>
      <c r="I196" s="99">
        <v>0.77810000000000001</v>
      </c>
      <c r="J196" s="100">
        <v>137</v>
      </c>
      <c r="K196" s="100">
        <v>808</v>
      </c>
      <c r="L196">
        <f>K196-J196</f>
        <v>671</v>
      </c>
      <c r="M196">
        <f>H196-J196</f>
        <v>59</v>
      </c>
      <c r="N196" s="112">
        <f>((0.8*M196))/(L196)+0.1</f>
        <v>0.17034277198211625</v>
      </c>
      <c r="O196" s="108">
        <f>I196</f>
        <v>0.77810000000000001</v>
      </c>
      <c r="P196" s="63">
        <v>477.18831509775981</v>
      </c>
      <c r="Q196" s="113">
        <f>0.1+0.8*(P196-J196)/(K196-J196)</f>
        <v>0.50558964542206841</v>
      </c>
      <c r="R196" s="113">
        <f>($Q$2*Q196)+$R$2</f>
        <v>0.45044741700277574</v>
      </c>
      <c r="S196" s="63">
        <f>365*P196*R196</f>
        <v>78456.109045287783</v>
      </c>
      <c r="T196" s="65">
        <f>S196*(1-$T$1)</f>
        <v>54919.276331701447</v>
      </c>
    </row>
    <row r="197" spans="1:20">
      <c r="A197" s="100" t="s">
        <v>342</v>
      </c>
      <c r="B197" s="100" t="s">
        <v>343</v>
      </c>
      <c r="C197" s="100" t="s">
        <v>98</v>
      </c>
      <c r="D197" s="100">
        <v>2</v>
      </c>
      <c r="E197" s="100">
        <v>3500</v>
      </c>
      <c r="F197" s="99">
        <v>0.39729999999999999</v>
      </c>
      <c r="G197" s="4">
        <f>(E197*12)*F197</f>
        <v>16686.599999999999</v>
      </c>
      <c r="H197" s="100">
        <v>294</v>
      </c>
      <c r="I197" s="99">
        <v>0.39729999999999999</v>
      </c>
      <c r="J197" s="100">
        <v>155</v>
      </c>
      <c r="K197" s="100">
        <v>483</v>
      </c>
      <c r="L197">
        <f>K197-J197</f>
        <v>328</v>
      </c>
      <c r="M197">
        <f>H197-J197</f>
        <v>139</v>
      </c>
      <c r="N197" s="112">
        <f>((0.8*M197))/(L197)+0.1</f>
        <v>0.4390243902439025</v>
      </c>
      <c r="O197" s="108">
        <f>I197</f>
        <v>0.39729999999999999</v>
      </c>
      <c r="P197" s="63">
        <v>277.27610633690796</v>
      </c>
      <c r="Q197" s="113">
        <f>0.1+0.8*(P197-J197)/(K197-J197)</f>
        <v>0.39823440569977553</v>
      </c>
      <c r="R197" s="113">
        <f>($Q$2*Q197)+$R$2</f>
        <v>0.53544568565008877</v>
      </c>
      <c r="S197" s="63">
        <f>365*P197*R197</f>
        <v>54190.1976282627</v>
      </c>
      <c r="T197" s="65">
        <f>S197*(1-$T$1)</f>
        <v>37933.138339783887</v>
      </c>
    </row>
    <row r="198" spans="1:20">
      <c r="A198" s="100" t="s">
        <v>344</v>
      </c>
      <c r="B198" s="100" t="s">
        <v>343</v>
      </c>
      <c r="C198" s="100" t="s">
        <v>107</v>
      </c>
      <c r="D198" s="100">
        <v>1</v>
      </c>
      <c r="E198" s="100">
        <v>2500</v>
      </c>
      <c r="F198" s="99">
        <v>0.6</v>
      </c>
      <c r="G198" s="4">
        <f>(E198*12)*F198</f>
        <v>18000</v>
      </c>
      <c r="H198" s="100">
        <v>471</v>
      </c>
      <c r="I198" s="99">
        <v>0.6</v>
      </c>
      <c r="J198" s="100">
        <v>111</v>
      </c>
      <c r="K198" s="100">
        <v>868</v>
      </c>
      <c r="L198">
        <f>K198-J198</f>
        <v>757</v>
      </c>
      <c r="M198">
        <f>H198-J198</f>
        <v>360</v>
      </c>
      <c r="N198" s="112">
        <f>((0.8*M198))/(L198)+0.1</f>
        <v>0.480449141347424</v>
      </c>
      <c r="O198" s="108">
        <f>I198</f>
        <v>0.6</v>
      </c>
      <c r="P198" s="63">
        <v>516.56863566170534</v>
      </c>
      <c r="Q198" s="113">
        <f>0.1+0.8*(P198-J198)/(K198-J198)</f>
        <v>0.52860621998595014</v>
      </c>
      <c r="R198" s="113">
        <f>($Q$2*Q198)+$R$2</f>
        <v>0.43222409606210743</v>
      </c>
      <c r="S198" s="63">
        <f>365*P198*R198</f>
        <v>81494.795235064594</v>
      </c>
      <c r="T198" s="65">
        <f>S198*(1-$T$1)</f>
        <v>57046.356664545216</v>
      </c>
    </row>
    <row r="199" spans="1:20">
      <c r="A199" s="100" t="s">
        <v>345</v>
      </c>
      <c r="B199" s="100" t="s">
        <v>343</v>
      </c>
      <c r="C199" s="100" t="s">
        <v>107</v>
      </c>
      <c r="D199" s="100">
        <v>2</v>
      </c>
      <c r="E199" s="100">
        <v>3000</v>
      </c>
      <c r="F199" s="99">
        <v>0.29320000000000002</v>
      </c>
      <c r="G199" s="4">
        <f>(E199*12)*F199</f>
        <v>10555.2</v>
      </c>
      <c r="H199" s="100">
        <v>620</v>
      </c>
      <c r="I199" s="99">
        <v>0.29320000000000002</v>
      </c>
      <c r="J199" s="100">
        <v>195</v>
      </c>
      <c r="K199" s="100">
        <v>752</v>
      </c>
      <c r="L199">
        <f>K199-J199</f>
        <v>557</v>
      </c>
      <c r="M199">
        <f>H199-J199</f>
        <v>425</v>
      </c>
      <c r="N199" s="112">
        <f>((0.8*M199))/(L199)+0.1</f>
        <v>0.71041292639138243</v>
      </c>
      <c r="O199" s="108">
        <f>I199</f>
        <v>0.29320000000000002</v>
      </c>
      <c r="P199" s="63">
        <v>436.75393717578572</v>
      </c>
      <c r="Q199" s="113">
        <f>0.1+0.8*(P199-J199)/(K199-J199)</f>
        <v>0.44722289001908189</v>
      </c>
      <c r="R199" s="113">
        <f>($Q$2*Q199)+$R$2</f>
        <v>0.49665916380384845</v>
      </c>
      <c r="S199" s="63">
        <f>365*P199*R199</f>
        <v>79175.013507403972</v>
      </c>
      <c r="T199" s="65">
        <f>S199*(1-$T$1)</f>
        <v>55422.509455182779</v>
      </c>
    </row>
    <row r="200" spans="1:20">
      <c r="A200" s="100" t="s">
        <v>346</v>
      </c>
      <c r="B200" s="100" t="s">
        <v>343</v>
      </c>
      <c r="C200" s="100" t="s">
        <v>98</v>
      </c>
      <c r="D200" s="100">
        <v>1</v>
      </c>
      <c r="E200" s="100">
        <v>3000</v>
      </c>
      <c r="F200" s="99">
        <v>0.6411</v>
      </c>
      <c r="G200" s="4">
        <f>(E200*12)*F200</f>
        <v>23079.599999999999</v>
      </c>
      <c r="H200" s="100">
        <v>235</v>
      </c>
      <c r="I200" s="99">
        <v>0.6411</v>
      </c>
      <c r="J200" s="100">
        <v>80</v>
      </c>
      <c r="K200" s="100">
        <v>469</v>
      </c>
      <c r="L200">
        <f>K200-J200</f>
        <v>389</v>
      </c>
      <c r="M200">
        <f>H200-J200</f>
        <v>155</v>
      </c>
      <c r="N200" s="112">
        <f>((0.8*M200))/(L200)+0.1</f>
        <v>0.41876606683804629</v>
      </c>
      <c r="O200" s="108">
        <f>I200</f>
        <v>0.6411</v>
      </c>
      <c r="P200" s="63">
        <v>276.92959002761341</v>
      </c>
      <c r="Q200" s="113">
        <f>0.1+0.8*(P200-J200)/(K200-J200)</f>
        <v>0.5049965861750404</v>
      </c>
      <c r="R200" s="113">
        <f>($Q$2*Q200)+$R$2</f>
        <v>0.45091697032251182</v>
      </c>
      <c r="S200" s="63">
        <f>365*P200*R200</f>
        <v>45578.371880685954</v>
      </c>
      <c r="T200" s="65">
        <f>S200*(1-$T$1)</f>
        <v>31904.860316480164</v>
      </c>
    </row>
    <row r="201" spans="1:20">
      <c r="A201" s="100" t="s">
        <v>347</v>
      </c>
      <c r="B201" s="100" t="s">
        <v>348</v>
      </c>
      <c r="C201" s="100" t="s">
        <v>98</v>
      </c>
      <c r="D201" s="100">
        <v>2</v>
      </c>
      <c r="E201" s="100">
        <v>3900</v>
      </c>
      <c r="F201" s="99">
        <v>0.50409999999999999</v>
      </c>
      <c r="G201" s="4">
        <f>(E201*12)*F201</f>
        <v>23591.88</v>
      </c>
      <c r="H201" s="100">
        <v>284</v>
      </c>
      <c r="I201" s="99">
        <v>0.50409999999999999</v>
      </c>
      <c r="J201" s="100">
        <v>116</v>
      </c>
      <c r="K201" s="100">
        <v>361</v>
      </c>
      <c r="L201">
        <f>K201-J201</f>
        <v>245</v>
      </c>
      <c r="M201">
        <f>H201-J201</f>
        <v>168</v>
      </c>
      <c r="N201" s="112">
        <f>((0.8*M201))/(L201)+0.1</f>
        <v>0.64857142857142858</v>
      </c>
      <c r="O201" s="108">
        <f>I201</f>
        <v>0.50409999999999999</v>
      </c>
      <c r="P201" s="63">
        <v>207.22300624212644</v>
      </c>
      <c r="Q201" s="113">
        <f>0.1+0.8*(P201-J201)/(K201-J201)</f>
        <v>0.39787104079061697</v>
      </c>
      <c r="R201" s="113">
        <f>($Q$2*Q201)+$R$2</f>
        <v>0.53573337899645512</v>
      </c>
      <c r="S201" s="63">
        <f>365*P201*R201</f>
        <v>40520.942689062744</v>
      </c>
      <c r="T201" s="65">
        <f>S201*(1-$T$1)</f>
        <v>28364.65988234392</v>
      </c>
    </row>
    <row r="202" spans="1:20">
      <c r="A202" s="100" t="s">
        <v>349</v>
      </c>
      <c r="B202" s="100" t="s">
        <v>348</v>
      </c>
      <c r="C202" s="100" t="s">
        <v>107</v>
      </c>
      <c r="D202" s="100">
        <v>1</v>
      </c>
      <c r="E202" s="100">
        <v>2800</v>
      </c>
      <c r="F202" s="99">
        <v>0.4027</v>
      </c>
      <c r="G202" s="4">
        <f>(E202*12)*F202</f>
        <v>13530.72</v>
      </c>
      <c r="H202" s="100">
        <v>355</v>
      </c>
      <c r="I202" s="99">
        <v>0.4027</v>
      </c>
      <c r="J202" s="100">
        <v>102</v>
      </c>
      <c r="K202" s="100">
        <v>799</v>
      </c>
      <c r="L202">
        <f>K202-J202</f>
        <v>697</v>
      </c>
      <c r="M202">
        <f>H202-J202</f>
        <v>253</v>
      </c>
      <c r="N202" s="112">
        <f>((0.8*M202))/(L202)+0.1</f>
        <v>0.39038737446197991</v>
      </c>
      <c r="O202" s="108">
        <f>I202</f>
        <v>0.4027</v>
      </c>
      <c r="P202" s="63">
        <v>475.52422596592936</v>
      </c>
      <c r="Q202" s="113">
        <f>0.1+0.8*(P202-J202)/(K202-J202)</f>
        <v>0.5287222105778242</v>
      </c>
      <c r="R202" s="113">
        <f>($Q$2*Q202)+$R$2</f>
        <v>0.43213226077289213</v>
      </c>
      <c r="S202" s="63">
        <f>365*P202*R202</f>
        <v>75003.615968911879</v>
      </c>
      <c r="T202" s="65">
        <f>S202*(1-$T$1)</f>
        <v>52502.531178238314</v>
      </c>
    </row>
    <row r="203" spans="1:20">
      <c r="A203" s="100" t="s">
        <v>350</v>
      </c>
      <c r="B203" s="100" t="s">
        <v>348</v>
      </c>
      <c r="C203" s="100" t="s">
        <v>107</v>
      </c>
      <c r="D203" s="100">
        <v>2</v>
      </c>
      <c r="E203" s="100">
        <v>3500</v>
      </c>
      <c r="F203" s="99">
        <v>0.50680000000000003</v>
      </c>
      <c r="G203" s="4">
        <f>(E203*12)*F203</f>
        <v>21285.600000000002</v>
      </c>
      <c r="H203" s="100">
        <v>436</v>
      </c>
      <c r="I203" s="99">
        <v>0.50680000000000003</v>
      </c>
      <c r="J203" s="100">
        <v>188</v>
      </c>
      <c r="K203" s="100">
        <v>724</v>
      </c>
      <c r="L203">
        <f>K203-J203</f>
        <v>536</v>
      </c>
      <c r="M203">
        <f>H203-J203</f>
        <v>248</v>
      </c>
      <c r="N203" s="112">
        <f>((0.8*M203))/(L203)+0.1</f>
        <v>0.47014925373134331</v>
      </c>
      <c r="O203" s="108">
        <f>I203</f>
        <v>0.50680000000000003</v>
      </c>
      <c r="P203" s="63">
        <v>420.46339328226424</v>
      </c>
      <c r="Q203" s="113">
        <f>0.1+0.8*(P203-J203)/(K203-J203)</f>
        <v>0.44696028848099145</v>
      </c>
      <c r="R203" s="113">
        <f>($Q$2*Q203)+$R$2</f>
        <v>0.49686707797869029</v>
      </c>
      <c r="S203" s="63">
        <f>365*P203*R203</f>
        <v>76253.762430264673</v>
      </c>
      <c r="T203" s="65">
        <f>S203*(1-$T$1)</f>
        <v>53377.633701185267</v>
      </c>
    </row>
    <row r="204" spans="1:20">
      <c r="A204" s="100" t="s">
        <v>351</v>
      </c>
      <c r="B204" s="100" t="s">
        <v>338</v>
      </c>
      <c r="C204" s="100" t="s">
        <v>107</v>
      </c>
      <c r="D204" s="100">
        <v>1</v>
      </c>
      <c r="E204" s="100">
        <v>900</v>
      </c>
      <c r="F204" s="99">
        <v>0.54790000000000005</v>
      </c>
      <c r="G204" s="4">
        <f>(E204*12)*F204</f>
        <v>5917.3200000000006</v>
      </c>
      <c r="H204" s="100">
        <v>141</v>
      </c>
      <c r="I204" s="99">
        <v>0.54790000000000005</v>
      </c>
      <c r="J204" s="100">
        <v>116</v>
      </c>
      <c r="K204" s="100">
        <v>296</v>
      </c>
      <c r="L204">
        <f>K204-J204</f>
        <v>180</v>
      </c>
      <c r="M204">
        <f>H204-J204</f>
        <v>25</v>
      </c>
      <c r="N204" s="112">
        <f>((0.8*M204))/(L204)+0.1</f>
        <v>0.21111111111111111</v>
      </c>
      <c r="O204" s="108">
        <f>I204</f>
        <v>0.54790000000000005</v>
      </c>
      <c r="P204" s="63">
        <v>167.63322938520568</v>
      </c>
      <c r="Q204" s="113">
        <f>0.1+0.8*(P204-J204)/(K204-J204)</f>
        <v>0.32948101948980307</v>
      </c>
      <c r="R204" s="113">
        <f>($Q$2*Q204)+$R$2</f>
        <v>0.58988102394009478</v>
      </c>
      <c r="S204" s="63">
        <f>365*P204*R204</f>
        <v>36092.536263587419</v>
      </c>
      <c r="T204" s="65">
        <f>S204*(1-$T$1)</f>
        <v>25264.775384511191</v>
      </c>
    </row>
    <row r="205" spans="1:20">
      <c r="A205" s="100" t="s">
        <v>352</v>
      </c>
      <c r="B205" s="100" t="s">
        <v>348</v>
      </c>
      <c r="C205" s="100" t="s">
        <v>98</v>
      </c>
      <c r="D205" s="100">
        <v>1</v>
      </c>
      <c r="E205" s="100">
        <v>2600</v>
      </c>
      <c r="F205" s="99">
        <v>0.36990000000000001</v>
      </c>
      <c r="G205" s="4">
        <f>(E205*12)*F205</f>
        <v>11540.880000000001</v>
      </c>
      <c r="H205" s="100">
        <v>250</v>
      </c>
      <c r="I205" s="99">
        <v>0.36990000000000001</v>
      </c>
      <c r="J205" s="100">
        <v>69</v>
      </c>
      <c r="K205" s="100">
        <v>406</v>
      </c>
      <c r="L205">
        <f>K205-J205</f>
        <v>337</v>
      </c>
      <c r="M205">
        <f>H205-J205</f>
        <v>181</v>
      </c>
      <c r="N205" s="112">
        <f>((0.8*M205))/(L205)+0.1</f>
        <v>0.52967359050445106</v>
      </c>
      <c r="O205" s="108">
        <f>I205</f>
        <v>0.36990000000000001</v>
      </c>
      <c r="P205" s="63">
        <v>239.75776706052241</v>
      </c>
      <c r="Q205" s="113">
        <f>0.1+0.8*(P205-J205)/(K205-J205)</f>
        <v>0.50535968441667045</v>
      </c>
      <c r="R205" s="113">
        <f>($Q$2*Q205)+$R$2</f>
        <v>0.45062948810955905</v>
      </c>
      <c r="S205" s="63">
        <f>365*P205*R205</f>
        <v>39435.300741882551</v>
      </c>
      <c r="T205" s="65">
        <f>S205*(1-$T$1)</f>
        <v>27604.710519317785</v>
      </c>
    </row>
    <row r="206" spans="1:20">
      <c r="A206" s="100" t="s">
        <v>353</v>
      </c>
      <c r="B206" s="100" t="s">
        <v>354</v>
      </c>
      <c r="C206" s="100" t="s">
        <v>98</v>
      </c>
      <c r="D206" s="100">
        <v>2</v>
      </c>
      <c r="E206" s="100">
        <v>2695</v>
      </c>
      <c r="F206" s="99">
        <v>0.2356</v>
      </c>
      <c r="G206" s="4">
        <f>(E206*12)*F206</f>
        <v>7619.3040000000001</v>
      </c>
      <c r="H206" s="100">
        <v>443</v>
      </c>
      <c r="I206" s="99">
        <v>0.2356</v>
      </c>
      <c r="J206" s="100">
        <v>265</v>
      </c>
      <c r="K206" s="100">
        <v>534</v>
      </c>
      <c r="L206">
        <f>K206-J206</f>
        <v>269</v>
      </c>
      <c r="M206">
        <f>H206-J206</f>
        <v>178</v>
      </c>
      <c r="N206" s="112">
        <f>((0.8*M206))/(L206)+0.1</f>
        <v>0.6293680297397769</v>
      </c>
      <c r="O206" s="108">
        <f>I206</f>
        <v>0.2356</v>
      </c>
      <c r="P206" s="63">
        <v>296.34077013606174</v>
      </c>
      <c r="Q206" s="113">
        <f>0.1+0.8*(P206-J206)/(K206-J206)</f>
        <v>0.19320675133401261</v>
      </c>
      <c r="R206" s="113">
        <f>($Q$2*Q206)+$R$2</f>
        <v>0.69777586805189618</v>
      </c>
      <c r="S206" s="63">
        <f>365*P206*R206</f>
        <v>75474.494914113136</v>
      </c>
      <c r="T206" s="65">
        <f>S206*(1-$T$1)</f>
        <v>52832.146439879194</v>
      </c>
    </row>
    <row r="207" spans="1:20">
      <c r="A207" s="100" t="s">
        <v>355</v>
      </c>
      <c r="B207" s="100" t="s">
        <v>354</v>
      </c>
      <c r="C207" s="100" t="s">
        <v>107</v>
      </c>
      <c r="D207" s="100">
        <v>1</v>
      </c>
      <c r="E207" s="100">
        <v>3000</v>
      </c>
      <c r="F207" s="99">
        <v>0.58079999999999998</v>
      </c>
      <c r="G207" s="4">
        <f>(E207*12)*F207</f>
        <v>20908.8</v>
      </c>
      <c r="H207" s="100">
        <v>343</v>
      </c>
      <c r="I207" s="99">
        <v>0.58079999999999998</v>
      </c>
      <c r="J207" s="100">
        <v>158</v>
      </c>
      <c r="K207" s="100">
        <v>706</v>
      </c>
      <c r="L207">
        <f>K207-J207</f>
        <v>548</v>
      </c>
      <c r="M207">
        <f>H207-J207</f>
        <v>185</v>
      </c>
      <c r="N207" s="112">
        <f>((0.8*M207))/(L207)+0.1</f>
        <v>0.37007299270072991</v>
      </c>
      <c r="O207" s="108">
        <f>I207</f>
        <v>0.58079999999999998</v>
      </c>
      <c r="P207" s="63">
        <v>412.77227417772787</v>
      </c>
      <c r="Q207" s="113">
        <f>0.1+0.8*(P207-J207)/(K207-J207)</f>
        <v>0.47193032726675599</v>
      </c>
      <c r="R207" s="113">
        <f>($Q$2*Q207)+$R$2</f>
        <v>0.47709710615117162</v>
      </c>
      <c r="S207" s="63">
        <f>365*P207*R207</f>
        <v>71880.346991015671</v>
      </c>
      <c r="T207" s="65">
        <f>S207*(1-$T$1)</f>
        <v>50316.242893710965</v>
      </c>
    </row>
    <row r="208" spans="1:20">
      <c r="A208" s="100" t="s">
        <v>356</v>
      </c>
      <c r="B208" s="100" t="s">
        <v>354</v>
      </c>
      <c r="C208" s="100" t="s">
        <v>107</v>
      </c>
      <c r="D208" s="100">
        <v>2</v>
      </c>
      <c r="E208" s="100">
        <v>4000</v>
      </c>
      <c r="F208" s="99">
        <v>1.9199999999999998E-2</v>
      </c>
      <c r="G208" s="4">
        <f>(E208*12)*F208</f>
        <v>921.59999999999991</v>
      </c>
      <c r="H208" s="100">
        <v>739</v>
      </c>
      <c r="I208" s="99">
        <v>1.9199999999999998E-2</v>
      </c>
      <c r="J208" s="100">
        <v>306</v>
      </c>
      <c r="K208" s="100">
        <v>781</v>
      </c>
      <c r="L208">
        <f>K208-J208</f>
        <v>475</v>
      </c>
      <c r="M208">
        <f>H208-J208</f>
        <v>433</v>
      </c>
      <c r="N208" s="112">
        <f>((0.8*M208))/(L208)+0.1</f>
        <v>0.82926315789473692</v>
      </c>
      <c r="O208" s="108">
        <f>I208</f>
        <v>1.9199999999999998E-2</v>
      </c>
      <c r="P208" s="63">
        <v>442.30991009155866</v>
      </c>
      <c r="Q208" s="113">
        <f>0.1+0.8*(P208-J208)/(K208-J208)</f>
        <v>0.32957458541736195</v>
      </c>
      <c r="R208" s="113">
        <f>($Q$2*Q208)+$R$2</f>
        <v>0.58980694332821726</v>
      </c>
      <c r="S208" s="63">
        <f>365*P208*R208</f>
        <v>95220.271467331491</v>
      </c>
      <c r="T208" s="65">
        <f>S208*(1-$T$1)</f>
        <v>66654.190027132034</v>
      </c>
    </row>
    <row r="209" spans="1:20">
      <c r="A209" s="100" t="s">
        <v>357</v>
      </c>
      <c r="B209" s="100" t="s">
        <v>354</v>
      </c>
      <c r="C209" s="100" t="s">
        <v>98</v>
      </c>
      <c r="D209" s="100">
        <v>1</v>
      </c>
      <c r="E209" s="100">
        <v>2295</v>
      </c>
      <c r="F209" s="99">
        <v>0.46850000000000003</v>
      </c>
      <c r="G209" s="4">
        <f>(E209*12)*F209</f>
        <v>12902.490000000002</v>
      </c>
      <c r="H209" s="100">
        <v>270</v>
      </c>
      <c r="I209" s="99">
        <v>0.46850000000000003</v>
      </c>
      <c r="J209" s="100">
        <v>100</v>
      </c>
      <c r="K209" s="100">
        <v>469</v>
      </c>
      <c r="L209">
        <f>K209-J209</f>
        <v>369</v>
      </c>
      <c r="M209">
        <f>H209-J209</f>
        <v>170</v>
      </c>
      <c r="N209" s="112">
        <f>((0.8*M209))/(L209)+0.1</f>
        <v>0.46856368563685635</v>
      </c>
      <c r="O209" s="108">
        <f>I209</f>
        <v>0.46850000000000003</v>
      </c>
      <c r="P209" s="63">
        <v>274.7481196290214</v>
      </c>
      <c r="Q209" s="113">
        <f>0.1+0.8*(P209-J209)/(K209-J209)</f>
        <v>0.47885771193283777</v>
      </c>
      <c r="R209" s="113">
        <f>($Q$2*Q209)+$R$2</f>
        <v>0.47161236498349274</v>
      </c>
      <c r="S209" s="63">
        <f>365*P209*R209</f>
        <v>47294.732822648788</v>
      </c>
      <c r="T209" s="65">
        <f>S209*(1-$T$1)</f>
        <v>33106.312975854147</v>
      </c>
    </row>
    <row r="210" spans="1:20">
      <c r="A210" s="100" t="s">
        <v>358</v>
      </c>
      <c r="B210" s="100" t="s">
        <v>359</v>
      </c>
      <c r="C210" s="100" t="s">
        <v>98</v>
      </c>
      <c r="D210" s="100">
        <v>2</v>
      </c>
      <c r="E210" s="100">
        <v>3000</v>
      </c>
      <c r="F210" s="99">
        <v>0.34250000000000003</v>
      </c>
      <c r="G210" s="4">
        <f>(E210*12)*F210</f>
        <v>12330.000000000002</v>
      </c>
      <c r="H210" s="100">
        <v>424</v>
      </c>
      <c r="I210" s="99">
        <v>0.34250000000000003</v>
      </c>
      <c r="J210" s="100">
        <v>270</v>
      </c>
      <c r="K210" s="100">
        <v>543</v>
      </c>
      <c r="L210">
        <f>K210-J210</f>
        <v>273</v>
      </c>
      <c r="M210">
        <f>H210-J210</f>
        <v>154</v>
      </c>
      <c r="N210" s="112">
        <f>((0.8*M210))/(L210)+0.1</f>
        <v>0.55128205128205132</v>
      </c>
      <c r="O210" s="108">
        <f>I210</f>
        <v>0.34250000000000003</v>
      </c>
      <c r="P210" s="63">
        <v>301.27706436577978</v>
      </c>
      <c r="Q210" s="113">
        <f>0.1+0.8*(P210-J210)/(K210-J210)</f>
        <v>0.19165440107188214</v>
      </c>
      <c r="R210" s="113">
        <f>($Q$2*Q210)+$R$2</f>
        <v>0.69900493786680795</v>
      </c>
      <c r="S210" s="63">
        <f>365*P210*R210</f>
        <v>76866.866815059111</v>
      </c>
      <c r="T210" s="65">
        <f>S210*(1-$T$1)</f>
        <v>53806.806770541378</v>
      </c>
    </row>
    <row r="211" spans="1:20">
      <c r="A211" s="100" t="s">
        <v>360</v>
      </c>
      <c r="B211" s="100" t="s">
        <v>359</v>
      </c>
      <c r="C211" s="100" t="s">
        <v>107</v>
      </c>
      <c r="D211" s="100">
        <v>1</v>
      </c>
      <c r="E211" s="100">
        <v>3300</v>
      </c>
      <c r="F211" s="99">
        <v>0.2712</v>
      </c>
      <c r="G211" s="4">
        <f>(E211*12)*F211</f>
        <v>10739.52</v>
      </c>
      <c r="H211" s="100">
        <v>980</v>
      </c>
      <c r="I211" s="99">
        <v>0.2712</v>
      </c>
      <c r="J211" s="100">
        <v>283</v>
      </c>
      <c r="K211" s="100">
        <v>1261</v>
      </c>
      <c r="L211">
        <f>K211-J211</f>
        <v>978</v>
      </c>
      <c r="M211">
        <f>H211-J211</f>
        <v>697</v>
      </c>
      <c r="N211" s="112">
        <f>((0.8*M211))/(L211)+0.1</f>
        <v>0.67014314928425356</v>
      </c>
      <c r="O211" s="108">
        <f>I211</f>
        <v>0.2712</v>
      </c>
      <c r="P211" s="63">
        <v>737.17387604114629</v>
      </c>
      <c r="Q211" s="113">
        <f>0.1+0.8*(P211-J211)/(K211-J211)</f>
        <v>0.47151237303979243</v>
      </c>
      <c r="R211" s="113">
        <f>($Q$2*Q211)+$R$2</f>
        <v>0.47742802046665012</v>
      </c>
      <c r="S211" s="63">
        <f>365*P211*R211</f>
        <v>128460.82449798906</v>
      </c>
      <c r="T211" s="65">
        <f>S211*(1-$T$1)</f>
        <v>89922.577148592332</v>
      </c>
    </row>
    <row r="212" spans="1:20">
      <c r="A212" s="100" t="s">
        <v>361</v>
      </c>
      <c r="B212" s="100" t="s">
        <v>359</v>
      </c>
      <c r="C212" s="100" t="s">
        <v>107</v>
      </c>
      <c r="D212" s="100">
        <v>2</v>
      </c>
      <c r="E212" s="100">
        <v>4500</v>
      </c>
      <c r="F212" s="99">
        <v>0.43009999999999998</v>
      </c>
      <c r="G212" s="4">
        <f>(E212*12)*F212</f>
        <v>23225.399999999998</v>
      </c>
      <c r="H212" s="100">
        <v>994</v>
      </c>
      <c r="I212" s="99">
        <v>0.43009999999999998</v>
      </c>
      <c r="J212" s="100">
        <v>530</v>
      </c>
      <c r="K212" s="100">
        <v>1354</v>
      </c>
      <c r="L212">
        <f>K212-J212</f>
        <v>824</v>
      </c>
      <c r="M212">
        <f>H212-J212</f>
        <v>464</v>
      </c>
      <c r="N212" s="112">
        <f>((0.8*M212))/(L212)+0.1</f>
        <v>0.55048543689320395</v>
      </c>
      <c r="O212" s="108">
        <f>I212</f>
        <v>0.43009999999999998</v>
      </c>
      <c r="P212" s="63">
        <v>766.87655994698832</v>
      </c>
      <c r="Q212" s="113">
        <f>0.1+0.8*(P212-J212)/(K212-J212)</f>
        <v>0.32997724266697898</v>
      </c>
      <c r="R212" s="113">
        <f>($Q$2*Q212)+$R$2</f>
        <v>0.58948814036001318</v>
      </c>
      <c r="S212" s="63">
        <f>365*P212*R212</f>
        <v>165003.59258122454</v>
      </c>
      <c r="T212" s="65">
        <f>S212*(1-$T$1)</f>
        <v>115502.51480685717</v>
      </c>
    </row>
    <row r="213" spans="1:20">
      <c r="A213" s="100" t="s">
        <v>362</v>
      </c>
      <c r="B213" s="100" t="s">
        <v>359</v>
      </c>
      <c r="C213" s="100" t="s">
        <v>98</v>
      </c>
      <c r="D213" s="100">
        <v>1</v>
      </c>
      <c r="E213" s="100">
        <v>2700</v>
      </c>
      <c r="F213" s="99">
        <v>0.60550000000000004</v>
      </c>
      <c r="G213" s="4">
        <f>(E213*12)*F213</f>
        <v>19618.2</v>
      </c>
      <c r="H213" s="100">
        <v>284</v>
      </c>
      <c r="I213" s="99">
        <v>0.60550000000000004</v>
      </c>
      <c r="J213" s="100">
        <v>103</v>
      </c>
      <c r="K213" s="100">
        <v>483</v>
      </c>
      <c r="L213">
        <f>K213-J213</f>
        <v>380</v>
      </c>
      <c r="M213">
        <f>H213-J213</f>
        <v>181</v>
      </c>
      <c r="N213" s="112">
        <f>((0.8*M213))/(L213)+0.1</f>
        <v>0.4810526315789474</v>
      </c>
      <c r="O213" s="108">
        <f>I213</f>
        <v>0.60550000000000004</v>
      </c>
      <c r="P213" s="63">
        <v>282.94792807321659</v>
      </c>
      <c r="Q213" s="113">
        <f>0.1+0.8*(P213-J213)/(K213-J213)</f>
        <v>0.47883774331203488</v>
      </c>
      <c r="R213" s="113">
        <f>($Q$2*Q213)+$R$2</f>
        <v>0.47162817509392529</v>
      </c>
      <c r="S213" s="63">
        <f>365*P213*R213</f>
        <v>48707.868461779108</v>
      </c>
      <c r="T213" s="65">
        <f>S213*(1-$T$1)</f>
        <v>34095.507923245372</v>
      </c>
    </row>
    <row r="214" spans="1:20">
      <c r="A214" s="100" t="s">
        <v>363</v>
      </c>
      <c r="B214" s="100" t="s">
        <v>364</v>
      </c>
      <c r="C214" s="100" t="s">
        <v>98</v>
      </c>
      <c r="D214" s="100">
        <v>1</v>
      </c>
      <c r="E214" s="100">
        <v>2700</v>
      </c>
      <c r="F214" s="99">
        <v>0.56710000000000005</v>
      </c>
      <c r="G214" s="4">
        <f>(E214*12)*F214</f>
        <v>18374.04</v>
      </c>
      <c r="H214" s="100">
        <v>236</v>
      </c>
      <c r="I214" s="99">
        <v>0.56710000000000005</v>
      </c>
      <c r="J214" s="100">
        <v>110</v>
      </c>
      <c r="K214" s="100">
        <v>515</v>
      </c>
      <c r="L214">
        <f>K214-J214</f>
        <v>405</v>
      </c>
      <c r="M214">
        <f>H214-J214</f>
        <v>126</v>
      </c>
      <c r="N214" s="112">
        <f>((0.8*M214))/(L214)+0.1</f>
        <v>0.34888888888888892</v>
      </c>
      <c r="O214" s="108">
        <f>I214</f>
        <v>0.56710000000000005</v>
      </c>
      <c r="P214" s="63">
        <v>301.67476544648696</v>
      </c>
      <c r="Q214" s="113">
        <f>0.1+0.8*(P214-J214)/(K214-J214)</f>
        <v>0.47861682063503597</v>
      </c>
      <c r="R214" s="113">
        <f>($Q$2*Q214)+$R$2</f>
        <v>0.47180309012460669</v>
      </c>
      <c r="S214" s="63">
        <f>365*P214*R214</f>
        <v>51950.846590847992</v>
      </c>
      <c r="T214" s="65">
        <f>S214*(1-$T$1)</f>
        <v>36365.592613593595</v>
      </c>
    </row>
    <row r="215" spans="1:20">
      <c r="A215" s="100" t="s">
        <v>365</v>
      </c>
      <c r="B215" s="100" t="s">
        <v>338</v>
      </c>
      <c r="C215" s="100" t="s">
        <v>107</v>
      </c>
      <c r="D215" s="100">
        <v>2</v>
      </c>
      <c r="E215" s="100">
        <v>1100</v>
      </c>
      <c r="F215" s="99">
        <v>0.61919999999999997</v>
      </c>
      <c r="G215" s="4">
        <f>(E215*12)*F215</f>
        <v>8173.44</v>
      </c>
      <c r="H215" s="100">
        <v>188</v>
      </c>
      <c r="I215" s="99">
        <v>0.61919999999999997</v>
      </c>
      <c r="J215" s="100">
        <v>136</v>
      </c>
      <c r="K215" s="100">
        <v>335</v>
      </c>
      <c r="L215">
        <f>K215-J215</f>
        <v>199</v>
      </c>
      <c r="M215">
        <f>H215-J215</f>
        <v>52</v>
      </c>
      <c r="N215" s="112">
        <f>((0.8*M215))/(L215)+0.1</f>
        <v>0.30904522613065327</v>
      </c>
      <c r="O215" s="108">
        <f>I215</f>
        <v>0.61919999999999997</v>
      </c>
      <c r="P215" s="63">
        <v>189.20562549098992</v>
      </c>
      <c r="Q215" s="113">
        <f>0.1+0.8*(P215-J215)/(K215-J215)</f>
        <v>0.3138919617728238</v>
      </c>
      <c r="R215" s="113">
        <f>($Q$2*Q215)+$R$2</f>
        <v>0.60222362518819317</v>
      </c>
      <c r="S215" s="63">
        <f>365*P215*R215</f>
        <v>41589.595656552003</v>
      </c>
      <c r="T215" s="65">
        <f>S215*(1-$T$1)</f>
        <v>29112.7169595864</v>
      </c>
    </row>
    <row r="216" spans="1:20">
      <c r="A216" s="100" t="s">
        <v>366</v>
      </c>
      <c r="B216" s="100" t="s">
        <v>364</v>
      </c>
      <c r="C216" s="100" t="s">
        <v>98</v>
      </c>
      <c r="D216" s="100">
        <v>2</v>
      </c>
      <c r="E216" s="100">
        <v>3000</v>
      </c>
      <c r="F216" s="99">
        <v>0.70409999999999995</v>
      </c>
      <c r="G216" s="4">
        <f>(E216*12)*F216</f>
        <v>25347.599999999999</v>
      </c>
      <c r="H216" s="100">
        <v>329</v>
      </c>
      <c r="I216" s="99">
        <v>0.70409999999999995</v>
      </c>
      <c r="J216" s="100">
        <v>270</v>
      </c>
      <c r="K216" s="100">
        <v>544</v>
      </c>
      <c r="L216">
        <f>K216-J216</f>
        <v>274</v>
      </c>
      <c r="M216">
        <f>H216-J216</f>
        <v>59</v>
      </c>
      <c r="N216" s="112">
        <f>((0.8*M216))/(L216)+0.1</f>
        <v>0.27226277372262775</v>
      </c>
      <c r="O216" s="108">
        <f>I216</f>
        <v>0.70409999999999995</v>
      </c>
      <c r="P216" s="63">
        <v>301.88613814200443</v>
      </c>
      <c r="Q216" s="113">
        <f>0.1+0.8*(P216-J216)/(K216-J216)</f>
        <v>0.19309821355329759</v>
      </c>
      <c r="R216" s="113">
        <f>($Q$2*Q216)+$R$2</f>
        <v>0.69786180259470432</v>
      </c>
      <c r="S216" s="63">
        <f>365*P216*R216</f>
        <v>76896.303657878598</v>
      </c>
      <c r="T216" s="65">
        <f>S216*(1-$T$1)</f>
        <v>53827.412560515018</v>
      </c>
    </row>
    <row r="217" spans="1:20">
      <c r="A217" s="100" t="s">
        <v>367</v>
      </c>
      <c r="B217" s="100" t="s">
        <v>364</v>
      </c>
      <c r="C217" s="100" t="s">
        <v>107</v>
      </c>
      <c r="D217" s="100">
        <v>1</v>
      </c>
      <c r="E217" s="100">
        <v>4500</v>
      </c>
      <c r="F217" s="99">
        <v>0.44379999999999997</v>
      </c>
      <c r="G217" s="4">
        <f>(E217*12)*F217</f>
        <v>23965.199999999997</v>
      </c>
      <c r="H217" s="100">
        <v>549</v>
      </c>
      <c r="I217" s="99">
        <v>0.44379999999999997</v>
      </c>
      <c r="J217" s="100">
        <v>231</v>
      </c>
      <c r="K217" s="100">
        <v>1027</v>
      </c>
      <c r="L217">
        <f>K217-J217</f>
        <v>796</v>
      </c>
      <c r="M217">
        <f>H217-J217</f>
        <v>318</v>
      </c>
      <c r="N217" s="112">
        <f>((0.8*M217))/(L217)+0.1</f>
        <v>0.41959798994974873</v>
      </c>
      <c r="O217" s="108">
        <f>I217</f>
        <v>0.44379999999999997</v>
      </c>
      <c r="P217" s="63">
        <v>600.32250417879993</v>
      </c>
      <c r="Q217" s="113">
        <f>0.1+0.8*(P217-J217)/(K217-J217)</f>
        <v>0.47117839615959789</v>
      </c>
      <c r="R217" s="113">
        <f>($Q$2*Q217)+$R$2</f>
        <v>0.47769244590744087</v>
      </c>
      <c r="S217" s="63">
        <f>365*P217*R217</f>
        <v>104670.87675437456</v>
      </c>
      <c r="T217" s="65">
        <f>S217*(1-$T$1)</f>
        <v>73269.613728062192</v>
      </c>
    </row>
    <row r="218" spans="1:20">
      <c r="A218" s="100" t="s">
        <v>368</v>
      </c>
      <c r="B218" s="100" t="s">
        <v>364</v>
      </c>
      <c r="C218" s="100" t="s">
        <v>107</v>
      </c>
      <c r="D218" s="100">
        <v>2</v>
      </c>
      <c r="E218" s="100">
        <v>4900</v>
      </c>
      <c r="F218" s="99">
        <v>0.4466</v>
      </c>
      <c r="G218" s="4">
        <f>(E218*12)*F218</f>
        <v>26260.079999999998</v>
      </c>
      <c r="H218" s="100">
        <v>652</v>
      </c>
      <c r="I218" s="99">
        <v>0.4466</v>
      </c>
      <c r="J218" s="100">
        <v>379</v>
      </c>
      <c r="K218" s="100">
        <v>969</v>
      </c>
      <c r="L218">
        <f>K218-J218</f>
        <v>590</v>
      </c>
      <c r="M218">
        <f>H218-J218</f>
        <v>273</v>
      </c>
      <c r="N218" s="112">
        <f>((0.8*M218))/(L218)+0.1</f>
        <v>0.47016949152542376</v>
      </c>
      <c r="O218" s="108">
        <f>I218</f>
        <v>0.4466</v>
      </c>
      <c r="P218" s="63">
        <v>548.85336100846246</v>
      </c>
      <c r="Q218" s="113">
        <f>0.1+0.8*(P218-J218)/(K218-J218)</f>
        <v>0.33030964204537283</v>
      </c>
      <c r="R218" s="113">
        <f>($Q$2*Q218)+$R$2</f>
        <v>0.58922496390271117</v>
      </c>
      <c r="S218" s="63">
        <f>365*P218*R218</f>
        <v>118040.30716725394</v>
      </c>
      <c r="T218" s="65">
        <f>S218*(1-$T$1)</f>
        <v>82628.215017077746</v>
      </c>
    </row>
    <row r="219" spans="1:20">
      <c r="A219" s="100" t="s">
        <v>369</v>
      </c>
      <c r="B219" s="100" t="s">
        <v>370</v>
      </c>
      <c r="C219" s="100" t="s">
        <v>98</v>
      </c>
      <c r="D219" s="100">
        <v>2</v>
      </c>
      <c r="E219" s="100">
        <v>3300</v>
      </c>
      <c r="F219" s="99">
        <v>0.4219</v>
      </c>
      <c r="G219" s="4">
        <f>(E219*12)*F219</f>
        <v>16707.240000000002</v>
      </c>
      <c r="H219" s="100">
        <v>378</v>
      </c>
      <c r="I219" s="99">
        <v>0.4219</v>
      </c>
      <c r="J219" s="100">
        <v>264</v>
      </c>
      <c r="K219" s="100">
        <v>532</v>
      </c>
      <c r="L219">
        <f>K219-J219</f>
        <v>268</v>
      </c>
      <c r="M219">
        <f>H219-J219</f>
        <v>114</v>
      </c>
      <c r="N219" s="112">
        <f>((0.8*M219))/(L219)+0.1</f>
        <v>0.44029850746268662</v>
      </c>
      <c r="O219" s="108">
        <f>I219</f>
        <v>0.4219</v>
      </c>
      <c r="P219" s="63">
        <v>295.23169664113198</v>
      </c>
      <c r="Q219" s="113">
        <f>0.1+0.8*(P219-J219)/(K219-J219)</f>
        <v>0.19322894519740891</v>
      </c>
      <c r="R219" s="113">
        <f>($Q$2*Q219)+$R$2</f>
        <v>0.69775829611066476</v>
      </c>
      <c r="S219" s="63">
        <f>365*P219*R219</f>
        <v>75190.133446254578</v>
      </c>
      <c r="T219" s="65">
        <f>S219*(1-$T$1)</f>
        <v>52633.093412378199</v>
      </c>
    </row>
    <row r="220" spans="1:20">
      <c r="A220" s="100" t="s">
        <v>371</v>
      </c>
      <c r="B220" s="100" t="s">
        <v>370</v>
      </c>
      <c r="C220" s="100" t="s">
        <v>107</v>
      </c>
      <c r="D220" s="100">
        <v>1</v>
      </c>
      <c r="E220" s="100">
        <v>4500</v>
      </c>
      <c r="F220" s="99">
        <v>0.59179999999999999</v>
      </c>
      <c r="G220" s="4">
        <f>(E220*12)*F220</f>
        <v>31957.200000000001</v>
      </c>
      <c r="H220" s="100">
        <v>255</v>
      </c>
      <c r="I220" s="99">
        <v>0.59179999999999999</v>
      </c>
      <c r="J220" s="100">
        <v>151</v>
      </c>
      <c r="K220" s="100">
        <v>673</v>
      </c>
      <c r="L220">
        <f>K220-J220</f>
        <v>522</v>
      </c>
      <c r="M220">
        <f>H220-J220</f>
        <v>104</v>
      </c>
      <c r="N220" s="112">
        <f>((0.8*M220))/(L220)+0.1</f>
        <v>0.25938697318007664</v>
      </c>
      <c r="O220" s="108">
        <f>I220</f>
        <v>0.59179999999999999</v>
      </c>
      <c r="P220" s="63">
        <v>393.43636441574978</v>
      </c>
      <c r="Q220" s="113">
        <f>0.1+0.8*(P220-J220)/(K220-J220)</f>
        <v>0.47154998377892687</v>
      </c>
      <c r="R220" s="113">
        <f>($Q$2*Q220)+$R$2</f>
        <v>0.47739824224886357</v>
      </c>
      <c r="S220" s="63">
        <f>365*P220*R220</f>
        <v>68556.42751523474</v>
      </c>
      <c r="T220" s="65">
        <f>S220*(1-$T$1)</f>
        <v>47989.499260664314</v>
      </c>
    </row>
    <row r="221" spans="1:20">
      <c r="A221" s="100" t="s">
        <v>372</v>
      </c>
      <c r="B221" s="100" t="s">
        <v>370</v>
      </c>
      <c r="C221" s="100" t="s">
        <v>107</v>
      </c>
      <c r="D221" s="100">
        <v>2</v>
      </c>
      <c r="E221" s="100">
        <v>4200</v>
      </c>
      <c r="F221" s="99">
        <v>0.5726</v>
      </c>
      <c r="G221" s="4">
        <f>(E221*12)*F221</f>
        <v>28859.040000000001</v>
      </c>
      <c r="H221" s="100">
        <v>441</v>
      </c>
      <c r="I221" s="99">
        <v>0.5726</v>
      </c>
      <c r="J221" s="100">
        <v>278</v>
      </c>
      <c r="K221" s="100">
        <v>711</v>
      </c>
      <c r="L221">
        <f>K221-J221</f>
        <v>433</v>
      </c>
      <c r="M221">
        <f>H221-J221</f>
        <v>163</v>
      </c>
      <c r="N221" s="112">
        <f>((0.8*M221))/(L221)+0.1</f>
        <v>0.40115473441108551</v>
      </c>
      <c r="O221" s="108">
        <f>I221</f>
        <v>0.5726</v>
      </c>
      <c r="P221" s="63">
        <v>402.72882380451557</v>
      </c>
      <c r="Q221" s="113">
        <f>0.1+0.8*(P221-J221)/(K221-J221)</f>
        <v>0.33044586384206109</v>
      </c>
      <c r="R221" s="113">
        <f>($Q$2*Q221)+$R$2</f>
        <v>0.58911711060276528</v>
      </c>
      <c r="S221" s="63">
        <f>365*P221*R221</f>
        <v>86597.870978200735</v>
      </c>
      <c r="T221" s="65">
        <f>S221*(1-$T$1)</f>
        <v>60618.509684740508</v>
      </c>
    </row>
    <row r="222" spans="1:20">
      <c r="A222" s="100" t="s">
        <v>373</v>
      </c>
      <c r="B222" s="100" t="s">
        <v>370</v>
      </c>
      <c r="C222" s="100" t="s">
        <v>98</v>
      </c>
      <c r="D222" s="100">
        <v>1</v>
      </c>
      <c r="E222" s="100">
        <v>2500</v>
      </c>
      <c r="F222" s="99">
        <v>0.42470000000000002</v>
      </c>
      <c r="G222" s="4">
        <f>(E222*12)*F222</f>
        <v>12741</v>
      </c>
      <c r="H222" s="100">
        <v>356</v>
      </c>
      <c r="I222" s="99">
        <v>0.42470000000000002</v>
      </c>
      <c r="J222" s="100">
        <v>98</v>
      </c>
      <c r="K222" s="100">
        <v>460</v>
      </c>
      <c r="L222">
        <f>K222-J222</f>
        <v>362</v>
      </c>
      <c r="M222">
        <f>H222-J222</f>
        <v>258</v>
      </c>
      <c r="N222" s="112">
        <f>((0.8*M222))/(L222)+0.1</f>
        <v>0.67016574585635358</v>
      </c>
      <c r="O222" s="108">
        <f>I222</f>
        <v>0.42470000000000002</v>
      </c>
      <c r="P222" s="63">
        <v>269.48460516451428</v>
      </c>
      <c r="Q222" s="113">
        <f>0.1+0.8*(P222-J222)/(K222-J222)</f>
        <v>0.47897150312599845</v>
      </c>
      <c r="R222" s="113">
        <f>($Q$2*Q222)+$R$2</f>
        <v>0.47152227106324263</v>
      </c>
      <c r="S222" s="63">
        <f>365*P222*R222</f>
        <v>46379.817460969847</v>
      </c>
      <c r="T222" s="65">
        <f>S222*(1-$T$1)</f>
        <v>32465.872222678892</v>
      </c>
    </row>
    <row r="223" spans="1:20">
      <c r="A223" s="100" t="s">
        <v>374</v>
      </c>
      <c r="B223" s="100" t="s">
        <v>375</v>
      </c>
      <c r="C223" s="100" t="s">
        <v>98</v>
      </c>
      <c r="D223" s="100">
        <v>1</v>
      </c>
      <c r="E223" s="100">
        <v>2500</v>
      </c>
      <c r="F223" s="99">
        <v>7.9500000000000001E-2</v>
      </c>
      <c r="G223" s="4">
        <f>(E223*12)*F223</f>
        <v>2385</v>
      </c>
      <c r="H223" s="100">
        <v>437</v>
      </c>
      <c r="I223" s="99">
        <v>7.9500000000000001E-2</v>
      </c>
      <c r="J223" s="100">
        <v>108</v>
      </c>
      <c r="K223" s="100">
        <v>507</v>
      </c>
      <c r="L223">
        <f>K223-J223</f>
        <v>399</v>
      </c>
      <c r="M223">
        <f>H223-J223</f>
        <v>329</v>
      </c>
      <c r="N223" s="112">
        <f>((0.8*M223))/(L223)+0.1</f>
        <v>0.75964912280701746</v>
      </c>
      <c r="O223" s="108">
        <f>I223</f>
        <v>7.9500000000000001E-2</v>
      </c>
      <c r="P223" s="63">
        <v>297.02032447690937</v>
      </c>
      <c r="Q223" s="113">
        <f>0.1+0.8*(P223-J223)/(K223-J223)</f>
        <v>0.47898811925194862</v>
      </c>
      <c r="R223" s="113">
        <f>($Q$2*Q223)+$R$2</f>
        <v>0.47150911528304001</v>
      </c>
      <c r="S223" s="63">
        <f>365*P223*R223</f>
        <v>51117.443501543989</v>
      </c>
      <c r="T223" s="65">
        <f>S223*(1-$T$1)</f>
        <v>35782.210451080791</v>
      </c>
    </row>
    <row r="224" spans="1:20">
      <c r="A224" s="100" t="s">
        <v>376</v>
      </c>
      <c r="B224" s="100" t="s">
        <v>375</v>
      </c>
      <c r="C224" s="100" t="s">
        <v>98</v>
      </c>
      <c r="D224" s="100">
        <v>2</v>
      </c>
      <c r="E224" s="100">
        <v>3300</v>
      </c>
      <c r="F224" s="99">
        <v>0.31780000000000003</v>
      </c>
      <c r="G224" s="4">
        <f>(E224*12)*F224</f>
        <v>12584.880000000001</v>
      </c>
      <c r="H224" s="100">
        <v>461</v>
      </c>
      <c r="I224" s="99">
        <v>0.31780000000000003</v>
      </c>
      <c r="J224" s="100">
        <v>270</v>
      </c>
      <c r="K224" s="100">
        <v>543</v>
      </c>
      <c r="L224">
        <f>K224-J224</f>
        <v>273</v>
      </c>
      <c r="M224">
        <f>H224-J224</f>
        <v>191</v>
      </c>
      <c r="N224" s="112">
        <f>((0.8*M224))/(L224)+0.1</f>
        <v>0.65970695970695969</v>
      </c>
      <c r="O224" s="108">
        <f>I224</f>
        <v>0.31780000000000003</v>
      </c>
      <c r="P224" s="63">
        <v>301.27706436577978</v>
      </c>
      <c r="Q224" s="113">
        <f>0.1+0.8*(P224-J224)/(K224-J224)</f>
        <v>0.19165440107188214</v>
      </c>
      <c r="R224" s="113">
        <f>($Q$2*Q224)+$R$2</f>
        <v>0.69900493786680795</v>
      </c>
      <c r="S224" s="63">
        <f>365*P224*R224</f>
        <v>76866.866815059111</v>
      </c>
      <c r="T224" s="65">
        <f>S224*(1-$T$1)</f>
        <v>53806.806770541378</v>
      </c>
    </row>
    <row r="225" spans="1:20">
      <c r="A225" s="100" t="s">
        <v>377</v>
      </c>
      <c r="B225" s="100" t="s">
        <v>375</v>
      </c>
      <c r="C225" s="100" t="s">
        <v>107</v>
      </c>
      <c r="D225" s="100">
        <v>1</v>
      </c>
      <c r="E225" s="100">
        <v>4500</v>
      </c>
      <c r="F225" s="99">
        <v>0.31230000000000002</v>
      </c>
      <c r="G225" s="4">
        <f>(E225*12)*F225</f>
        <v>16864.2</v>
      </c>
      <c r="H225" s="100">
        <v>669</v>
      </c>
      <c r="I225" s="99">
        <v>0.31230000000000002</v>
      </c>
      <c r="J225" s="100">
        <v>186</v>
      </c>
      <c r="K225" s="100">
        <v>829</v>
      </c>
      <c r="L225">
        <f>K225-J225</f>
        <v>643</v>
      </c>
      <c r="M225">
        <f>H225-J225</f>
        <v>483</v>
      </c>
      <c r="N225" s="112">
        <f>((0.8*M225))/(L225)+0.1</f>
        <v>0.7009331259720063</v>
      </c>
      <c r="O225" s="108">
        <f>I225</f>
        <v>0.31230000000000002</v>
      </c>
      <c r="P225" s="63">
        <v>484.6342572397312</v>
      </c>
      <c r="Q225" s="113">
        <f>0.1+0.8*(P225-J225)/(K225-J225)</f>
        <v>0.47155117541490665</v>
      </c>
      <c r="R225" s="113">
        <f>($Q$2*Q225)+$R$2</f>
        <v>0.47739729877376724</v>
      </c>
      <c r="S225" s="63">
        <f>365*P225*R225</f>
        <v>84447.526134309723</v>
      </c>
      <c r="T225" s="65">
        <f>S225*(1-$T$1)</f>
        <v>59113.268294016802</v>
      </c>
    </row>
    <row r="226" spans="1:20">
      <c r="A226" s="100" t="s">
        <v>378</v>
      </c>
      <c r="B226" s="100" t="s">
        <v>338</v>
      </c>
      <c r="C226" s="100" t="s">
        <v>98</v>
      </c>
      <c r="D226" s="100">
        <v>1</v>
      </c>
      <c r="E226" s="100">
        <v>500</v>
      </c>
      <c r="F226" s="99">
        <v>0.39729999999999999</v>
      </c>
      <c r="G226" s="4">
        <f>(E226*12)*F226</f>
        <v>2383.7999999999997</v>
      </c>
      <c r="H226" s="100">
        <v>121</v>
      </c>
      <c r="I226" s="99">
        <v>0.39729999999999999</v>
      </c>
      <c r="J226" s="100">
        <v>50</v>
      </c>
      <c r="K226" s="100">
        <v>174</v>
      </c>
      <c r="L226">
        <f>K226-J226</f>
        <v>124</v>
      </c>
      <c r="M226">
        <f>H226-J226</f>
        <v>71</v>
      </c>
      <c r="N226" s="112">
        <f>((0.8*M226))/(L226)+0.1</f>
        <v>0.5580645161290323</v>
      </c>
      <c r="O226" s="108">
        <f>I226</f>
        <v>0.39729999999999999</v>
      </c>
      <c r="P226" s="63">
        <v>100.52511337127076</v>
      </c>
      <c r="Q226" s="113">
        <f>0.1+0.8*(P226-J226)/(K226-J226)</f>
        <v>0.42596847336303723</v>
      </c>
      <c r="R226" s="113">
        <f>($Q$2*Q226)+$R$2</f>
        <v>0.513487300199852</v>
      </c>
      <c r="S226" s="63">
        <f>365*P226*R226</f>
        <v>18840.704709563721</v>
      </c>
      <c r="T226" s="65">
        <f>S226*(1-$T$1)</f>
        <v>13188.493296694603</v>
      </c>
    </row>
    <row r="227" spans="1:20">
      <c r="A227" s="100" t="s">
        <v>379</v>
      </c>
      <c r="B227" s="100" t="s">
        <v>375</v>
      </c>
      <c r="C227" s="100" t="s">
        <v>107</v>
      </c>
      <c r="D227" s="100">
        <v>2</v>
      </c>
      <c r="E227" s="100">
        <v>4200</v>
      </c>
      <c r="F227" s="99">
        <v>0.61099999999999999</v>
      </c>
      <c r="G227" s="4">
        <f>(E227*12)*F227</f>
        <v>30794.399999999998</v>
      </c>
      <c r="H227" s="100">
        <v>437</v>
      </c>
      <c r="I227" s="99">
        <v>0.61099999999999999</v>
      </c>
      <c r="J227" s="100">
        <v>319</v>
      </c>
      <c r="K227" s="100">
        <v>815</v>
      </c>
      <c r="L227">
        <f>K227-J227</f>
        <v>496</v>
      </c>
      <c r="M227">
        <f>H227-J227</f>
        <v>118</v>
      </c>
      <c r="N227" s="112">
        <f>((0.8*M227))/(L227)+0.1</f>
        <v>0.29032258064516131</v>
      </c>
      <c r="O227" s="108">
        <f>I227</f>
        <v>0.61099999999999999</v>
      </c>
      <c r="P227" s="63">
        <v>461.60045398508026</v>
      </c>
      <c r="Q227" s="113">
        <f>0.1+0.8*(P227-J227)/(K227-J227)</f>
        <v>0.33000073223400039</v>
      </c>
      <c r="R227" s="113">
        <f>($Q$2*Q227)+$R$2</f>
        <v>0.58946954254836226</v>
      </c>
      <c r="S227" s="63">
        <f>365*P227*R227</f>
        <v>99316.284084506085</v>
      </c>
      <c r="T227" s="65">
        <f>S227*(1-$T$1)</f>
        <v>69521.398859154258</v>
      </c>
    </row>
    <row r="228" spans="1:20">
      <c r="A228" s="100" t="s">
        <v>380</v>
      </c>
      <c r="B228" s="100" t="s">
        <v>381</v>
      </c>
      <c r="C228" s="100" t="s">
        <v>98</v>
      </c>
      <c r="D228" s="100">
        <v>2</v>
      </c>
      <c r="E228" s="100">
        <v>3600</v>
      </c>
      <c r="F228" s="99">
        <v>0.2329</v>
      </c>
      <c r="G228" s="4">
        <f>(E228*12)*F228</f>
        <v>10061.280000000001</v>
      </c>
      <c r="H228" s="100">
        <v>663</v>
      </c>
      <c r="I228" s="99">
        <v>0.2329</v>
      </c>
      <c r="J228" s="100">
        <v>332</v>
      </c>
      <c r="K228" s="100">
        <v>805</v>
      </c>
      <c r="L228">
        <f>K228-J228</f>
        <v>473</v>
      </c>
      <c r="M228">
        <f>H228-J228</f>
        <v>331</v>
      </c>
      <c r="N228" s="112">
        <f>((0.8*M228))/(L228)+0.1</f>
        <v>0.65983086680761105</v>
      </c>
      <c r="O228" s="108">
        <f>I228</f>
        <v>0.2329</v>
      </c>
      <c r="P228" s="63">
        <v>454.09176435646492</v>
      </c>
      <c r="Q228" s="113">
        <f>0.1+0.8*(P228-J228)/(K228-J228)</f>
        <v>0.30649769870015209</v>
      </c>
      <c r="R228" s="113">
        <f>($Q$2*Q228)+$R$2</f>
        <v>0.60807801628010139</v>
      </c>
      <c r="S228" s="63">
        <f>365*P228*R228</f>
        <v>100784.97503683882</v>
      </c>
      <c r="T228" s="65">
        <f>S228*(1-$T$1)</f>
        <v>70549.482525787171</v>
      </c>
    </row>
    <row r="229" spans="1:20">
      <c r="A229" s="100" t="s">
        <v>382</v>
      </c>
      <c r="B229" s="100" t="s">
        <v>381</v>
      </c>
      <c r="C229" s="100" t="s">
        <v>107</v>
      </c>
      <c r="D229" s="100">
        <v>1</v>
      </c>
      <c r="E229" s="100">
        <v>4000</v>
      </c>
      <c r="F229" s="99">
        <v>0.50680000000000003</v>
      </c>
      <c r="G229" s="4">
        <f>(E229*12)*F229</f>
        <v>24326.400000000001</v>
      </c>
      <c r="H229" s="100">
        <v>337</v>
      </c>
      <c r="I229" s="99">
        <v>0.50680000000000003</v>
      </c>
      <c r="J229" s="100">
        <v>179</v>
      </c>
      <c r="K229" s="100">
        <v>629</v>
      </c>
      <c r="L229">
        <f>K229-J229</f>
        <v>450</v>
      </c>
      <c r="M229">
        <f>H229-J229</f>
        <v>158</v>
      </c>
      <c r="N229" s="112">
        <f>((0.8*M229))/(L229)+0.1</f>
        <v>0.38088888888888894</v>
      </c>
      <c r="O229" s="108">
        <f>I229</f>
        <v>0.50680000000000003</v>
      </c>
      <c r="P229" s="63">
        <v>363.58307271831882</v>
      </c>
      <c r="Q229" s="113">
        <f>0.1+0.8*(P229-J229)/(K229-J229)</f>
        <v>0.42814768483256682</v>
      </c>
      <c r="R229" s="113">
        <f>($Q$2*Q229)+$R$2</f>
        <v>0.51176191443940344</v>
      </c>
      <c r="S229" s="63">
        <f>365*P229*R229</f>
        <v>67914.808813512005</v>
      </c>
      <c r="T229" s="65">
        <f>S229*(1-$T$1)</f>
        <v>47540.366169458401</v>
      </c>
    </row>
    <row r="230" spans="1:20">
      <c r="A230" s="100" t="s">
        <v>383</v>
      </c>
      <c r="B230" s="100" t="s">
        <v>381</v>
      </c>
      <c r="C230" s="100" t="s">
        <v>107</v>
      </c>
      <c r="D230" s="100">
        <v>2</v>
      </c>
      <c r="E230" s="100">
        <v>5500</v>
      </c>
      <c r="F230" s="99">
        <v>0.61639999999999995</v>
      </c>
      <c r="G230" s="4">
        <f>(E230*12)*F230</f>
        <v>40682.399999999994</v>
      </c>
      <c r="H230" s="100">
        <v>447</v>
      </c>
      <c r="I230" s="99">
        <v>0.61639999999999995</v>
      </c>
      <c r="J230" s="100">
        <v>227</v>
      </c>
      <c r="K230" s="100">
        <v>813</v>
      </c>
      <c r="L230">
        <f>K230-J230</f>
        <v>586</v>
      </c>
      <c r="M230">
        <f>H230-J230</f>
        <v>220</v>
      </c>
      <c r="N230" s="112">
        <f>((0.8*M230))/(L230)+0.1</f>
        <v>0.40034129692832765</v>
      </c>
      <c r="O230" s="108">
        <f>I230</f>
        <v>0.61639999999999995</v>
      </c>
      <c r="P230" s="63">
        <v>470.4170670287441</v>
      </c>
      <c r="Q230" s="113">
        <f>0.1+0.8*(P230-J230)/(K230-J230)</f>
        <v>0.43230998911773943</v>
      </c>
      <c r="R230" s="113">
        <f>($Q$2*Q230)+$R$2</f>
        <v>0.5084664194198949</v>
      </c>
      <c r="S230" s="63">
        <f>365*P230*R230</f>
        <v>87304.817822731697</v>
      </c>
      <c r="T230" s="65">
        <f>S230*(1-$T$1)</f>
        <v>61113.372475912183</v>
      </c>
    </row>
    <row r="231" spans="1:20">
      <c r="A231" s="100" t="s">
        <v>384</v>
      </c>
      <c r="B231" s="100" t="s">
        <v>381</v>
      </c>
      <c r="C231" s="100" t="s">
        <v>98</v>
      </c>
      <c r="D231" s="100">
        <v>1</v>
      </c>
      <c r="E231" s="100">
        <v>3000</v>
      </c>
      <c r="F231" s="99">
        <v>0.1014</v>
      </c>
      <c r="G231" s="4">
        <f>(E231*12)*F231</f>
        <v>3650.4</v>
      </c>
      <c r="H231" s="100">
        <v>610</v>
      </c>
      <c r="I231" s="99">
        <v>0.1014</v>
      </c>
      <c r="J231" s="100">
        <v>115</v>
      </c>
      <c r="K231" s="100">
        <v>650</v>
      </c>
      <c r="L231">
        <f>K231-J231</f>
        <v>535</v>
      </c>
      <c r="M231">
        <f>H231-J231</f>
        <v>495</v>
      </c>
      <c r="N231" s="112">
        <f>((0.8*M231))/(L231)+0.1</f>
        <v>0.84018691588785044</v>
      </c>
      <c r="O231" s="108">
        <f>I231</f>
        <v>0.1014</v>
      </c>
      <c r="P231" s="63">
        <v>383.35431928733459</v>
      </c>
      <c r="Q231" s="113">
        <f>0.1+0.8*(P231-J231)/(K231-J231)</f>
        <v>0.50127748678479944</v>
      </c>
      <c r="R231" s="113">
        <f>($Q$2*Q231)+$R$2</f>
        <v>0.45386155886719293</v>
      </c>
      <c r="S231" s="63">
        <f>365*P231*R231</f>
        <v>63506.272966830773</v>
      </c>
      <c r="T231" s="65">
        <f>S231*(1-$T$1)</f>
        <v>44454.39107678154</v>
      </c>
    </row>
    <row r="232" spans="1:20">
      <c r="A232" s="100" t="s">
        <v>385</v>
      </c>
      <c r="B232" s="100" t="s">
        <v>386</v>
      </c>
      <c r="C232" s="100" t="s">
        <v>98</v>
      </c>
      <c r="D232" s="100">
        <v>2</v>
      </c>
      <c r="E232" s="100">
        <v>4000</v>
      </c>
      <c r="F232" s="99">
        <v>0.31509999999999999</v>
      </c>
      <c r="G232" s="4">
        <f>(E232*12)*F232</f>
        <v>15124.8</v>
      </c>
      <c r="H232" s="100">
        <v>302</v>
      </c>
      <c r="I232" s="99">
        <v>0.31509999999999999</v>
      </c>
      <c r="J232" s="100">
        <v>220</v>
      </c>
      <c r="K232" s="100">
        <v>534</v>
      </c>
      <c r="L232">
        <f>K232-J232</f>
        <v>314</v>
      </c>
      <c r="M232">
        <f>H232-J232</f>
        <v>82</v>
      </c>
      <c r="N232" s="112">
        <f>((0.8*M232))/(L232)+0.1</f>
        <v>0.30891719745222934</v>
      </c>
      <c r="O232" s="108">
        <f>I232</f>
        <v>0.31509999999999999</v>
      </c>
      <c r="P232" s="63">
        <v>301.24907740789365</v>
      </c>
      <c r="Q232" s="113">
        <f>0.1+0.8*(P232-J232)/(K232-J232)</f>
        <v>0.30700401887361439</v>
      </c>
      <c r="R232" s="113">
        <f>($Q$2*Q232)+$R$2</f>
        <v>0.60767713842600846</v>
      </c>
      <c r="S232" s="63">
        <f>365*P232*R232</f>
        <v>66817.69471913694</v>
      </c>
      <c r="T232" s="65">
        <f>S232*(1-$T$1)</f>
        <v>46772.386303395855</v>
      </c>
    </row>
    <row r="233" spans="1:20">
      <c r="A233" s="100" t="s">
        <v>387</v>
      </c>
      <c r="B233" s="100" t="s">
        <v>386</v>
      </c>
      <c r="C233" s="100" t="s">
        <v>107</v>
      </c>
      <c r="D233" s="100">
        <v>1</v>
      </c>
      <c r="E233" s="100">
        <v>4000</v>
      </c>
      <c r="F233" s="99">
        <v>0.65210000000000001</v>
      </c>
      <c r="G233" s="4">
        <f>(E233*12)*F233</f>
        <v>31300.799999999999</v>
      </c>
      <c r="H233" s="100">
        <v>213</v>
      </c>
      <c r="I233" s="99">
        <v>0.65210000000000001</v>
      </c>
      <c r="J233" s="100">
        <v>128</v>
      </c>
      <c r="K233" s="100">
        <v>450</v>
      </c>
      <c r="L233">
        <f>K233-J233</f>
        <v>322</v>
      </c>
      <c r="M233">
        <f>H233-J233</f>
        <v>85</v>
      </c>
      <c r="N233" s="112">
        <f>((0.8*M233))/(L233)+0.1</f>
        <v>0.31118012422360253</v>
      </c>
      <c r="O233" s="108">
        <f>I233</f>
        <v>0.65210000000000001</v>
      </c>
      <c r="P233" s="63">
        <v>260.12166605479308</v>
      </c>
      <c r="Q233" s="113">
        <f>0.1+0.8*(P233-J233)/(K233-J233)</f>
        <v>0.42825258647153563</v>
      </c>
      <c r="R233" s="113">
        <f>($Q$2*Q233)+$R$2</f>
        <v>0.51167885880361264</v>
      </c>
      <c r="S233" s="63">
        <f>365*P233*R233</f>
        <v>48581.046391509</v>
      </c>
      <c r="T233" s="65">
        <f>S233*(1-$T$1)</f>
        <v>34006.732474056298</v>
      </c>
    </row>
    <row r="234" spans="1:20">
      <c r="A234" s="100" t="s">
        <v>388</v>
      </c>
      <c r="B234" s="100" t="s">
        <v>386</v>
      </c>
      <c r="C234" s="100" t="s">
        <v>107</v>
      </c>
      <c r="D234" s="100">
        <v>2</v>
      </c>
      <c r="E234" s="100">
        <v>5000</v>
      </c>
      <c r="F234" s="99">
        <v>0.51229999999999998</v>
      </c>
      <c r="G234" s="4">
        <f>(E234*12)*F234</f>
        <v>30738</v>
      </c>
      <c r="H234" s="100">
        <v>364</v>
      </c>
      <c r="I234" s="99">
        <v>0.51229999999999998</v>
      </c>
      <c r="J234" s="100">
        <v>152</v>
      </c>
      <c r="K234" s="100">
        <v>546</v>
      </c>
      <c r="L234">
        <f>K234-J234</f>
        <v>394</v>
      </c>
      <c r="M234">
        <f>H234-J234</f>
        <v>212</v>
      </c>
      <c r="N234" s="112">
        <f>((0.8*M234))/(L234)+0.1</f>
        <v>0.53045685279187826</v>
      </c>
      <c r="O234" s="108">
        <f>I234</f>
        <v>0.51229999999999998</v>
      </c>
      <c r="P234" s="63">
        <v>315.97495700226136</v>
      </c>
      <c r="Q234" s="113">
        <f>0.1+0.8*(P234-J234)/(K234-J234)</f>
        <v>0.43294407513149513</v>
      </c>
      <c r="R234" s="113">
        <f>($Q$2*Q234)+$R$2</f>
        <v>0.50796438325023874</v>
      </c>
      <c r="S234" s="63">
        <f>365*P234*R234</f>
        <v>58583.968817003661</v>
      </c>
      <c r="T234" s="65">
        <f>S234*(1-$T$1)</f>
        <v>41008.778171902559</v>
      </c>
    </row>
    <row r="235" spans="1:20">
      <c r="A235" s="100" t="s">
        <v>389</v>
      </c>
      <c r="B235" s="100" t="s">
        <v>386</v>
      </c>
      <c r="C235" s="100" t="s">
        <v>98</v>
      </c>
      <c r="D235" s="100">
        <v>1</v>
      </c>
      <c r="E235" s="100">
        <v>3200</v>
      </c>
      <c r="F235" s="99">
        <v>0.62739999999999996</v>
      </c>
      <c r="G235" s="4">
        <f>(E235*12)*F235</f>
        <v>24092.16</v>
      </c>
      <c r="H235" s="100">
        <v>251</v>
      </c>
      <c r="I235" s="99">
        <v>0.62739999999999996</v>
      </c>
      <c r="J235" s="100">
        <v>94</v>
      </c>
      <c r="K235" s="100">
        <v>528</v>
      </c>
      <c r="L235">
        <f>K235-J235</f>
        <v>434</v>
      </c>
      <c r="M235">
        <f>H235-J235</f>
        <v>157</v>
      </c>
      <c r="N235" s="112">
        <f>((0.8*M235))/(L235)+0.1</f>
        <v>0.38940092165898621</v>
      </c>
      <c r="O235" s="108">
        <f>I235</f>
        <v>0.62739999999999996</v>
      </c>
      <c r="P235" s="63">
        <v>311.33789679944528</v>
      </c>
      <c r="Q235" s="113">
        <f>0.1+0.8*(P235-J235)/(K235-J235)</f>
        <v>0.50062285124321715</v>
      </c>
      <c r="R235" s="113">
        <f>($Q$2*Q235)+$R$2</f>
        <v>0.45437986507910605</v>
      </c>
      <c r="S235" s="63">
        <f>365*P235*R235</f>
        <v>51634.970112736773</v>
      </c>
      <c r="T235" s="65">
        <f>S235*(1-$T$1)</f>
        <v>36144.479078915741</v>
      </c>
    </row>
    <row r="236" spans="1:20">
      <c r="A236" s="100" t="s">
        <v>390</v>
      </c>
      <c r="B236" s="100" t="s">
        <v>391</v>
      </c>
      <c r="C236" s="100" t="s">
        <v>98</v>
      </c>
      <c r="D236" s="100">
        <v>2</v>
      </c>
      <c r="E236" s="100">
        <v>3500</v>
      </c>
      <c r="F236" s="99">
        <v>0.39729999999999999</v>
      </c>
      <c r="G236" s="4">
        <f>(E236*12)*F236</f>
        <v>16686.599999999999</v>
      </c>
      <c r="H236" s="100">
        <v>343</v>
      </c>
      <c r="I236" s="99">
        <v>0.39729999999999999</v>
      </c>
      <c r="J236" s="100">
        <v>194</v>
      </c>
      <c r="K236" s="100">
        <v>471</v>
      </c>
      <c r="L236">
        <f>K236-J236</f>
        <v>277</v>
      </c>
      <c r="M236">
        <f>H236-J236</f>
        <v>149</v>
      </c>
      <c r="N236" s="112">
        <f>((0.8*M236))/(L236)+0.1</f>
        <v>0.53032490974729241</v>
      </c>
      <c r="O236" s="108">
        <f>I236</f>
        <v>0.39729999999999999</v>
      </c>
      <c r="P236" s="63">
        <v>265.71335863040389</v>
      </c>
      <c r="Q236" s="113">
        <f>0.1+0.8*(P236-J236)/(K236-J236)</f>
        <v>0.30711439315640116</v>
      </c>
      <c r="R236" s="113">
        <f>($Q$2*Q236)+$R$2</f>
        <v>0.60758974983683167</v>
      </c>
      <c r="S236" s="63">
        <f>365*P236*R236</f>
        <v>58927.320280971275</v>
      </c>
      <c r="T236" s="65">
        <f>S236*(1-$T$1)</f>
        <v>41249.124196679892</v>
      </c>
    </row>
    <row r="237" spans="1:20">
      <c r="A237" s="100" t="s">
        <v>392</v>
      </c>
      <c r="B237" s="100" t="s">
        <v>100</v>
      </c>
      <c r="C237" s="100" t="s">
        <v>98</v>
      </c>
      <c r="D237" s="100">
        <v>1</v>
      </c>
      <c r="E237" s="100">
        <v>965</v>
      </c>
      <c r="F237" s="99">
        <v>0.37530000000000002</v>
      </c>
      <c r="G237" s="4">
        <f>(E237*12)*F237</f>
        <v>4345.9740000000002</v>
      </c>
      <c r="H237" s="100">
        <v>125</v>
      </c>
      <c r="I237" s="99">
        <v>0.37530000000000002</v>
      </c>
      <c r="J237" s="100">
        <v>50</v>
      </c>
      <c r="K237" s="100">
        <v>174</v>
      </c>
      <c r="L237">
        <f>K237-J237</f>
        <v>124</v>
      </c>
      <c r="M237">
        <f>H237-J237</f>
        <v>75</v>
      </c>
      <c r="N237" s="112">
        <f>((0.8*M237))/(L237)+0.1</f>
        <v>0.58387096774193548</v>
      </c>
      <c r="O237" s="108">
        <f>I237</f>
        <v>0.37530000000000002</v>
      </c>
      <c r="P237" s="63">
        <v>100.52511337127076</v>
      </c>
      <c r="Q237" s="113">
        <f>0.1+0.8*(P237-J237)/(K237-J237)</f>
        <v>0.42596847336303723</v>
      </c>
      <c r="R237" s="113">
        <f>($Q$2*Q237)+$R$2</f>
        <v>0.513487300199852</v>
      </c>
      <c r="S237" s="63">
        <f>365*P237*R237</f>
        <v>18840.704709563721</v>
      </c>
      <c r="T237" s="65">
        <f>S237*(1-$T$1)</f>
        <v>13188.493296694603</v>
      </c>
    </row>
    <row r="238" spans="1:20">
      <c r="A238" s="100" t="s">
        <v>393</v>
      </c>
      <c r="B238" s="100" t="s">
        <v>391</v>
      </c>
      <c r="C238" s="100" t="s">
        <v>107</v>
      </c>
      <c r="D238" s="100">
        <v>1</v>
      </c>
      <c r="E238" s="100">
        <v>3200</v>
      </c>
      <c r="F238" s="99">
        <v>0.3342</v>
      </c>
      <c r="G238" s="4">
        <f>(E238*12)*F238</f>
        <v>12833.28</v>
      </c>
      <c r="H238" s="100">
        <v>251</v>
      </c>
      <c r="I238" s="99">
        <v>0.3342</v>
      </c>
      <c r="J238" s="100">
        <v>138</v>
      </c>
      <c r="K238" s="100">
        <v>485</v>
      </c>
      <c r="L238">
        <f>K238-J238</f>
        <v>347</v>
      </c>
      <c r="M238">
        <f>H238-J238</f>
        <v>113</v>
      </c>
      <c r="N238" s="112">
        <f>((0.8*M238))/(L238)+0.1</f>
        <v>0.36051873198847262</v>
      </c>
      <c r="O238" s="108">
        <f>I238</f>
        <v>0.3342</v>
      </c>
      <c r="P238" s="63">
        <v>280.34850274057027</v>
      </c>
      <c r="Q238" s="113">
        <f>0.1+0.8*(P238-J238)/(K238-J238)</f>
        <v>0.42818098614540701</v>
      </c>
      <c r="R238" s="113">
        <f>($Q$2*Q238)+$R$2</f>
        <v>0.51173554820015499</v>
      </c>
      <c r="S238" s="63">
        <f>365*P238*R238</f>
        <v>52364.467579019009</v>
      </c>
      <c r="T238" s="65">
        <f>S238*(1-$T$1)</f>
        <v>36655.127305313305</v>
      </c>
    </row>
    <row r="239" spans="1:20">
      <c r="A239" s="100" t="s">
        <v>394</v>
      </c>
      <c r="B239" s="100" t="s">
        <v>391</v>
      </c>
      <c r="C239" s="100" t="s">
        <v>107</v>
      </c>
      <c r="D239" s="100">
        <v>2</v>
      </c>
      <c r="E239" s="100">
        <v>3500</v>
      </c>
      <c r="F239" s="99">
        <v>0.36159999999999998</v>
      </c>
      <c r="G239" s="4">
        <f>(E239*12)*F239</f>
        <v>15187.199999999999</v>
      </c>
      <c r="H239" s="100">
        <v>404</v>
      </c>
      <c r="I239" s="99">
        <v>0.36159999999999998</v>
      </c>
      <c r="J239" s="100">
        <v>152</v>
      </c>
      <c r="K239" s="100">
        <v>547</v>
      </c>
      <c r="L239">
        <f>K239-J239</f>
        <v>395</v>
      </c>
      <c r="M239">
        <f>H239-J239</f>
        <v>252</v>
      </c>
      <c r="N239" s="112">
        <f>((0.8*M239))/(L239)+0.1</f>
        <v>0.61037974683544305</v>
      </c>
      <c r="O239" s="108">
        <f>I239</f>
        <v>0.36159999999999998</v>
      </c>
      <c r="P239" s="63">
        <v>316.58403049719089</v>
      </c>
      <c r="Q239" s="113">
        <f>0.1+0.8*(P239-J239)/(K239-J239)</f>
        <v>0.43333474531076643</v>
      </c>
      <c r="R239" s="113">
        <f>($Q$2*Q239)+$R$2</f>
        <v>0.50765507101791452</v>
      </c>
      <c r="S239" s="63">
        <f>365*P239*R239</f>
        <v>58661.15329709401</v>
      </c>
      <c r="T239" s="65">
        <f>S239*(1-$T$1)</f>
        <v>41062.807307965806</v>
      </c>
    </row>
    <row r="240" spans="1:20">
      <c r="A240" s="100" t="s">
        <v>395</v>
      </c>
      <c r="B240" s="100" t="s">
        <v>391</v>
      </c>
      <c r="C240" s="100" t="s">
        <v>98</v>
      </c>
      <c r="D240" s="100">
        <v>1</v>
      </c>
      <c r="E240" s="100">
        <v>3000</v>
      </c>
      <c r="F240" s="99">
        <v>0.26579999999999998</v>
      </c>
      <c r="G240" s="4">
        <f>(E240*12)*F240</f>
        <v>9568.7999999999993</v>
      </c>
      <c r="H240" s="100">
        <v>161</v>
      </c>
      <c r="I240" s="99">
        <v>0.26579999999999998</v>
      </c>
      <c r="J240" s="100">
        <v>77</v>
      </c>
      <c r="K240" s="100">
        <v>432</v>
      </c>
      <c r="L240">
        <f>K240-J240</f>
        <v>355</v>
      </c>
      <c r="M240">
        <f>H240-J240</f>
        <v>84</v>
      </c>
      <c r="N240" s="112">
        <f>((0.8*M240))/(L240)+0.1</f>
        <v>0.28929577464788736</v>
      </c>
      <c r="O240" s="108">
        <f>I240</f>
        <v>0.26579999999999998</v>
      </c>
      <c r="P240" s="63">
        <v>254.72109070000701</v>
      </c>
      <c r="Q240" s="113">
        <f>0.1+0.8*(P240-J240)/(K240-J240)</f>
        <v>0.50049823256339609</v>
      </c>
      <c r="R240" s="113">
        <f>($Q$2*Q240)+$R$2</f>
        <v>0.45447853163747159</v>
      </c>
      <c r="S240" s="63">
        <f>365*P240*R240</f>
        <v>42254.322556628555</v>
      </c>
      <c r="T240" s="65">
        <f>S240*(1-$T$1)</f>
        <v>29578.025789639985</v>
      </c>
    </row>
    <row r="241" spans="1:20">
      <c r="A241" s="100" t="s">
        <v>396</v>
      </c>
      <c r="B241" s="100" t="s">
        <v>397</v>
      </c>
      <c r="C241" s="100" t="s">
        <v>98</v>
      </c>
      <c r="D241" s="100">
        <v>1</v>
      </c>
      <c r="E241" s="100">
        <v>2600</v>
      </c>
      <c r="F241" s="99">
        <v>0.38629999999999998</v>
      </c>
      <c r="G241" s="4">
        <f>(E241*12)*F241</f>
        <v>12052.56</v>
      </c>
      <c r="H241" s="100">
        <v>408</v>
      </c>
      <c r="I241" s="99">
        <v>0.38629999999999998</v>
      </c>
      <c r="J241" s="100">
        <v>100</v>
      </c>
      <c r="K241" s="100">
        <v>565</v>
      </c>
      <c r="L241">
        <f>K241-J241</f>
        <v>465</v>
      </c>
      <c r="M241">
        <f>H241-J241</f>
        <v>308</v>
      </c>
      <c r="N241" s="112">
        <f>((0.8*M241))/(L241)+0.1</f>
        <v>0.62989247311827956</v>
      </c>
      <c r="O241" s="108">
        <f>I241</f>
        <v>0.38629999999999998</v>
      </c>
      <c r="P241" s="63">
        <v>333.21917508926282</v>
      </c>
      <c r="Q241" s="113">
        <f>0.1+0.8*(P241-J241)/(K241-J241)</f>
        <v>0.50123729047615107</v>
      </c>
      <c r="R241" s="113">
        <f>($Q$2*Q241)+$R$2</f>
        <v>0.45389338420380398</v>
      </c>
      <c r="S241" s="63">
        <f>365*P241*R241</f>
        <v>55204.782357945871</v>
      </c>
      <c r="T241" s="65">
        <f>S241*(1-$T$1)</f>
        <v>38643.347650562107</v>
      </c>
    </row>
    <row r="242" spans="1:20">
      <c r="A242" s="100" t="s">
        <v>398</v>
      </c>
      <c r="B242" s="100" t="s">
        <v>397</v>
      </c>
      <c r="C242" s="100" t="s">
        <v>98</v>
      </c>
      <c r="D242" s="100">
        <v>2</v>
      </c>
      <c r="E242" s="100">
        <v>4000</v>
      </c>
      <c r="F242" s="99">
        <v>0.31509999999999999</v>
      </c>
      <c r="G242" s="4">
        <f>(E242*12)*F242</f>
        <v>15124.8</v>
      </c>
      <c r="H242" s="100">
        <v>284</v>
      </c>
      <c r="I242" s="99">
        <v>0.31509999999999999</v>
      </c>
      <c r="J242" s="100">
        <v>204</v>
      </c>
      <c r="K242" s="100">
        <v>494</v>
      </c>
      <c r="L242">
        <f>K242-J242</f>
        <v>290</v>
      </c>
      <c r="M242">
        <f>H242-J242</f>
        <v>80</v>
      </c>
      <c r="N242" s="112">
        <f>((0.8*M242))/(L242)+0.1</f>
        <v>0.32068965517241377</v>
      </c>
      <c r="O242" s="108">
        <f>I242</f>
        <v>0.31509999999999999</v>
      </c>
      <c r="P242" s="63">
        <v>278.6313134370024</v>
      </c>
      <c r="Q242" s="113">
        <f>0.1+0.8*(P242-J242)/(K242-J242)</f>
        <v>0.30587948534345488</v>
      </c>
      <c r="R242" s="113">
        <f>($Q$2*Q242)+$R$2</f>
        <v>0.60856748530937121</v>
      </c>
      <c r="S242" s="63">
        <f>365*P242*R242</f>
        <v>61891.574577583378</v>
      </c>
      <c r="T242" s="65">
        <f>S242*(1-$T$1)</f>
        <v>43324.102204308365</v>
      </c>
    </row>
    <row r="243" spans="1:20">
      <c r="A243" s="100" t="s">
        <v>399</v>
      </c>
      <c r="B243" s="100" t="s">
        <v>397</v>
      </c>
      <c r="C243" s="100" t="s">
        <v>107</v>
      </c>
      <c r="D243" s="100">
        <v>1</v>
      </c>
      <c r="E243" s="100">
        <v>4000</v>
      </c>
      <c r="F243" s="99">
        <v>0.55620000000000003</v>
      </c>
      <c r="G243" s="4">
        <f>(E243*12)*F243</f>
        <v>26697.600000000002</v>
      </c>
      <c r="H243" s="100">
        <v>443</v>
      </c>
      <c r="I243" s="99">
        <v>0.55620000000000003</v>
      </c>
      <c r="J243" s="100">
        <v>257</v>
      </c>
      <c r="K243" s="100">
        <v>903</v>
      </c>
      <c r="L243">
        <f>K243-J243</f>
        <v>646</v>
      </c>
      <c r="M243">
        <f>H243-J243</f>
        <v>186</v>
      </c>
      <c r="N243" s="112">
        <f>((0.8*M243))/(L243)+0.1</f>
        <v>0.33034055727554179</v>
      </c>
      <c r="O243" s="108">
        <f>I243</f>
        <v>0.55620000000000003</v>
      </c>
      <c r="P243" s="63">
        <v>521.96147774014491</v>
      </c>
      <c r="Q243" s="113">
        <f>0.1+0.8*(P243-J243)/(K243-J243)</f>
        <v>0.42812566902804328</v>
      </c>
      <c r="R243" s="113">
        <f>($Q$2*Q243)+$R$2</f>
        <v>0.51177934540292447</v>
      </c>
      <c r="S243" s="63">
        <f>365*P243*R243</f>
        <v>97502.122742238993</v>
      </c>
      <c r="T243" s="65">
        <f>S243*(1-$T$1)</f>
        <v>68251.485919567291</v>
      </c>
    </row>
    <row r="244" spans="1:20">
      <c r="A244" s="100" t="s">
        <v>400</v>
      </c>
      <c r="B244" s="100" t="s">
        <v>397</v>
      </c>
      <c r="C244" s="100" t="s">
        <v>107</v>
      </c>
      <c r="D244" s="100">
        <v>2</v>
      </c>
      <c r="E244" s="100">
        <v>5100</v>
      </c>
      <c r="F244" s="99">
        <v>0.44929999999999998</v>
      </c>
      <c r="G244" s="4">
        <f>(E244*12)*F244</f>
        <v>27497.16</v>
      </c>
      <c r="H244" s="100">
        <v>718</v>
      </c>
      <c r="I244" s="99">
        <v>0.44929999999999998</v>
      </c>
      <c r="J244" s="100">
        <v>256</v>
      </c>
      <c r="K244" s="100">
        <v>916</v>
      </c>
      <c r="L244">
        <f>K244-J244</f>
        <v>660</v>
      </c>
      <c r="M244">
        <f>H244-J244</f>
        <v>462</v>
      </c>
      <c r="N244" s="112">
        <f>((0.8*M244))/(L244)+0.1</f>
        <v>0.66</v>
      </c>
      <c r="O244" s="108">
        <f>I244</f>
        <v>0.44929999999999998</v>
      </c>
      <c r="P244" s="63">
        <v>529.98850615353433</v>
      </c>
      <c r="Q244" s="113">
        <f>0.1+0.8*(P244-J244)/(K244-J244)</f>
        <v>0.43210728018610223</v>
      </c>
      <c r="R244" s="113">
        <f>($Q$2*Q244)+$R$2</f>
        <v>0.50862691375881197</v>
      </c>
      <c r="S244" s="63">
        <f>365*P244*R244</f>
        <v>98391.742647568084</v>
      </c>
      <c r="T244" s="65">
        <f>S244*(1-$T$1)</f>
        <v>68874.219853297647</v>
      </c>
    </row>
    <row r="245" spans="1:20">
      <c r="A245" s="100" t="s">
        <v>401</v>
      </c>
      <c r="B245" s="100" t="s">
        <v>102</v>
      </c>
      <c r="C245" s="100" t="s">
        <v>98</v>
      </c>
      <c r="D245" s="100">
        <v>2</v>
      </c>
      <c r="E245" s="100">
        <v>5600</v>
      </c>
      <c r="F245" s="99">
        <v>0.31780000000000003</v>
      </c>
      <c r="G245" s="4">
        <f>(E245*12)*F245</f>
        <v>21356.160000000003</v>
      </c>
      <c r="H245" s="100">
        <v>478</v>
      </c>
      <c r="I245" s="99">
        <v>0.31780000000000003</v>
      </c>
      <c r="J245" s="100">
        <v>265</v>
      </c>
      <c r="K245" s="100">
        <v>644</v>
      </c>
      <c r="L245">
        <f>K245-J245</f>
        <v>379</v>
      </c>
      <c r="M245">
        <f>H245-J245</f>
        <v>213</v>
      </c>
      <c r="N245" s="112">
        <f>((0.8*M245))/(L245)+0.1</f>
        <v>0.54960422163588396</v>
      </c>
      <c r="O245" s="108">
        <f>I245</f>
        <v>0.31780000000000003</v>
      </c>
      <c r="P245" s="63">
        <v>363.3388545783173</v>
      </c>
      <c r="Q245" s="113">
        <f>0.1+0.8*(P245-J245)/(K245-J245)</f>
        <v>0.30757541863497057</v>
      </c>
      <c r="R245" s="113">
        <f>($Q$2*Q245)+$R$2</f>
        <v>0.60722473395514698</v>
      </c>
      <c r="S245" s="63">
        <f>365*P245*R245</f>
        <v>80529.343847013588</v>
      </c>
      <c r="T245" s="65">
        <f>S245*(1-$T$1)</f>
        <v>56370.540692909512</v>
      </c>
    </row>
    <row r="246" spans="1:20">
      <c r="A246" s="100" t="s">
        <v>402</v>
      </c>
      <c r="B246" s="100" t="s">
        <v>102</v>
      </c>
      <c r="C246" s="100" t="s">
        <v>107</v>
      </c>
      <c r="D246" s="100">
        <v>1</v>
      </c>
      <c r="E246" s="100">
        <v>5000</v>
      </c>
      <c r="F246" s="99">
        <v>0.51229999999999998</v>
      </c>
      <c r="G246" s="4">
        <f>(E246*12)*F246</f>
        <v>30738</v>
      </c>
      <c r="H246" s="100">
        <v>533</v>
      </c>
      <c r="I246" s="99">
        <v>0.51229999999999998</v>
      </c>
      <c r="J246" s="100">
        <v>236</v>
      </c>
      <c r="K246" s="100">
        <v>829</v>
      </c>
      <c r="L246">
        <f>K246-J246</f>
        <v>593</v>
      </c>
      <c r="M246">
        <f>H246-J246</f>
        <v>297</v>
      </c>
      <c r="N246" s="112">
        <f>((0.8*M246))/(L246)+0.1</f>
        <v>0.50067453625632385</v>
      </c>
      <c r="O246" s="108">
        <f>I246</f>
        <v>0.51229999999999998</v>
      </c>
      <c r="P246" s="63">
        <v>479.18058199325122</v>
      </c>
      <c r="Q246" s="113">
        <f>0.1+0.8*(P246-J246)/(K246-J246)</f>
        <v>0.42806823877673017</v>
      </c>
      <c r="R246" s="113">
        <f>($Q$2*Q246)+$R$2</f>
        <v>0.51182481567472693</v>
      </c>
      <c r="S246" s="63">
        <f>365*P246*R246</f>
        <v>89518.627264565526</v>
      </c>
      <c r="T246" s="65">
        <f>S246*(1-$T$1)</f>
        <v>62663.039085195865</v>
      </c>
    </row>
    <row r="247" spans="1:20">
      <c r="A247" s="100" t="s">
        <v>403</v>
      </c>
      <c r="B247" s="100" t="s">
        <v>102</v>
      </c>
      <c r="C247" s="100" t="s">
        <v>107</v>
      </c>
      <c r="D247" s="100">
        <v>2</v>
      </c>
      <c r="E247" s="100">
        <v>6000</v>
      </c>
      <c r="F247" s="99">
        <v>0.36990000000000001</v>
      </c>
      <c r="G247" s="4">
        <f>(E247*12)*F247</f>
        <v>26632.799999999999</v>
      </c>
      <c r="H247" s="100">
        <v>566</v>
      </c>
      <c r="I247" s="99">
        <v>0.36990000000000001</v>
      </c>
      <c r="J247" s="100">
        <v>244</v>
      </c>
      <c r="K247" s="100">
        <v>872</v>
      </c>
      <c r="L247">
        <f>K247-J247</f>
        <v>628</v>
      </c>
      <c r="M247">
        <f>H247-J247</f>
        <v>322</v>
      </c>
      <c r="N247" s="112">
        <f>((0.8*M247))/(L247)+0.1</f>
        <v>0.51019108280254777</v>
      </c>
      <c r="O247" s="108">
        <f>I247</f>
        <v>0.36990000000000001</v>
      </c>
      <c r="P247" s="63">
        <v>504.49815416746247</v>
      </c>
      <c r="Q247" s="113">
        <f>0.1+0.8*(P247-J247)/(K247-J247)</f>
        <v>0.43184478237893309</v>
      </c>
      <c r="R247" s="113">
        <f>($Q$2*Q247)+$R$2</f>
        <v>0.50883474580493115</v>
      </c>
      <c r="S247" s="63">
        <f>365*P247*R247</f>
        <v>93697.759362723082</v>
      </c>
      <c r="T247" s="65">
        <f>S247*(1-$T$1)</f>
        <v>65588.43155390615</v>
      </c>
    </row>
  </sheetData>
  <pageMargins left="0.75" right="0.75" top="1" bottom="1" header="0.5" footer="0.5"/>
  <pageSetup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2E713-7F67-42D4-AF0C-AC97D93B731F}">
  <dimension ref="A1:G43"/>
  <sheetViews>
    <sheetView workbookViewId="0">
      <selection activeCell="C33" sqref="C33"/>
    </sheetView>
  </sheetViews>
  <sheetFormatPr defaultColWidth="11" defaultRowHeight="15.75"/>
  <cols>
    <col min="2" max="2" width="51.5" customWidth="1"/>
    <col min="3" max="3" width="27.5" customWidth="1"/>
    <col min="4" max="4" width="30.5" customWidth="1"/>
    <col min="5" max="5" width="42.625" customWidth="1"/>
    <col min="6" max="6" width="42.5" customWidth="1"/>
    <col min="7" max="7" width="37.625" customWidth="1"/>
  </cols>
  <sheetData>
    <row r="1" spans="1:7" ht="21">
      <c r="A1" s="178" t="s">
        <v>573</v>
      </c>
    </row>
    <row r="2" spans="1:7">
      <c r="A2" s="131"/>
      <c r="B2" s="131"/>
      <c r="C2" s="131"/>
      <c r="D2" s="131"/>
      <c r="E2" s="131"/>
      <c r="F2" s="131"/>
      <c r="G2" s="131"/>
    </row>
    <row r="3" spans="1:7">
      <c r="A3" s="131"/>
      <c r="B3" s="131"/>
      <c r="C3" s="131"/>
      <c r="D3" s="131"/>
      <c r="E3" s="131"/>
      <c r="F3" s="131"/>
      <c r="G3" s="131"/>
    </row>
    <row r="4" spans="1:7">
      <c r="A4" s="131"/>
      <c r="B4" s="131"/>
      <c r="C4" s="131"/>
      <c r="D4" s="131"/>
      <c r="E4" s="131"/>
      <c r="F4" s="131"/>
      <c r="G4" s="131"/>
    </row>
    <row r="5" spans="1:7">
      <c r="A5" s="131"/>
      <c r="B5" s="131"/>
      <c r="C5" s="42" t="s">
        <v>572</v>
      </c>
      <c r="D5" s="51" t="s">
        <v>571</v>
      </c>
      <c r="E5" s="51" t="s">
        <v>570</v>
      </c>
      <c r="F5" s="177" t="s">
        <v>570</v>
      </c>
      <c r="G5" s="131"/>
    </row>
    <row r="6" spans="1:7">
      <c r="A6" s="131"/>
      <c r="B6" s="176" t="s">
        <v>569</v>
      </c>
      <c r="C6" s="175" t="s">
        <v>486</v>
      </c>
      <c r="D6" s="175" t="s">
        <v>487</v>
      </c>
      <c r="E6" s="175" t="s">
        <v>488</v>
      </c>
      <c r="F6" s="174" t="s">
        <v>568</v>
      </c>
      <c r="G6" s="131"/>
    </row>
    <row r="7" spans="1:7">
      <c r="A7" s="131"/>
      <c r="B7" s="168" t="s">
        <v>567</v>
      </c>
      <c r="F7" s="12"/>
      <c r="G7" s="131"/>
    </row>
    <row r="8" spans="1:7">
      <c r="A8" s="131"/>
      <c r="B8" s="160" t="s">
        <v>566</v>
      </c>
      <c r="C8" s="166">
        <f>F24</f>
        <v>35027.027027027027</v>
      </c>
      <c r="D8" s="166">
        <f>F24</f>
        <v>35027.027027027027</v>
      </c>
      <c r="E8" s="166">
        <f>F24</f>
        <v>35027.027027027027</v>
      </c>
      <c r="F8" s="173">
        <f>F24</f>
        <v>35027.027027027027</v>
      </c>
      <c r="G8" s="131"/>
    </row>
    <row r="9" spans="1:7">
      <c r="A9" s="131"/>
      <c r="B9" s="168" t="s">
        <v>565</v>
      </c>
      <c r="F9" s="12"/>
      <c r="G9" s="131"/>
    </row>
    <row r="10" spans="1:7">
      <c r="A10" s="131"/>
      <c r="B10" s="160" t="s">
        <v>564</v>
      </c>
      <c r="C10" s="166">
        <f>F24</f>
        <v>35027.027027027027</v>
      </c>
      <c r="D10" s="170">
        <f>F27</f>
        <v>67415.040000000008</v>
      </c>
      <c r="E10" s="170">
        <f>F27</f>
        <v>67415.040000000008</v>
      </c>
      <c r="F10" s="169">
        <f>F27</f>
        <v>67415.040000000008</v>
      </c>
      <c r="G10" s="131"/>
    </row>
    <row r="11" spans="1:7">
      <c r="A11" s="131"/>
      <c r="B11" s="168" t="s">
        <v>563</v>
      </c>
      <c r="C11" s="172">
        <f>C10-C8</f>
        <v>0</v>
      </c>
      <c r="D11" s="172">
        <f>D10-D8</f>
        <v>32388.012972972982</v>
      </c>
      <c r="E11" s="172">
        <f>E10-E8</f>
        <v>32388.012972972982</v>
      </c>
      <c r="F11" s="171">
        <f>F10-F8</f>
        <v>32388.012972972982</v>
      </c>
      <c r="G11" s="131"/>
    </row>
    <row r="12" spans="1:7">
      <c r="A12" s="131"/>
      <c r="B12" s="160"/>
      <c r="C12" s="166"/>
      <c r="D12" s="170"/>
      <c r="E12" s="170"/>
      <c r="F12" s="169"/>
      <c r="G12" s="131"/>
    </row>
    <row r="13" spans="1:7">
      <c r="A13" s="131"/>
      <c r="B13" s="168" t="s">
        <v>562</v>
      </c>
      <c r="F13" s="12"/>
      <c r="G13" s="131"/>
    </row>
    <row r="14" spans="1:7">
      <c r="A14" s="131"/>
      <c r="B14" s="167" t="s">
        <v>561</v>
      </c>
      <c r="C14" s="166">
        <v>0</v>
      </c>
      <c r="D14" s="165">
        <f>E30/$D$35</f>
        <v>6000</v>
      </c>
      <c r="E14" s="165">
        <f>E30/D$35</f>
        <v>6000</v>
      </c>
      <c r="F14" s="164">
        <f>E30/D35</f>
        <v>6000</v>
      </c>
      <c r="G14" s="131"/>
    </row>
    <row r="15" spans="1:7">
      <c r="A15" s="131"/>
      <c r="B15" s="160" t="s">
        <v>560</v>
      </c>
      <c r="C15" s="163">
        <v>0</v>
      </c>
      <c r="D15" s="163">
        <v>0</v>
      </c>
      <c r="E15" s="163">
        <f>F30</f>
        <v>6000</v>
      </c>
      <c r="F15" s="162">
        <f>F30</f>
        <v>6000</v>
      </c>
      <c r="G15" s="131"/>
    </row>
    <row r="16" spans="1:7">
      <c r="A16" s="131"/>
      <c r="B16" s="160" t="s">
        <v>559</v>
      </c>
      <c r="C16" s="163">
        <v>0</v>
      </c>
      <c r="D16" s="163">
        <f>C33</f>
        <v>3600</v>
      </c>
      <c r="E16" s="163">
        <f>C33</f>
        <v>3600</v>
      </c>
      <c r="F16" s="162">
        <f>C33</f>
        <v>3600</v>
      </c>
      <c r="G16" s="131"/>
    </row>
    <row r="17" spans="1:7">
      <c r="A17" s="131"/>
      <c r="B17" s="160" t="s">
        <v>558</v>
      </c>
      <c r="C17" s="163">
        <v>0</v>
      </c>
      <c r="D17" s="163">
        <f>F33</f>
        <v>8025.6</v>
      </c>
      <c r="E17" s="163">
        <f>F33</f>
        <v>8025.6</v>
      </c>
      <c r="F17" s="162">
        <f>F33</f>
        <v>8025.6</v>
      </c>
      <c r="G17" s="131"/>
    </row>
    <row r="18" spans="1:7">
      <c r="A18" s="131"/>
      <c r="B18" s="160" t="s">
        <v>557</v>
      </c>
      <c r="C18" s="161">
        <v>0</v>
      </c>
      <c r="D18" s="161">
        <f>SUM(D14:D17)</f>
        <v>17625.599999999999</v>
      </c>
      <c r="E18" s="161">
        <f>SUM(E14:E17)</f>
        <v>23625.599999999999</v>
      </c>
      <c r="F18" s="161">
        <f>SUM(F14:F17)</f>
        <v>23625.599999999999</v>
      </c>
      <c r="G18" s="131"/>
    </row>
    <row r="19" spans="1:7">
      <c r="A19" s="131"/>
      <c r="B19" s="160"/>
      <c r="F19" s="12"/>
      <c r="G19" s="131"/>
    </row>
    <row r="20" spans="1:7">
      <c r="A20" s="131"/>
      <c r="B20" s="159" t="s">
        <v>556</v>
      </c>
      <c r="C20" s="158">
        <f>C11+C18</f>
        <v>0</v>
      </c>
      <c r="D20" s="158">
        <f>D11-D18</f>
        <v>14762.412972972983</v>
      </c>
      <c r="E20" s="158">
        <f>E11-E18</f>
        <v>8762.412972972983</v>
      </c>
      <c r="F20" s="157">
        <f>F11-F18</f>
        <v>8762.412972972983</v>
      </c>
      <c r="G20" s="131"/>
    </row>
    <row r="21" spans="1:7">
      <c r="A21" s="131"/>
      <c r="B21" s="131"/>
      <c r="C21" s="131"/>
      <c r="D21" s="131"/>
      <c r="E21" s="131"/>
      <c r="F21" s="131"/>
      <c r="G21" s="131"/>
    </row>
    <row r="22" spans="1:7">
      <c r="A22" s="131"/>
      <c r="B22" s="131"/>
      <c r="C22" s="131"/>
      <c r="D22" s="131"/>
      <c r="E22" s="131"/>
      <c r="F22" s="131"/>
      <c r="G22" s="131"/>
    </row>
    <row r="23" spans="1:7">
      <c r="A23" s="131"/>
      <c r="B23" s="132" t="s">
        <v>555</v>
      </c>
      <c r="C23" s="132" t="s">
        <v>554</v>
      </c>
      <c r="D23" s="132" t="s">
        <v>553</v>
      </c>
      <c r="E23" s="132" t="s">
        <v>552</v>
      </c>
      <c r="F23" s="132" t="s">
        <v>551</v>
      </c>
      <c r="G23" s="130"/>
    </row>
    <row r="24" spans="1:7">
      <c r="A24" s="131"/>
      <c r="B24" s="156">
        <f>E30/5</f>
        <v>6000</v>
      </c>
      <c r="C24" s="155">
        <v>3000</v>
      </c>
      <c r="D24" s="154">
        <f>36/37</f>
        <v>0.97297297297297303</v>
      </c>
      <c r="E24" s="153">
        <f>D24*C24</f>
        <v>2918.9189189189192</v>
      </c>
      <c r="F24" s="152">
        <f>E24*12</f>
        <v>35027.027027027027</v>
      </c>
      <c r="G24" s="130"/>
    </row>
    <row r="25" spans="1:7">
      <c r="A25" s="131"/>
      <c r="B25" s="131"/>
      <c r="C25" s="131"/>
      <c r="D25" s="151"/>
      <c r="E25" s="131"/>
      <c r="F25" s="131"/>
      <c r="G25" s="130"/>
    </row>
    <row r="26" spans="1:7">
      <c r="A26" s="131"/>
      <c r="B26" s="131"/>
      <c r="C26" s="132" t="s">
        <v>550</v>
      </c>
      <c r="D26" s="132" t="s">
        <v>549</v>
      </c>
      <c r="E26" s="132" t="s">
        <v>548</v>
      </c>
      <c r="F26" s="132" t="s">
        <v>547</v>
      </c>
      <c r="G26" s="128"/>
    </row>
    <row r="27" spans="1:7">
      <c r="A27" s="131"/>
      <c r="B27" s="150" t="s">
        <v>546</v>
      </c>
      <c r="C27" s="149">
        <v>400</v>
      </c>
      <c r="D27" s="148">
        <v>0.66</v>
      </c>
      <c r="E27" s="147">
        <f>D27*C30*C27*(1-D30)</f>
        <v>5617.92</v>
      </c>
      <c r="F27" s="146">
        <f>E27*12</f>
        <v>67415.040000000008</v>
      </c>
      <c r="G27" s="128"/>
    </row>
    <row r="28" spans="1:7">
      <c r="A28" s="131"/>
      <c r="B28" s="145" t="s">
        <v>545</v>
      </c>
      <c r="C28" s="129"/>
      <c r="D28" s="133"/>
      <c r="E28" s="129"/>
      <c r="F28" s="129"/>
      <c r="G28" s="130"/>
    </row>
    <row r="29" spans="1:7">
      <c r="A29" s="131"/>
      <c r="B29" s="131"/>
      <c r="C29" s="140" t="s">
        <v>544</v>
      </c>
      <c r="D29" s="139" t="s">
        <v>543</v>
      </c>
      <c r="E29" s="139" t="s">
        <v>542</v>
      </c>
      <c r="F29" s="140" t="s">
        <v>541</v>
      </c>
      <c r="G29" s="129"/>
    </row>
    <row r="30" spans="1:7">
      <c r="A30" s="131"/>
      <c r="B30" s="131"/>
      <c r="C30" s="144">
        <v>30.4</v>
      </c>
      <c r="D30" s="143">
        <v>0.3</v>
      </c>
      <c r="E30" s="142">
        <v>30000</v>
      </c>
      <c r="F30" s="141">
        <v>6000</v>
      </c>
      <c r="G30" s="128"/>
    </row>
    <row r="31" spans="1:7">
      <c r="A31" s="131"/>
      <c r="B31" s="131"/>
      <c r="C31" s="129"/>
      <c r="D31" s="133"/>
      <c r="E31" s="129"/>
      <c r="F31" s="129"/>
      <c r="G31" s="128"/>
    </row>
    <row r="32" spans="1:7">
      <c r="A32" s="131"/>
      <c r="B32" s="131"/>
      <c r="C32" s="140" t="s">
        <v>540</v>
      </c>
      <c r="D32" s="139" t="s">
        <v>539</v>
      </c>
      <c r="E32" s="139" t="s">
        <v>538</v>
      </c>
      <c r="F32" s="138" t="s">
        <v>537</v>
      </c>
      <c r="G32" s="128"/>
    </row>
    <row r="33" spans="1:7">
      <c r="A33" s="131"/>
      <c r="B33" s="131"/>
      <c r="C33" s="137">
        <v>3600</v>
      </c>
      <c r="D33" s="136">
        <v>100</v>
      </c>
      <c r="E33" s="135">
        <f>D27*C30*12/3</f>
        <v>80.256</v>
      </c>
      <c r="F33" s="134">
        <f>D33*E33</f>
        <v>8025.6</v>
      </c>
      <c r="G33" s="128"/>
    </row>
    <row r="34" spans="1:7">
      <c r="A34" s="131"/>
      <c r="B34" s="131"/>
      <c r="C34" s="129"/>
      <c r="D34" s="133"/>
      <c r="E34" s="129"/>
      <c r="F34" s="129"/>
      <c r="G34" s="128"/>
    </row>
    <row r="35" spans="1:7">
      <c r="A35" s="131"/>
      <c r="B35" s="131"/>
      <c r="C35" s="132" t="s">
        <v>536</v>
      </c>
      <c r="D35" s="132">
        <v>5</v>
      </c>
      <c r="E35" s="129"/>
      <c r="F35" s="129"/>
      <c r="G35" s="128"/>
    </row>
    <row r="36" spans="1:7">
      <c r="A36" s="131"/>
      <c r="B36" s="131"/>
      <c r="C36" s="131"/>
      <c r="D36" s="130"/>
      <c r="E36" s="129"/>
      <c r="F36" s="129"/>
      <c r="G36" s="128"/>
    </row>
    <row r="39" spans="1:7">
      <c r="B39" s="51" t="s">
        <v>535</v>
      </c>
    </row>
    <row r="40" spans="1:7">
      <c r="B40" s="127" t="s">
        <v>534</v>
      </c>
    </row>
    <row r="41" spans="1:7">
      <c r="B41" s="126" t="s">
        <v>533</v>
      </c>
    </row>
    <row r="43" spans="1:7">
      <c r="B43" t="s">
        <v>532</v>
      </c>
    </row>
  </sheetData>
  <pageMargins left="0.75" right="0.75" top="1" bottom="1" header="0.5" footer="0.5"/>
  <pageSetup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Q247"/>
  <sheetViews>
    <sheetView zoomScale="70" zoomScaleNormal="70" workbookViewId="0">
      <pane xSplit="1" ySplit="3" topLeftCell="BQ4" activePane="bottomRight" state="frozen"/>
      <selection pane="topRight" activeCell="B1" sqref="B1"/>
      <selection pane="bottomLeft" activeCell="A4" sqref="A4"/>
      <selection pane="bottomRight" activeCell="AR1" sqref="AR1:CE1048576"/>
    </sheetView>
  </sheetViews>
  <sheetFormatPr defaultColWidth="11" defaultRowHeight="15.75"/>
  <cols>
    <col min="1" max="1" width="22.125" customWidth="1"/>
    <col min="3" max="3" width="38.5" customWidth="1"/>
    <col min="4" max="4" width="26.125" customWidth="1"/>
    <col min="5" max="5" width="33.875" customWidth="1"/>
    <col min="6" max="6" width="18.125" customWidth="1"/>
    <col min="7" max="7" width="39.125" style="4" customWidth="1"/>
    <col min="8" max="8" width="21.5" customWidth="1"/>
    <col min="9" max="9" width="25.625" customWidth="1"/>
    <col min="10" max="10" width="28" customWidth="1"/>
    <col min="11" max="11" width="27.875" style="12" customWidth="1"/>
    <col min="12" max="12" width="18.5" customWidth="1"/>
    <col min="13" max="13" width="27.625" customWidth="1"/>
    <col min="14" max="14" width="62.375" customWidth="1"/>
    <col min="15" max="15" width="35.375" style="12" customWidth="1"/>
    <col min="16" max="16" width="47.5" customWidth="1"/>
    <col min="17" max="17" width="35" customWidth="1"/>
    <col min="18" max="18" width="68.5" bestFit="1" customWidth="1"/>
    <col min="19" max="19" width="64.375" customWidth="1"/>
    <col min="20" max="20" width="56.125" style="12" customWidth="1"/>
    <col min="21" max="21" width="54.125" style="4" customWidth="1"/>
    <col min="22" max="22" width="28.875" customWidth="1"/>
    <col min="23" max="23" width="27.375" customWidth="1"/>
    <col min="24" max="24" width="26.125" customWidth="1"/>
    <col min="25" max="25" width="61.5" customWidth="1"/>
    <col min="26" max="26" width="69.375" customWidth="1"/>
    <col min="27" max="27" width="76" customWidth="1"/>
    <col min="28" max="28" width="62" customWidth="1"/>
    <col min="29" max="29" width="68.875" customWidth="1"/>
    <col min="30" max="30" width="46.625" style="12" customWidth="1"/>
    <col min="31" max="31" width="42.375" customWidth="1"/>
    <col min="32" max="32" width="70.875" customWidth="1"/>
    <col min="33" max="33" width="67.125" style="4" customWidth="1"/>
    <col min="34" max="34" width="70" customWidth="1"/>
    <col min="35" max="35" width="47.375" customWidth="1"/>
    <col min="36" max="36" width="51.625" customWidth="1"/>
    <col min="37" max="37" width="69" customWidth="1"/>
    <col min="38" max="38" width="99.375" customWidth="1"/>
    <col min="39" max="39" width="63.375" customWidth="1"/>
    <col min="40" max="40" width="67" customWidth="1"/>
    <col min="41" max="41" width="65.5" customWidth="1"/>
    <col min="42" max="42" width="73" customWidth="1"/>
  </cols>
  <sheetData>
    <row r="1" spans="1:43">
      <c r="B1" t="s">
        <v>0</v>
      </c>
      <c r="C1" s="1" t="s">
        <v>1</v>
      </c>
      <c r="D1" s="2" t="s">
        <v>2</v>
      </c>
      <c r="E1" s="3" t="s">
        <v>3</v>
      </c>
      <c r="K1" s="5" t="s">
        <v>4</v>
      </c>
      <c r="N1" s="39" t="s">
        <v>5</v>
      </c>
      <c r="O1" s="40" t="s">
        <v>6</v>
      </c>
      <c r="P1" s="41" t="s">
        <v>7</v>
      </c>
      <c r="Q1" s="7" t="s">
        <v>8</v>
      </c>
      <c r="R1" s="7" t="s">
        <v>9</v>
      </c>
      <c r="S1" s="6" t="s">
        <v>10</v>
      </c>
      <c r="T1" s="8">
        <v>0.3</v>
      </c>
      <c r="U1" s="9" t="s">
        <v>50</v>
      </c>
      <c r="V1" s="42" t="s">
        <v>51</v>
      </c>
      <c r="W1" s="14"/>
      <c r="X1" s="14"/>
      <c r="Y1" s="43"/>
      <c r="Z1" s="10" t="s">
        <v>52</v>
      </c>
      <c r="AA1" s="10"/>
      <c r="AB1" s="10"/>
      <c r="AC1" s="11">
        <f>(0.1*Q2) +R2</f>
        <v>0.77157210296437406</v>
      </c>
      <c r="AG1"/>
      <c r="AK1" s="23"/>
      <c r="AL1" s="23"/>
      <c r="AM1" s="23"/>
      <c r="AN1" s="23"/>
      <c r="AO1" s="23"/>
      <c r="AP1" s="23"/>
      <c r="AQ1" s="23"/>
    </row>
    <row r="2" spans="1:43">
      <c r="E2" t="s">
        <v>11</v>
      </c>
      <c r="F2">
        <v>0.97299999999999998</v>
      </c>
      <c r="G2" s="13" t="s">
        <v>12</v>
      </c>
      <c r="H2" t="s">
        <v>13</v>
      </c>
      <c r="K2" s="5">
        <f>0.9-0.1</f>
        <v>0.8</v>
      </c>
      <c r="N2" s="44" t="s">
        <v>14</v>
      </c>
      <c r="O2" s="45" t="s">
        <v>15</v>
      </c>
      <c r="Q2" s="88">
        <f>SLOPE(O4:O247,N4:N247)</f>
        <v>-0.79174774204954501</v>
      </c>
      <c r="R2" s="88">
        <f>INTERCEPT(O4:O247,N4:N247)</f>
        <v>0.85074687716932851</v>
      </c>
      <c r="S2" s="15" t="s">
        <v>16</v>
      </c>
      <c r="T2" s="16" t="s">
        <v>17</v>
      </c>
      <c r="U2" s="17" t="s">
        <v>18</v>
      </c>
      <c r="V2" s="18" t="s">
        <v>19</v>
      </c>
      <c r="W2" s="19" t="s">
        <v>20</v>
      </c>
      <c r="X2" s="19" t="s">
        <v>21</v>
      </c>
      <c r="Y2" s="15" t="s">
        <v>22</v>
      </c>
      <c r="Z2" s="15" t="s">
        <v>23</v>
      </c>
      <c r="AA2" s="20" t="s">
        <v>24</v>
      </c>
      <c r="AB2" s="15" t="s">
        <v>25</v>
      </c>
      <c r="AC2" s="21" t="s">
        <v>53</v>
      </c>
      <c r="AD2" s="22" t="s">
        <v>26</v>
      </c>
      <c r="AE2" s="46" t="s">
        <v>54</v>
      </c>
      <c r="AF2" s="15" t="s">
        <v>55</v>
      </c>
      <c r="AG2"/>
      <c r="AH2" s="15" t="s">
        <v>56</v>
      </c>
      <c r="AI2" s="15" t="s">
        <v>57</v>
      </c>
      <c r="AJ2" s="15" t="s">
        <v>58</v>
      </c>
      <c r="AK2" s="15" t="s">
        <v>59</v>
      </c>
      <c r="AL2" s="15" t="s">
        <v>60</v>
      </c>
      <c r="AM2" s="47" t="s">
        <v>61</v>
      </c>
      <c r="AN2" s="47" t="s">
        <v>62</v>
      </c>
      <c r="AO2" s="47" t="s">
        <v>63</v>
      </c>
      <c r="AP2" s="47" t="s">
        <v>64</v>
      </c>
      <c r="AQ2" s="23"/>
    </row>
    <row r="3" spans="1:43">
      <c r="A3" s="24" t="s">
        <v>27</v>
      </c>
      <c r="B3" s="24" t="s">
        <v>28</v>
      </c>
      <c r="C3" s="24" t="s">
        <v>29</v>
      </c>
      <c r="D3" s="24" t="s">
        <v>30</v>
      </c>
      <c r="E3" s="24" t="s">
        <v>31</v>
      </c>
      <c r="F3" s="24" t="s">
        <v>32</v>
      </c>
      <c r="G3" s="25" t="s">
        <v>33</v>
      </c>
      <c r="H3" s="24" t="s">
        <v>34</v>
      </c>
      <c r="I3" s="24" t="s">
        <v>35</v>
      </c>
      <c r="J3" s="24" t="s">
        <v>36</v>
      </c>
      <c r="K3" s="26" t="s">
        <v>37</v>
      </c>
      <c r="L3" s="3" t="s">
        <v>38</v>
      </c>
      <c r="M3" s="27" t="s">
        <v>39</v>
      </c>
      <c r="N3" s="48" t="s">
        <v>40</v>
      </c>
      <c r="O3" s="49" t="s">
        <v>35</v>
      </c>
      <c r="P3" s="28" t="s">
        <v>472</v>
      </c>
      <c r="Q3" s="28" t="s">
        <v>41</v>
      </c>
      <c r="R3" s="28" t="s">
        <v>42</v>
      </c>
      <c r="S3" s="29" t="s">
        <v>43</v>
      </c>
      <c r="T3" s="30" t="s">
        <v>44</v>
      </c>
      <c r="U3" s="31" t="s">
        <v>45</v>
      </c>
      <c r="V3" s="32" t="s">
        <v>46</v>
      </c>
      <c r="W3" s="29" t="s">
        <v>47</v>
      </c>
      <c r="X3" s="33" t="s">
        <v>95</v>
      </c>
      <c r="Y3" s="34" t="s">
        <v>48</v>
      </c>
      <c r="Z3" s="34" t="s">
        <v>65</v>
      </c>
      <c r="AA3" s="35" t="s">
        <v>66</v>
      </c>
      <c r="AB3" s="36" t="s">
        <v>49</v>
      </c>
      <c r="AC3" s="37" t="s">
        <v>67</v>
      </c>
      <c r="AD3" s="38" t="s">
        <v>44</v>
      </c>
      <c r="AE3" s="50" t="s">
        <v>33</v>
      </c>
      <c r="AF3" s="34" t="s">
        <v>68</v>
      </c>
      <c r="AG3"/>
      <c r="AH3" s="34" t="s">
        <v>69</v>
      </c>
      <c r="AI3" s="34" t="s">
        <v>70</v>
      </c>
      <c r="AJ3" s="34" t="s">
        <v>71</v>
      </c>
      <c r="AK3" s="34" t="s">
        <v>72</v>
      </c>
      <c r="AL3" s="34" t="s">
        <v>73</v>
      </c>
      <c r="AM3" s="38" t="s">
        <v>74</v>
      </c>
      <c r="AN3" s="38" t="s">
        <v>75</v>
      </c>
      <c r="AO3" s="38" t="s">
        <v>76</v>
      </c>
      <c r="AP3" s="38" t="s">
        <v>77</v>
      </c>
      <c r="AQ3" s="23"/>
    </row>
    <row r="4" spans="1:43">
      <c r="A4" t="s">
        <v>96</v>
      </c>
      <c r="B4" t="s">
        <v>97</v>
      </c>
      <c r="C4" t="s">
        <v>98</v>
      </c>
      <c r="D4">
        <v>2</v>
      </c>
      <c r="E4">
        <v>1060</v>
      </c>
      <c r="F4">
        <f>F$2</f>
        <v>0.97299999999999998</v>
      </c>
      <c r="G4" s="60">
        <f>E4*12*F4</f>
        <v>12376.56</v>
      </c>
      <c r="H4">
        <v>148</v>
      </c>
      <c r="I4" s="61">
        <v>0.16159999999999999</v>
      </c>
      <c r="J4">
        <v>114</v>
      </c>
      <c r="K4">
        <v>153</v>
      </c>
      <c r="L4">
        <f>K4-J4</f>
        <v>39</v>
      </c>
      <c r="M4">
        <f>H4-J4</f>
        <v>34</v>
      </c>
      <c r="N4" s="62">
        <f>0.8*M4/L4+0.1</f>
        <v>0.79743589743589749</v>
      </c>
      <c r="O4" s="61">
        <v>0.16159999999999999</v>
      </c>
      <c r="P4" s="63">
        <v>100</v>
      </c>
      <c r="Q4" s="64">
        <f>0.1+0.8*(P4-J4)/(K4-J4)</f>
        <v>-0.18717948717948721</v>
      </c>
      <c r="R4" s="64">
        <f>$Q$2*Q4+$R$2</f>
        <v>0.99894581350167932</v>
      </c>
      <c r="S4" s="63">
        <f>365*P4*R4</f>
        <v>36461.522192811295</v>
      </c>
      <c r="T4" s="65">
        <f>S4*(1-$T$1)</f>
        <v>25523.065534967904</v>
      </c>
      <c r="U4" s="60">
        <f>J4</f>
        <v>114</v>
      </c>
      <c r="V4" s="63">
        <f>1.25*L4</f>
        <v>48.75</v>
      </c>
      <c r="W4" s="63">
        <f>J4-L4/8</f>
        <v>109.125</v>
      </c>
      <c r="X4">
        <f>1.25*L4/(2*$Q$2)</f>
        <v>-30.78632082600204</v>
      </c>
      <c r="Y4" s="63">
        <f>(($Q$2*W4)/V4-$R$2)*X4</f>
        <v>80.753866302254295</v>
      </c>
      <c r="Z4" s="63">
        <f>IF(Y4&gt;U4,Y4,U4)</f>
        <v>114</v>
      </c>
      <c r="AA4" s="64">
        <f>(Z4-W4)/V4</f>
        <v>0.1</v>
      </c>
      <c r="AB4" s="64">
        <f>$Q$2*AA4+$R$2</f>
        <v>0.77157210296437406</v>
      </c>
      <c r="AC4" s="63">
        <f>Z4*AB4*365</f>
        <v>32105.115204347603</v>
      </c>
      <c r="AD4" s="65">
        <f>AC4*(1-$T$1)</f>
        <v>22473.580643043322</v>
      </c>
      <c r="AE4" s="63">
        <f>G4</f>
        <v>12376.56</v>
      </c>
      <c r="AF4" s="63">
        <f>AD4-AE4</f>
        <v>10097.020643043323</v>
      </c>
      <c r="AG4" s="51" t="s">
        <v>78</v>
      </c>
      <c r="AH4" s="66">
        <f>AB4*(365/$AG$23)*$AG$21</f>
        <v>9387.4605860665506</v>
      </c>
      <c r="AI4" s="66">
        <f>-$AG$7-$AG$13-AH4</f>
        <v>-42987.460586066547</v>
      </c>
      <c r="AJ4" s="66">
        <f>-$AG$13-AH4-$AG$18</f>
        <v>-18987.460586066551</v>
      </c>
      <c r="AK4" s="67">
        <f>-($AG$7/$AG$9)-$AG$13-AH4</f>
        <v>-18987.460586066551</v>
      </c>
      <c r="AL4" s="67">
        <f>-($AG$7/$AG$9)-$AG$13-AH4-$AG$18</f>
        <v>-24987.460586066551</v>
      </c>
      <c r="AM4" s="68">
        <f>AF4+AI4</f>
        <v>-32890.439943023222</v>
      </c>
      <c r="AN4" s="68">
        <f>AF4+AJ4</f>
        <v>-8890.4399430232279</v>
      </c>
      <c r="AO4" s="68">
        <f>AF4+AK4</f>
        <v>-8890.4399430232279</v>
      </c>
      <c r="AP4" s="68">
        <f>AF4+AL4</f>
        <v>-14890.439943023228</v>
      </c>
      <c r="AQ4" s="23"/>
    </row>
    <row r="5" spans="1:43">
      <c r="A5" t="s">
        <v>99</v>
      </c>
      <c r="B5" t="s">
        <v>100</v>
      </c>
      <c r="C5" t="s">
        <v>98</v>
      </c>
      <c r="D5">
        <v>2</v>
      </c>
      <c r="E5">
        <v>1200</v>
      </c>
      <c r="F5">
        <f>F$2</f>
        <v>0.97299999999999998</v>
      </c>
      <c r="G5" s="60">
        <f>E5*12*F5</f>
        <v>14011.199999999999</v>
      </c>
      <c r="H5">
        <v>133</v>
      </c>
      <c r="I5" s="61">
        <v>0.34789999999999999</v>
      </c>
      <c r="J5">
        <v>111</v>
      </c>
      <c r="K5">
        <v>149</v>
      </c>
      <c r="L5">
        <f>K5-J5</f>
        <v>38</v>
      </c>
      <c r="M5">
        <f>H5-J5</f>
        <v>22</v>
      </c>
      <c r="N5" s="62">
        <f>0.8*M5/L5+0.1</f>
        <v>0.56315789473684219</v>
      </c>
      <c r="O5" s="61">
        <v>0.34789999999999999</v>
      </c>
      <c r="P5" s="63">
        <v>100</v>
      </c>
      <c r="Q5" s="64">
        <f>0.1+0.8*(P5-J5)/(K5-J5)</f>
        <v>-0.13157894736842107</v>
      </c>
      <c r="R5" s="64">
        <f>$Q$2*Q5+$R$2</f>
        <v>0.95492421164953178</v>
      </c>
      <c r="S5" s="63">
        <f>365*P5*R5</f>
        <v>34854.733725207909</v>
      </c>
      <c r="T5" s="65">
        <f>S5*(1-$T$1)</f>
        <v>24398.313607645534</v>
      </c>
      <c r="U5" s="60">
        <f>J5</f>
        <v>111</v>
      </c>
      <c r="V5" s="63">
        <f>1.25*L5</f>
        <v>47.5</v>
      </c>
      <c r="W5" s="63">
        <f>J5-L5/8</f>
        <v>106.25</v>
      </c>
      <c r="X5">
        <f>1.25*L5/(2*$Q$2)</f>
        <v>-29.996927984309682</v>
      </c>
      <c r="Y5" s="63">
        <f>(($Q$2*W5)/V5-$R$2)*X5</f>
        <v>78.644792807324691</v>
      </c>
      <c r="Z5" s="63">
        <f>IF(Y5&gt;U5,Y5,U5)</f>
        <v>111</v>
      </c>
      <c r="AA5" s="64">
        <f>(Z5-W5)/V5</f>
        <v>0.1</v>
      </c>
      <c r="AB5" s="64">
        <f>$Q$2*AA5+$R$2</f>
        <v>0.77157210296437406</v>
      </c>
      <c r="AC5" s="63">
        <f>Z5*AB5*365</f>
        <v>31260.243751601614</v>
      </c>
      <c r="AD5" s="65">
        <f>AC5*(1-$T$1)</f>
        <v>21882.170626121129</v>
      </c>
      <c r="AE5" s="63">
        <f>G5</f>
        <v>14011.199999999999</v>
      </c>
      <c r="AF5" s="63">
        <f>AD5-AE5</f>
        <v>7870.9706261211304</v>
      </c>
      <c r="AG5" s="52"/>
      <c r="AH5" s="66">
        <f>AB5*(365/$AG$23)*$AG$21</f>
        <v>9387.4605860665506</v>
      </c>
      <c r="AI5" s="66">
        <f>-$AG$7-$AG$13-AH5</f>
        <v>-42987.460586066547</v>
      </c>
      <c r="AJ5" s="66">
        <f>-$AG$13-AH5-$AG$18</f>
        <v>-18987.460586066551</v>
      </c>
      <c r="AK5" s="67">
        <f>-($AG$7/$AG$9)-$AG$13-AH5</f>
        <v>-18987.460586066551</v>
      </c>
      <c r="AL5" s="67">
        <f>-($AG$7/$AG$9)-$AG$13-AH5-$AG$18</f>
        <v>-24987.460586066551</v>
      </c>
      <c r="AM5" s="68">
        <f>AF5+AI5</f>
        <v>-35116.489959945415</v>
      </c>
      <c r="AN5" s="68">
        <f>AF5+AJ5</f>
        <v>-11116.48995994542</v>
      </c>
      <c r="AO5" s="68">
        <f>AF5+AK5</f>
        <v>-11116.48995994542</v>
      </c>
      <c r="AP5" s="68">
        <f>AF5+AL5</f>
        <v>-17116.489959945422</v>
      </c>
      <c r="AQ5" s="23"/>
    </row>
    <row r="6" spans="1:43">
      <c r="A6" t="s">
        <v>101</v>
      </c>
      <c r="B6" t="s">
        <v>102</v>
      </c>
      <c r="C6" t="s">
        <v>98</v>
      </c>
      <c r="D6">
        <v>1</v>
      </c>
      <c r="E6">
        <v>3300</v>
      </c>
      <c r="F6">
        <f>F$2</f>
        <v>0.97299999999999998</v>
      </c>
      <c r="G6" s="60">
        <f>E6*12*F6</f>
        <v>38530.799999999996</v>
      </c>
      <c r="H6">
        <v>372</v>
      </c>
      <c r="I6" s="61">
        <v>0.39729999999999999</v>
      </c>
      <c r="J6">
        <v>108</v>
      </c>
      <c r="K6">
        <v>610</v>
      </c>
      <c r="L6">
        <f>K6-J6</f>
        <v>502</v>
      </c>
      <c r="M6">
        <f>H6-J6</f>
        <v>264</v>
      </c>
      <c r="N6" s="62">
        <f>0.8*M6/L6+0.1</f>
        <v>0.52071713147410359</v>
      </c>
      <c r="O6" s="61">
        <v>0.39729999999999999</v>
      </c>
      <c r="P6" s="63">
        <v>100</v>
      </c>
      <c r="Q6" s="64">
        <f>0.1+0.8*(P6-J6)/(K6-J6)</f>
        <v>8.7250996015936264E-2</v>
      </c>
      <c r="R6" s="64">
        <f>$Q$2*Q6+$R$2</f>
        <v>0.78166609808213716</v>
      </c>
      <c r="S6" s="63">
        <f>365*P6*R6</f>
        <v>28530.812579998008</v>
      </c>
      <c r="T6" s="65">
        <f>S6*(1-$T$1)</f>
        <v>19971.568805998606</v>
      </c>
      <c r="U6" s="60">
        <f>J6</f>
        <v>108</v>
      </c>
      <c r="V6" s="63">
        <f>1.25*L6</f>
        <v>627.5</v>
      </c>
      <c r="W6" s="63">
        <f>J6-L6/8</f>
        <v>45.25</v>
      </c>
      <c r="X6">
        <f>1.25*L6/(2*$Q$2)</f>
        <v>-396.27520652956474</v>
      </c>
      <c r="Y6" s="63">
        <f>(($Q$2*W6)/V6-$R$2)*X6</f>
        <v>359.75489445465792</v>
      </c>
      <c r="Z6" s="63">
        <f>IF(Y6&gt;U6,Y6,U6)</f>
        <v>359.75489445465792</v>
      </c>
      <c r="AA6" s="64">
        <f>(Z6-W6)/V6</f>
        <v>0.50120301905124764</v>
      </c>
      <c r="AB6" s="64">
        <f>$Q$2*AA6+$R$2</f>
        <v>0.45392051852708809</v>
      </c>
      <c r="AC6" s="63">
        <f>Z6*AB6*365</f>
        <v>59604.546805233404</v>
      </c>
      <c r="AD6" s="65">
        <f>AC6*(1-$T$1)</f>
        <v>41723.182763663383</v>
      </c>
      <c r="AE6" s="63">
        <f>G6</f>
        <v>38530.799999999996</v>
      </c>
      <c r="AF6" s="63">
        <f>AD6-AE6</f>
        <v>3192.3827636633869</v>
      </c>
      <c r="AG6" s="17" t="s">
        <v>79</v>
      </c>
      <c r="AH6" s="66">
        <f>AB6*(365/$AG$23)*$AG$21</f>
        <v>5522.6996420795722</v>
      </c>
      <c r="AI6" s="66">
        <f>-$AG$7-$AG$13-AH6</f>
        <v>-39122.699642079569</v>
      </c>
      <c r="AJ6" s="66">
        <f>-$AG$13-AH6-$AG$18</f>
        <v>-15122.699642079573</v>
      </c>
      <c r="AK6" s="67">
        <f>-($AG$7/$AG$9)-$AG$13-AH6</f>
        <v>-15122.699642079573</v>
      </c>
      <c r="AL6" s="67">
        <f>-($AG$7/$AG$9)-$AG$13-AH6-$AG$18</f>
        <v>-21122.699642079573</v>
      </c>
      <c r="AM6" s="68">
        <f>AF6+AI6</f>
        <v>-35930.316878416183</v>
      </c>
      <c r="AN6" s="68">
        <f>AF6+AJ6</f>
        <v>-11930.316878416186</v>
      </c>
      <c r="AO6" s="68">
        <f>AF6+AK6</f>
        <v>-11930.316878416186</v>
      </c>
      <c r="AP6" s="68">
        <f>AF6+AL6</f>
        <v>-17930.316878416186</v>
      </c>
      <c r="AQ6" s="23"/>
    </row>
    <row r="7" spans="1:43">
      <c r="A7" t="s">
        <v>103</v>
      </c>
      <c r="B7" t="s">
        <v>104</v>
      </c>
      <c r="C7" t="s">
        <v>98</v>
      </c>
      <c r="D7">
        <v>1</v>
      </c>
      <c r="E7">
        <v>1400</v>
      </c>
      <c r="F7">
        <f>F$2</f>
        <v>0.97299999999999998</v>
      </c>
      <c r="G7" s="60">
        <f>E7*12*F7</f>
        <v>16346.4</v>
      </c>
      <c r="H7">
        <v>302</v>
      </c>
      <c r="I7" s="61">
        <v>0.3644</v>
      </c>
      <c r="J7">
        <v>178</v>
      </c>
      <c r="K7">
        <v>533</v>
      </c>
      <c r="L7">
        <f>K7-J7</f>
        <v>355</v>
      </c>
      <c r="M7">
        <f>H7-J7</f>
        <v>124</v>
      </c>
      <c r="N7" s="62">
        <f>0.8*M7/L7+0.1</f>
        <v>0.37943661971830989</v>
      </c>
      <c r="O7" s="61">
        <v>0.3644</v>
      </c>
      <c r="P7" s="63">
        <v>100</v>
      </c>
      <c r="Q7" s="64">
        <f>0.1+0.8*(P7-J7)/(K7-J7)</f>
        <v>-7.5774647887323965E-2</v>
      </c>
      <c r="R7" s="64">
        <f>$Q$2*Q7+$R$2</f>
        <v>0.91074128353871653</v>
      </c>
      <c r="S7" s="63">
        <f>365*P7*R7</f>
        <v>33242.056849163157</v>
      </c>
      <c r="T7" s="65">
        <f>S7*(1-$T$1)</f>
        <v>23269.439794414207</v>
      </c>
      <c r="U7" s="60">
        <f>J7</f>
        <v>178</v>
      </c>
      <c r="V7" s="63">
        <f>1.25*L7</f>
        <v>443.75</v>
      </c>
      <c r="W7" s="63">
        <f>J7-L7/8</f>
        <v>133.625</v>
      </c>
      <c r="X7">
        <f>1.25*L7/(2*$Q$2)</f>
        <v>-280.23445880078782</v>
      </c>
      <c r="Y7" s="63">
        <f>(($Q$2*W7)/V7-$R$2)*X7</f>
        <v>305.2210907000071</v>
      </c>
      <c r="Z7" s="63">
        <f>IF(Y7&gt;U7,Y7,U7)</f>
        <v>305.2210907000071</v>
      </c>
      <c r="AA7" s="64">
        <f>(Z7-W7)/V7</f>
        <v>0.38669541566198784</v>
      </c>
      <c r="AB7" s="64">
        <f>$Q$2*AA7+$R$2</f>
        <v>0.54458165495803934</v>
      </c>
      <c r="AC7" s="63">
        <f>Z7*AB7*365</f>
        <v>60669.499446050308</v>
      </c>
      <c r="AD7" s="65">
        <f>AC7*(1-$T$1)</f>
        <v>42468.649612235211</v>
      </c>
      <c r="AE7" s="63">
        <f>G7</f>
        <v>16346.4</v>
      </c>
      <c r="AF7" s="63">
        <f>AD7-AE7</f>
        <v>26122.249612235209</v>
      </c>
      <c r="AG7" s="53">
        <v>30000</v>
      </c>
      <c r="AH7" s="66">
        <f>AB7*(365/$AG$23)*$AG$21</f>
        <v>6625.7434686561455</v>
      </c>
      <c r="AI7" s="66">
        <f>-$AG$7-$AG$13-AH7</f>
        <v>-40225.743468656146</v>
      </c>
      <c r="AJ7" s="66">
        <f>-$AG$13-AH7-$AG$18</f>
        <v>-16225.743468656146</v>
      </c>
      <c r="AK7" s="67">
        <f>-($AG$7/$AG$9)-$AG$13-AH7</f>
        <v>-16225.743468656146</v>
      </c>
      <c r="AL7" s="67">
        <f>-($AG$7/$AG$9)-$AG$13-AH7-$AG$18</f>
        <v>-22225.743468656146</v>
      </c>
      <c r="AM7" s="68">
        <f>AF7+AI7</f>
        <v>-14103.493856420937</v>
      </c>
      <c r="AN7" s="68">
        <f>AF7+AJ7</f>
        <v>9896.5061435790631</v>
      </c>
      <c r="AO7" s="68">
        <f>AF7+AK7</f>
        <v>9896.5061435790631</v>
      </c>
      <c r="AP7" s="68">
        <f>AF7+AL7</f>
        <v>3896.5061435790631</v>
      </c>
    </row>
    <row r="8" spans="1:43">
      <c r="A8" t="s">
        <v>105</v>
      </c>
      <c r="B8" t="s">
        <v>104</v>
      </c>
      <c r="C8" t="s">
        <v>98</v>
      </c>
      <c r="D8">
        <v>2</v>
      </c>
      <c r="E8">
        <v>2000</v>
      </c>
      <c r="F8">
        <f>F$2</f>
        <v>0.97299999999999998</v>
      </c>
      <c r="G8" s="60">
        <f>E8*12*F8</f>
        <v>23352</v>
      </c>
      <c r="H8">
        <v>429</v>
      </c>
      <c r="I8" s="61">
        <v>0.41099999999999998</v>
      </c>
      <c r="J8">
        <v>221</v>
      </c>
      <c r="K8">
        <v>617</v>
      </c>
      <c r="L8">
        <f>K8-J8</f>
        <v>396</v>
      </c>
      <c r="M8">
        <f>H8-J8</f>
        <v>208</v>
      </c>
      <c r="N8" s="62">
        <f>0.8*M8/L8+0.1</f>
        <v>0.52020202020202022</v>
      </c>
      <c r="O8" s="61">
        <v>0.41099999999999998</v>
      </c>
      <c r="P8" s="63">
        <v>100</v>
      </c>
      <c r="Q8" s="64">
        <f>0.1+0.8*(P8-J8)/(K8-J8)</f>
        <v>-0.14444444444444446</v>
      </c>
      <c r="R8" s="64">
        <f>$Q$2*Q8+$R$2</f>
        <v>0.96511043990981837</v>
      </c>
      <c r="S8" s="63">
        <f>365*P8*R8</f>
        <v>35226.531056708372</v>
      </c>
      <c r="T8" s="65">
        <f>S8*(1-$T$1)</f>
        <v>24658.571739695861</v>
      </c>
      <c r="U8" s="60">
        <f>J8</f>
        <v>221</v>
      </c>
      <c r="V8" s="63">
        <f>1.25*L8</f>
        <v>495</v>
      </c>
      <c r="W8" s="63">
        <f>J8-L8/8</f>
        <v>171.5</v>
      </c>
      <c r="X8">
        <f>1.25*L8/(2*$Q$2)</f>
        <v>-312.59956531017457</v>
      </c>
      <c r="Y8" s="63">
        <f>(($Q$2*W8)/V8-$R$2)*X8</f>
        <v>351.69310399212054</v>
      </c>
      <c r="Z8" s="63">
        <f>IF(Y8&gt;U8,Y8,U8)</f>
        <v>351.69310399212054</v>
      </c>
      <c r="AA8" s="64">
        <f>(Z8-W8)/V8</f>
        <v>0.36402647271135463</v>
      </c>
      <c r="AB8" s="64">
        <f>$Q$2*AA8+$R$2</f>
        <v>0.56252973935385309</v>
      </c>
      <c r="AC8" s="63">
        <f>Z8*AB8*365</f>
        <v>72210.807994250819</v>
      </c>
      <c r="AD8" s="65">
        <f>AC8*(1-$T$1)</f>
        <v>50547.565595975568</v>
      </c>
      <c r="AE8" s="63">
        <f>G8</f>
        <v>23352</v>
      </c>
      <c r="AF8" s="63">
        <f>AD8-AE8</f>
        <v>27195.565595975568</v>
      </c>
      <c r="AG8" s="53" t="s">
        <v>80</v>
      </c>
      <c r="AH8" s="66">
        <f>AB8*(365/$AG$23)*$AG$21</f>
        <v>6844.1118288052121</v>
      </c>
      <c r="AI8" s="66">
        <f>-$AG$7-$AG$13-AH8</f>
        <v>-40444.111828805209</v>
      </c>
      <c r="AJ8" s="66">
        <f>-$AG$13-AH8-$AG$18</f>
        <v>-16444.111828805213</v>
      </c>
      <c r="AK8" s="67">
        <f>-($AG$7/$AG$9)-$AG$13-AH8</f>
        <v>-16444.111828805213</v>
      </c>
      <c r="AL8" s="67">
        <f>-($AG$7/$AG$9)-$AG$13-AH8-$AG$18</f>
        <v>-22444.111828805213</v>
      </c>
      <c r="AM8" s="68">
        <f>AF8+AI8</f>
        <v>-13248.546232829642</v>
      </c>
      <c r="AN8" s="68">
        <f>AF8+AJ8</f>
        <v>10751.453767170355</v>
      </c>
      <c r="AO8" s="68">
        <f>AF8+AK8</f>
        <v>10751.453767170355</v>
      </c>
      <c r="AP8" s="68">
        <f>AF8+AL8</f>
        <v>4751.4537671703547</v>
      </c>
    </row>
    <row r="9" spans="1:43">
      <c r="A9" t="s">
        <v>106</v>
      </c>
      <c r="B9" t="s">
        <v>104</v>
      </c>
      <c r="C9" t="s">
        <v>107</v>
      </c>
      <c r="D9">
        <v>1</v>
      </c>
      <c r="E9">
        <v>1600</v>
      </c>
      <c r="F9">
        <f>F$2</f>
        <v>0.97299999999999998</v>
      </c>
      <c r="G9" s="60">
        <f>E9*12*F9</f>
        <v>18681.599999999999</v>
      </c>
      <c r="H9">
        <v>380</v>
      </c>
      <c r="I9" s="61">
        <v>0.41099999999999998</v>
      </c>
      <c r="J9">
        <v>202</v>
      </c>
      <c r="K9">
        <v>646</v>
      </c>
      <c r="L9">
        <f>K9-J9</f>
        <v>444</v>
      </c>
      <c r="M9">
        <f>H9-J9</f>
        <v>178</v>
      </c>
      <c r="N9" s="62">
        <f>0.8*M9/L9+0.1</f>
        <v>0.42072072072072075</v>
      </c>
      <c r="O9" s="61">
        <v>0.41099999999999998</v>
      </c>
      <c r="P9" s="63">
        <v>100</v>
      </c>
      <c r="Q9" s="64">
        <f>0.1+0.8*(P9-J9)/(K9-J9)</f>
        <v>-8.3783783783783788E-2</v>
      </c>
      <c r="R9" s="64">
        <f>$Q$2*Q9+$R$2</f>
        <v>0.91708249880050663</v>
      </c>
      <c r="S9" s="63">
        <f>365*P9*R9</f>
        <v>33473.511206218493</v>
      </c>
      <c r="T9" s="65">
        <f>S9*(1-$T$1)</f>
        <v>23431.457844352943</v>
      </c>
      <c r="U9" s="60">
        <f>J9</f>
        <v>202</v>
      </c>
      <c r="V9" s="63">
        <f>1.25*L9</f>
        <v>555</v>
      </c>
      <c r="W9" s="63">
        <f>J9-L9/8</f>
        <v>146.5</v>
      </c>
      <c r="X9">
        <f>1.25*L9/(2*$Q$2)</f>
        <v>-350.49042171140786</v>
      </c>
      <c r="Y9" s="63">
        <f>(($Q$2*W9)/V9-$R$2)*X9</f>
        <v>371.42863174874128</v>
      </c>
      <c r="Z9" s="63">
        <f>IF(Y9&gt;U9,Y9,U9)</f>
        <v>371.42863174874128</v>
      </c>
      <c r="AA9" s="64">
        <f>(Z9-W9)/V9</f>
        <v>0.40527681396169601</v>
      </c>
      <c r="AB9" s="64">
        <f>$Q$2*AA9+$R$2</f>
        <v>0.52986987481012215</v>
      </c>
      <c r="AC9" s="63">
        <f>Z9*AB9*365</f>
        <v>71835.227551044183</v>
      </c>
      <c r="AD9" s="65">
        <f>AC9*(1-$T$1)</f>
        <v>50284.659285730922</v>
      </c>
      <c r="AE9" s="63">
        <f>G9</f>
        <v>18681.599999999999</v>
      </c>
      <c r="AF9" s="63">
        <f>AD9-AE9</f>
        <v>31603.059285730924</v>
      </c>
      <c r="AG9" s="54">
        <v>5</v>
      </c>
      <c r="AH9" s="66">
        <f>AB9*(365/$AG$23)*$AG$21</f>
        <v>6446.7501435231525</v>
      </c>
      <c r="AI9" s="66">
        <f>-$AG$7-$AG$13-AH9</f>
        <v>-40046.750143523153</v>
      </c>
      <c r="AJ9" s="66">
        <f>-$AG$13-AH9-$AG$18</f>
        <v>-16046.750143523153</v>
      </c>
      <c r="AK9" s="67">
        <f>-($AG$7/$AG$9)-$AG$13-AH9</f>
        <v>-16046.750143523153</v>
      </c>
      <c r="AL9" s="67">
        <f>-($AG$7/$AG$9)-$AG$13-AH9-$AG$18</f>
        <v>-22046.750143523153</v>
      </c>
      <c r="AM9" s="68">
        <f>AF9+AI9</f>
        <v>-8443.6908577922295</v>
      </c>
      <c r="AN9" s="68">
        <f>AF9+AJ9</f>
        <v>15556.30914220777</v>
      </c>
      <c r="AO9" s="68">
        <f>AF9+AK9</f>
        <v>15556.30914220777</v>
      </c>
      <c r="AP9" s="68">
        <f>AF9+AL9</f>
        <v>9556.3091422077705</v>
      </c>
    </row>
    <row r="10" spans="1:43">
      <c r="A10" t="s">
        <v>108</v>
      </c>
      <c r="B10" t="s">
        <v>104</v>
      </c>
      <c r="C10" t="s">
        <v>107</v>
      </c>
      <c r="D10">
        <v>2</v>
      </c>
      <c r="E10">
        <v>2800</v>
      </c>
      <c r="F10">
        <f>F$2</f>
        <v>0.97299999999999998</v>
      </c>
      <c r="G10" s="60">
        <f>E10*12*F10</f>
        <v>32692.799999999999</v>
      </c>
      <c r="H10">
        <v>374</v>
      </c>
      <c r="I10" s="61">
        <v>0.52600000000000002</v>
      </c>
      <c r="J10">
        <v>197</v>
      </c>
      <c r="K10">
        <v>639</v>
      </c>
      <c r="L10">
        <f>K10-J10</f>
        <v>442</v>
      </c>
      <c r="M10">
        <f>H10-J10</f>
        <v>177</v>
      </c>
      <c r="N10" s="62">
        <f>0.8*M10/L10+0.1</f>
        <v>0.42036199095022619</v>
      </c>
      <c r="O10" s="61">
        <v>0.52600000000000002</v>
      </c>
      <c r="P10" s="63">
        <v>100</v>
      </c>
      <c r="Q10" s="64">
        <f>0.1+0.8*(P10-J10)/(K10-J10)</f>
        <v>-7.5565610859728516E-2</v>
      </c>
      <c r="R10" s="64">
        <f>$Q$2*Q10+$R$2</f>
        <v>0.91057577894411312</v>
      </c>
      <c r="S10" s="63">
        <f>365*P10*R10</f>
        <v>33236.015931460126</v>
      </c>
      <c r="T10" s="65">
        <f>S10*(1-$T$1)</f>
        <v>23265.211152022086</v>
      </c>
      <c r="U10" s="60">
        <f>J10</f>
        <v>197</v>
      </c>
      <c r="V10" s="63">
        <f>1.25*L10</f>
        <v>552.5</v>
      </c>
      <c r="W10" s="63">
        <f>J10-L10/8</f>
        <v>141.75</v>
      </c>
      <c r="X10">
        <f>1.25*L10/(2*$Q$2)</f>
        <v>-348.91163602802311</v>
      </c>
      <c r="Y10" s="63">
        <f>(($Q$2*W10)/V10-$R$2)*X10</f>
        <v>367.71048475888199</v>
      </c>
      <c r="Z10" s="63">
        <f>IF(Y10&gt;U10,Y10,U10)</f>
        <v>367.71048475888199</v>
      </c>
      <c r="AA10" s="64">
        <f>(Z10-W10)/V10</f>
        <v>0.40897825295725249</v>
      </c>
      <c r="AB10" s="64">
        <f>$Q$2*AA10+$R$2</f>
        <v>0.5269392688430562</v>
      </c>
      <c r="AC10" s="63">
        <f>Z10*AB10*365</f>
        <v>70722.799304441432</v>
      </c>
      <c r="AD10" s="65">
        <f>AC10*(1-$T$1)</f>
        <v>49505.959513109003</v>
      </c>
      <c r="AE10" s="63">
        <f>G10</f>
        <v>32692.799999999999</v>
      </c>
      <c r="AF10" s="63">
        <f>AD10-AE10</f>
        <v>16813.159513109003</v>
      </c>
      <c r="AG10" s="52"/>
      <c r="AH10" s="66">
        <f>AB10*(365/$AG$23)*$AG$21</f>
        <v>6411.0944375905174</v>
      </c>
      <c r="AI10" s="66">
        <f>-$AG$7-$AG$13-AH10</f>
        <v>-40011.094437590516</v>
      </c>
      <c r="AJ10" s="66">
        <f>-$AG$13-AH10-$AG$18</f>
        <v>-16011.094437590516</v>
      </c>
      <c r="AK10" s="67">
        <f>-($AG$7/$AG$9)-$AG$13-AH10</f>
        <v>-16011.094437590516</v>
      </c>
      <c r="AL10" s="67">
        <f>-($AG$7/$AG$9)-$AG$13-AH10-$AG$18</f>
        <v>-22011.094437590516</v>
      </c>
      <c r="AM10" s="68">
        <f>AF10+AI10</f>
        <v>-23197.934924481513</v>
      </c>
      <c r="AN10" s="68">
        <f>AF10+AJ10</f>
        <v>802.06507551848699</v>
      </c>
      <c r="AO10" s="68">
        <f>AF10+AK10</f>
        <v>802.06507551848699</v>
      </c>
      <c r="AP10" s="68">
        <f>AF10+AL10</f>
        <v>-5197.934924481513</v>
      </c>
    </row>
    <row r="11" spans="1:43">
      <c r="A11" t="s">
        <v>109</v>
      </c>
      <c r="B11" t="s">
        <v>110</v>
      </c>
      <c r="C11" t="s">
        <v>98</v>
      </c>
      <c r="D11">
        <v>1</v>
      </c>
      <c r="E11">
        <v>1100</v>
      </c>
      <c r="F11">
        <f>F$2</f>
        <v>0.97299999999999998</v>
      </c>
      <c r="G11" s="60">
        <f>E11*12*F11</f>
        <v>12843.6</v>
      </c>
      <c r="H11">
        <v>386</v>
      </c>
      <c r="I11" s="61">
        <v>0.43290000000000001</v>
      </c>
      <c r="J11">
        <v>114</v>
      </c>
      <c r="K11">
        <v>477</v>
      </c>
      <c r="L11">
        <f>K11-J11</f>
        <v>363</v>
      </c>
      <c r="M11">
        <f>H11-J11</f>
        <v>272</v>
      </c>
      <c r="N11" s="62">
        <f>0.8*M11/L11+0.1</f>
        <v>0.69944903581267226</v>
      </c>
      <c r="O11" s="61">
        <v>0.43290000000000001</v>
      </c>
      <c r="P11" s="63">
        <v>100</v>
      </c>
      <c r="Q11" s="64">
        <f>0.1+0.8*(P11-J11)/(K11-J11)</f>
        <v>6.9146005509641881E-2</v>
      </c>
      <c r="R11" s="64">
        <f>$Q$2*Q11+$R$2</f>
        <v>0.79600068343532415</v>
      </c>
      <c r="S11" s="63">
        <f>365*P11*R11</f>
        <v>29054.02494538933</v>
      </c>
      <c r="T11" s="65">
        <f>S11*(1-$T$1)</f>
        <v>20337.817461772531</v>
      </c>
      <c r="U11" s="60">
        <f>J11</f>
        <v>114</v>
      </c>
      <c r="V11" s="63">
        <f>1.25*L11</f>
        <v>453.75</v>
      </c>
      <c r="W11" s="63">
        <f>J11-L11/8</f>
        <v>68.625</v>
      </c>
      <c r="X11">
        <f>1.25*L11/(2*$Q$2)</f>
        <v>-286.54960153432671</v>
      </c>
      <c r="Y11" s="63">
        <f>(($Q$2*W11)/V11-$R$2)*X11</f>
        <v>278.09367865944387</v>
      </c>
      <c r="Z11" s="63">
        <f>IF(Y11&gt;U11,Y11,U11)</f>
        <v>278.09367865944387</v>
      </c>
      <c r="AA11" s="64">
        <f>(Z11-W11)/V11</f>
        <v>0.46163896123293413</v>
      </c>
      <c r="AB11" s="64">
        <f>$Q$2*AA11+$R$2</f>
        <v>0.48524527197105549</v>
      </c>
      <c r="AC11" s="63">
        <f>Z11*AB11*365</f>
        <v>49254.429598104594</v>
      </c>
      <c r="AD11" s="65">
        <f>AC11*(1-$T$1)</f>
        <v>34478.100718673217</v>
      </c>
      <c r="AE11" s="63">
        <f>G11</f>
        <v>12843.6</v>
      </c>
      <c r="AF11" s="63">
        <f>AD11-AE11</f>
        <v>21634.500718673218</v>
      </c>
      <c r="AG11" s="17" t="s">
        <v>81</v>
      </c>
      <c r="AH11" s="66">
        <f>AB11*(365/$AG$23)*$AG$21</f>
        <v>5903.817475647842</v>
      </c>
      <c r="AI11" s="66">
        <f>-$AG$7-$AG$13-AH11</f>
        <v>-39503.81747564784</v>
      </c>
      <c r="AJ11" s="66">
        <f>-$AG$13-AH11-$AG$18</f>
        <v>-15503.817475647842</v>
      </c>
      <c r="AK11" s="67">
        <f>-($AG$7/$AG$9)-$AG$13-AH11</f>
        <v>-15503.817475647842</v>
      </c>
      <c r="AL11" s="67">
        <f>-($AG$7/$AG$9)-$AG$13-AH11-$AG$18</f>
        <v>-21503.81747564784</v>
      </c>
      <c r="AM11" s="68">
        <f>AF11+AI11</f>
        <v>-17869.316756974622</v>
      </c>
      <c r="AN11" s="68">
        <f>AF11+AJ11</f>
        <v>6130.6832430253762</v>
      </c>
      <c r="AO11" s="68">
        <f>AF11+AK11</f>
        <v>6130.6832430253762</v>
      </c>
      <c r="AP11" s="68">
        <f>AF11+AL11</f>
        <v>130.68324302537803</v>
      </c>
    </row>
    <row r="12" spans="1:43">
      <c r="A12" t="s">
        <v>111</v>
      </c>
      <c r="B12" t="s">
        <v>110</v>
      </c>
      <c r="C12" t="s">
        <v>98</v>
      </c>
      <c r="D12">
        <v>2</v>
      </c>
      <c r="E12">
        <v>1900</v>
      </c>
      <c r="F12">
        <f>F$2</f>
        <v>0.97299999999999998</v>
      </c>
      <c r="G12" s="60">
        <f>E12*12*F12</f>
        <v>22184.399999999998</v>
      </c>
      <c r="H12">
        <v>212</v>
      </c>
      <c r="I12" s="61">
        <v>0.69589999999999996</v>
      </c>
      <c r="J12">
        <v>80</v>
      </c>
      <c r="K12">
        <v>583</v>
      </c>
      <c r="L12">
        <f>K12-J12</f>
        <v>503</v>
      </c>
      <c r="M12">
        <f>H12-J12</f>
        <v>132</v>
      </c>
      <c r="N12" s="62">
        <f>0.8*M12/L12+0.1</f>
        <v>0.30994035785288276</v>
      </c>
      <c r="O12" s="61">
        <v>0.69589999999999996</v>
      </c>
      <c r="P12" s="63">
        <v>100</v>
      </c>
      <c r="Q12" s="64">
        <f>0.1+0.8*(P12-J12)/(K12-J12)</f>
        <v>0.13180914512922465</v>
      </c>
      <c r="R12" s="64">
        <f>$Q$2*Q12+$R$2</f>
        <v>0.74638728413178412</v>
      </c>
      <c r="S12" s="63">
        <f>365*P12*R12</f>
        <v>27243.135870810122</v>
      </c>
      <c r="T12" s="65">
        <f>S12*(1-$T$1)</f>
        <v>19070.195109567085</v>
      </c>
      <c r="U12" s="60">
        <f>J12</f>
        <v>80</v>
      </c>
      <c r="V12" s="63">
        <f>1.25*L12</f>
        <v>628.75</v>
      </c>
      <c r="W12" s="63">
        <f>J12-L12/8</f>
        <v>17.125</v>
      </c>
      <c r="X12">
        <f>1.25*L12/(2*$Q$2)</f>
        <v>-397.06459937125709</v>
      </c>
      <c r="Y12" s="63">
        <f>(($Q$2*W12)/V12-$R$2)*X12</f>
        <v>346.3639679495875</v>
      </c>
      <c r="Z12" s="63">
        <f>IF(Y12&gt;U12,Y12,U12)</f>
        <v>346.3639679495875</v>
      </c>
      <c r="AA12" s="64">
        <f>(Z12-W12)/V12</f>
        <v>0.52364050568522869</v>
      </c>
      <c r="AB12" s="64">
        <f>$Q$2*AA12+$R$2</f>
        <v>0.43615568914736674</v>
      </c>
      <c r="AC12" s="63">
        <f>Z12*AB12*365</f>
        <v>55140.044524957098</v>
      </c>
      <c r="AD12" s="65">
        <f>AC12*(1-$T$1)</f>
        <v>38598.03116746997</v>
      </c>
      <c r="AE12" s="63">
        <f>G12</f>
        <v>22184.399999999998</v>
      </c>
      <c r="AF12" s="63">
        <f>AD12-AE12</f>
        <v>16413.631167469972</v>
      </c>
      <c r="AG12" s="13" t="s">
        <v>82</v>
      </c>
      <c r="AH12" s="66">
        <f>AB12*(365/$AG$23)*$AG$21</f>
        <v>5306.5608846262958</v>
      </c>
      <c r="AI12" s="66">
        <f>-$AG$7-$AG$13-AH12</f>
        <v>-38906.560884626299</v>
      </c>
      <c r="AJ12" s="66">
        <f>-$AG$13-AH12-$AG$18</f>
        <v>-14906.560884626295</v>
      </c>
      <c r="AK12" s="67">
        <f>-($AG$7/$AG$9)-$AG$13-AH12</f>
        <v>-14906.560884626295</v>
      </c>
      <c r="AL12" s="67">
        <f>-($AG$7/$AG$9)-$AG$13-AH12-$AG$18</f>
        <v>-20906.560884626295</v>
      </c>
      <c r="AM12" s="68">
        <f>AF12+AI12</f>
        <v>-22492.929717156327</v>
      </c>
      <c r="AN12" s="68">
        <f>AF12+AJ12</f>
        <v>1507.070282843677</v>
      </c>
      <c r="AO12" s="68">
        <f>AF12+AK12</f>
        <v>1507.070282843677</v>
      </c>
      <c r="AP12" s="68">
        <f>AF12+AL12</f>
        <v>-4492.929717156323</v>
      </c>
    </row>
    <row r="13" spans="1:43">
      <c r="A13" t="s">
        <v>112</v>
      </c>
      <c r="B13" t="s">
        <v>110</v>
      </c>
      <c r="C13" t="s">
        <v>107</v>
      </c>
      <c r="D13">
        <v>1</v>
      </c>
      <c r="E13">
        <v>1800</v>
      </c>
      <c r="F13">
        <f>F$2</f>
        <v>0.97299999999999998</v>
      </c>
      <c r="G13" s="60">
        <f>E13*12*F13</f>
        <v>21016.799999999999</v>
      </c>
      <c r="H13">
        <v>969</v>
      </c>
      <c r="I13" s="61">
        <v>0.1096</v>
      </c>
      <c r="J13">
        <v>239</v>
      </c>
      <c r="K13">
        <v>1431</v>
      </c>
      <c r="L13">
        <f>K13-J13</f>
        <v>1192</v>
      </c>
      <c r="M13">
        <f>H13-J13</f>
        <v>730</v>
      </c>
      <c r="N13" s="62">
        <f>0.8*M13/L13+0.1</f>
        <v>0.58993288590604032</v>
      </c>
      <c r="O13" s="61">
        <v>0.1096</v>
      </c>
      <c r="P13" s="63">
        <v>100</v>
      </c>
      <c r="Q13" s="64">
        <f>0.1+0.8*(P13-J13)/(K13-J13)</f>
        <v>6.7114093959731586E-3</v>
      </c>
      <c r="R13" s="64">
        <f>$Q$2*Q13+$R$2</f>
        <v>0.84543313393409669</v>
      </c>
      <c r="S13" s="63">
        <f>365*P13*R13</f>
        <v>30858.309388594531</v>
      </c>
      <c r="T13" s="65">
        <f>S13*(1-$T$1)</f>
        <v>21600.816572016171</v>
      </c>
      <c r="U13" s="60">
        <f>J13</f>
        <v>239</v>
      </c>
      <c r="V13" s="63">
        <f>1.25*L13</f>
        <v>1490</v>
      </c>
      <c r="W13" s="63">
        <f>J13-L13/8</f>
        <v>90</v>
      </c>
      <c r="X13">
        <f>1.25*L13/(2*$Q$2)</f>
        <v>-940.95626729729315</v>
      </c>
      <c r="Y13" s="63">
        <f>(($Q$2*W13)/V13-$R$2)*X13</f>
        <v>845.51560595608009</v>
      </c>
      <c r="Z13" s="63">
        <f>IF(Y13&gt;U13,Y13,U13)</f>
        <v>845.51560595608009</v>
      </c>
      <c r="AA13" s="64">
        <f>(Z13-W13)/V13</f>
        <v>0.50705745366179877</v>
      </c>
      <c r="AB13" s="64">
        <f>$Q$2*AA13+$R$2</f>
        <v>0.44928528314320754</v>
      </c>
      <c r="AC13" s="63">
        <f>Z13*AB13*365</f>
        <v>138655.36722475203</v>
      </c>
      <c r="AD13" s="65">
        <f>AC13*(1-$T$1)</f>
        <v>97058.757057326409</v>
      </c>
      <c r="AE13" s="63">
        <f>G13</f>
        <v>21016.799999999999</v>
      </c>
      <c r="AF13" s="63">
        <f>AD13-AE13</f>
        <v>76041.957057326406</v>
      </c>
      <c r="AG13" s="53">
        <v>3600</v>
      </c>
      <c r="AH13" s="66">
        <f>AB13*(365/$AG$23)*$AG$21</f>
        <v>5466.304278242359</v>
      </c>
      <c r="AI13" s="66">
        <f>-$AG$7-$AG$13-AH13</f>
        <v>-39066.304278242358</v>
      </c>
      <c r="AJ13" s="66">
        <f>-$AG$13-AH13-$AG$18</f>
        <v>-15066.304278242358</v>
      </c>
      <c r="AK13" s="67">
        <f>-($AG$7/$AG$9)-$AG$13-AH13</f>
        <v>-15066.304278242358</v>
      </c>
      <c r="AL13" s="67">
        <f>-($AG$7/$AG$9)-$AG$13-AH13-$AG$18</f>
        <v>-21066.304278242358</v>
      </c>
      <c r="AM13" s="68">
        <f>AF13+AI13</f>
        <v>36975.652779084048</v>
      </c>
      <c r="AN13" s="68">
        <f>AF13+AJ13</f>
        <v>60975.652779084048</v>
      </c>
      <c r="AO13" s="68">
        <f>AF13+AK13</f>
        <v>60975.652779084048</v>
      </c>
      <c r="AP13" s="68">
        <f>AF13+AL13</f>
        <v>54975.652779084048</v>
      </c>
    </row>
    <row r="14" spans="1:43">
      <c r="A14" t="s">
        <v>113</v>
      </c>
      <c r="B14" t="s">
        <v>110</v>
      </c>
      <c r="C14" t="s">
        <v>107</v>
      </c>
      <c r="D14">
        <v>2</v>
      </c>
      <c r="E14">
        <v>3200</v>
      </c>
      <c r="F14">
        <f>F$2</f>
        <v>0.97299999999999998</v>
      </c>
      <c r="G14" s="60">
        <f>E14*12*F14</f>
        <v>37363.199999999997</v>
      </c>
      <c r="H14">
        <v>885</v>
      </c>
      <c r="I14" s="61">
        <v>0.22470000000000001</v>
      </c>
      <c r="J14">
        <v>236</v>
      </c>
      <c r="K14">
        <v>1533</v>
      </c>
      <c r="L14">
        <f>K14-J14</f>
        <v>1297</v>
      </c>
      <c r="M14">
        <f>H14-J14</f>
        <v>649</v>
      </c>
      <c r="N14" s="62">
        <f>0.8*M14/L14+0.1</f>
        <v>0.50030840400925214</v>
      </c>
      <c r="O14" s="61">
        <v>0.22470000000000001</v>
      </c>
      <c r="P14" s="63">
        <v>100</v>
      </c>
      <c r="Q14" s="64">
        <f>0.1+0.8*(P14-J14)/(K14-J14)</f>
        <v>1.6114109483423275E-2</v>
      </c>
      <c r="R14" s="64">
        <f>$Q$2*Q14+$R$2</f>
        <v>0.83798856737068894</v>
      </c>
      <c r="S14" s="63">
        <f>365*P14*R14</f>
        <v>30586.582709030146</v>
      </c>
      <c r="T14" s="65">
        <f>S14*(1-$T$1)</f>
        <v>21410.6078963211</v>
      </c>
      <c r="U14" s="60">
        <f>J14</f>
        <v>236</v>
      </c>
      <c r="V14" s="63">
        <f>1.25*L14</f>
        <v>1621.25</v>
      </c>
      <c r="W14" s="63">
        <f>J14-L14/8</f>
        <v>73.875</v>
      </c>
      <c r="X14">
        <f>1.25*L14/(2*$Q$2)</f>
        <v>-1023.842515674991</v>
      </c>
      <c r="Y14" s="63">
        <f>(($Q$2*W14)/V14-$R$2)*X14</f>
        <v>907.96832292368777</v>
      </c>
      <c r="Z14" s="63">
        <f>IF(Y14&gt;U14,Y14,U14)</f>
        <v>907.96832292368777</v>
      </c>
      <c r="AA14" s="64">
        <f>(Z14-W14)/V14</f>
        <v>0.51447544976017745</v>
      </c>
      <c r="AB14" s="64">
        <f>$Q$2*AA14+$R$2</f>
        <v>0.44341210148178389</v>
      </c>
      <c r="AC14" s="63">
        <f>Z14*AB14*365</f>
        <v>146950.51188346642</v>
      </c>
      <c r="AD14" s="65">
        <f>AC14*(1-$T$1)</f>
        <v>102865.35831842649</v>
      </c>
      <c r="AE14" s="63">
        <f>G14</f>
        <v>37363.199999999997</v>
      </c>
      <c r="AF14" s="63">
        <f>AD14-AE14</f>
        <v>65502.158318426489</v>
      </c>
      <c r="AG14" s="13" t="s">
        <v>83</v>
      </c>
      <c r="AH14" s="66">
        <f>AB14*(365/$AG$23)*$AG$21</f>
        <v>5394.8472346950375</v>
      </c>
      <c r="AI14" s="66">
        <f>-$AG$7-$AG$13-AH14</f>
        <v>-38994.847234695037</v>
      </c>
      <c r="AJ14" s="66">
        <f>-$AG$13-AH14-$AG$18</f>
        <v>-14994.847234695037</v>
      </c>
      <c r="AK14" s="67">
        <f>-($AG$7/$AG$9)-$AG$13-AH14</f>
        <v>-14994.847234695037</v>
      </c>
      <c r="AL14" s="67">
        <f>-($AG$7/$AG$9)-$AG$13-AH14-$AG$18</f>
        <v>-20994.847234695037</v>
      </c>
      <c r="AM14" s="68">
        <f>AF14+AI14</f>
        <v>26507.311083731453</v>
      </c>
      <c r="AN14" s="68">
        <f>AF14+AJ14</f>
        <v>50507.311083731453</v>
      </c>
      <c r="AO14" s="68">
        <f>AF14+AK14</f>
        <v>50507.311083731453</v>
      </c>
      <c r="AP14" s="68">
        <f>AF14+AL14</f>
        <v>44507.311083731453</v>
      </c>
    </row>
    <row r="15" spans="1:43">
      <c r="A15" t="s">
        <v>114</v>
      </c>
      <c r="B15" t="s">
        <v>115</v>
      </c>
      <c r="C15" t="s">
        <v>98</v>
      </c>
      <c r="D15">
        <v>1</v>
      </c>
      <c r="E15">
        <v>1000</v>
      </c>
      <c r="F15">
        <f>F$2</f>
        <v>0.97299999999999998</v>
      </c>
      <c r="G15" s="60">
        <f>E15*12*F15</f>
        <v>11676</v>
      </c>
      <c r="H15">
        <v>287</v>
      </c>
      <c r="I15" s="61">
        <v>0.21920000000000001</v>
      </c>
      <c r="J15">
        <v>138</v>
      </c>
      <c r="K15">
        <v>550</v>
      </c>
      <c r="L15">
        <f>K15-J15</f>
        <v>412</v>
      </c>
      <c r="M15">
        <f>H15-J15</f>
        <v>149</v>
      </c>
      <c r="N15" s="62">
        <f>0.8*M15/L15+0.1</f>
        <v>0.38932038834951455</v>
      </c>
      <c r="O15" s="61">
        <v>0.21920000000000001</v>
      </c>
      <c r="P15" s="63">
        <v>100</v>
      </c>
      <c r="Q15" s="64">
        <f>0.1+0.8*(P15-J15)/(K15-J15)</f>
        <v>2.6213592233009703E-2</v>
      </c>
      <c r="R15" s="64">
        <f>$Q$2*Q15+$R$2</f>
        <v>0.82999232470783557</v>
      </c>
      <c r="S15" s="63">
        <f>365*P15*R15</f>
        <v>30294.719851835998</v>
      </c>
      <c r="T15" s="65">
        <f>S15*(1-$T$1)</f>
        <v>21206.303896285197</v>
      </c>
      <c r="U15" s="60">
        <f>J15</f>
        <v>138</v>
      </c>
      <c r="V15" s="63">
        <f>1.25*L15</f>
        <v>515</v>
      </c>
      <c r="W15" s="63">
        <f>J15-L15/8</f>
        <v>86.5</v>
      </c>
      <c r="X15">
        <f>1.25*L15/(2*$Q$2)</f>
        <v>-325.22985077725235</v>
      </c>
      <c r="Y15" s="63">
        <f>(($Q$2*W15)/V15-$R$2)*X15</f>
        <v>319.93827991099414</v>
      </c>
      <c r="Z15" s="63">
        <f>IF(Y15&gt;U15,Y15,U15)</f>
        <v>319.93827991099414</v>
      </c>
      <c r="AA15" s="64">
        <f>(Z15-W15)/V15</f>
        <v>0.45327821341940611</v>
      </c>
      <c r="AB15" s="64">
        <f>$Q$2*AA15+$R$2</f>
        <v>0.49186487517426197</v>
      </c>
      <c r="AC15" s="63">
        <f>Z15*AB15*365</f>
        <v>57438.736770839561</v>
      </c>
      <c r="AD15" s="65">
        <f>AC15*(1-$T$1)</f>
        <v>40207.115739587687</v>
      </c>
      <c r="AE15" s="63">
        <f>G15</f>
        <v>11676</v>
      </c>
      <c r="AF15" s="63">
        <f>AD15-AE15</f>
        <v>28531.115739587687</v>
      </c>
      <c r="AG15" s="13" t="s">
        <v>84</v>
      </c>
      <c r="AH15" s="66">
        <f>AB15*(365/$AG$23)*$AG$21</f>
        <v>5984.3559812868543</v>
      </c>
      <c r="AI15" s="66">
        <f>-$AG$7-$AG$13-AH15</f>
        <v>-39584.355981286855</v>
      </c>
      <c r="AJ15" s="66">
        <f>-$AG$13-AH15-$AG$18</f>
        <v>-15584.355981286855</v>
      </c>
      <c r="AK15" s="67">
        <f>-($AG$7/$AG$9)-$AG$13-AH15</f>
        <v>-15584.355981286855</v>
      </c>
      <c r="AL15" s="67">
        <f>-($AG$7/$AG$9)-$AG$13-AH15-$AG$18</f>
        <v>-21584.355981286855</v>
      </c>
      <c r="AM15" s="68">
        <f>AF15+AI15</f>
        <v>-11053.240241699168</v>
      </c>
      <c r="AN15" s="68">
        <f>AF15+AJ15</f>
        <v>12946.759758300832</v>
      </c>
      <c r="AO15" s="68">
        <f>AF15+AK15</f>
        <v>12946.759758300832</v>
      </c>
      <c r="AP15" s="68">
        <f>AF15+AL15</f>
        <v>6946.7597583008319</v>
      </c>
    </row>
    <row r="16" spans="1:43">
      <c r="A16" t="s">
        <v>116</v>
      </c>
      <c r="B16" t="s">
        <v>100</v>
      </c>
      <c r="C16" t="s">
        <v>107</v>
      </c>
      <c r="D16">
        <v>1</v>
      </c>
      <c r="E16">
        <v>1000</v>
      </c>
      <c r="F16">
        <f>F$2</f>
        <v>0.97299999999999998</v>
      </c>
      <c r="G16" s="60">
        <f>E16*12*F16</f>
        <v>11676</v>
      </c>
      <c r="H16">
        <v>206</v>
      </c>
      <c r="I16" s="61">
        <v>0.39179999999999998</v>
      </c>
      <c r="J16">
        <v>116</v>
      </c>
      <c r="K16">
        <v>296</v>
      </c>
      <c r="L16">
        <f>K16-J16</f>
        <v>180</v>
      </c>
      <c r="M16">
        <f>H16-J16</f>
        <v>90</v>
      </c>
      <c r="N16" s="62">
        <f>0.8*M16/L16+0.1</f>
        <v>0.5</v>
      </c>
      <c r="O16" s="61">
        <v>0.39179999999999998</v>
      </c>
      <c r="P16" s="63">
        <v>100</v>
      </c>
      <c r="Q16" s="64">
        <f>0.1+0.8*(P16-J16)/(K16-J16)</f>
        <v>2.8888888888888895E-2</v>
      </c>
      <c r="R16" s="64">
        <f>$Q$2*Q16+$R$2</f>
        <v>0.82787416462123053</v>
      </c>
      <c r="S16" s="63">
        <f>365*P16*R16</f>
        <v>30217.407008674916</v>
      </c>
      <c r="T16" s="65">
        <f>S16*(1-$T$1)</f>
        <v>21152.184906072442</v>
      </c>
      <c r="U16" s="60">
        <f>J16</f>
        <v>116</v>
      </c>
      <c r="V16" s="63">
        <f>1.25*L16</f>
        <v>225</v>
      </c>
      <c r="W16" s="63">
        <f>J16-L16/8</f>
        <v>93.5</v>
      </c>
      <c r="X16">
        <f>1.25*L16/(2*$Q$2)</f>
        <v>-142.09071150462481</v>
      </c>
      <c r="Y16" s="63">
        <f>(($Q$2*W16)/V16-$R$2)*X16</f>
        <v>167.63322908732755</v>
      </c>
      <c r="Z16" s="63">
        <f>IF(Y16&gt;U16,Y16,U16)</f>
        <v>167.63322908732755</v>
      </c>
      <c r="AA16" s="64">
        <f>(Z16-W16)/V16</f>
        <v>0.3294810181659002</v>
      </c>
      <c r="AB16" s="64">
        <f>$Q$2*AA16+$R$2</f>
        <v>0.58988102498829198</v>
      </c>
      <c r="AC16" s="63">
        <f>Z16*AB16*365</f>
        <v>36092.536263587426</v>
      </c>
      <c r="AD16" s="65">
        <f>AC16*(1-$T$1)</f>
        <v>25264.775384511198</v>
      </c>
      <c r="AE16" s="63">
        <f>G16</f>
        <v>11676</v>
      </c>
      <c r="AF16" s="63">
        <f>AD16-AE16</f>
        <v>13588.775384511198</v>
      </c>
      <c r="AG16" s="53">
        <v>0</v>
      </c>
      <c r="AH16" s="66">
        <f>AB16*(365/$AG$23)*$AG$21</f>
        <v>7176.8858040242194</v>
      </c>
      <c r="AI16" s="66">
        <f>-$AG$7-$AG$13-AH16</f>
        <v>-40776.885804024219</v>
      </c>
      <c r="AJ16" s="66">
        <f>-$AG$13-AH16-$AG$18</f>
        <v>-16776.885804024219</v>
      </c>
      <c r="AK16" s="67">
        <f>-($AG$7/$AG$9)-$AG$13-AH16</f>
        <v>-16776.885804024219</v>
      </c>
      <c r="AL16" s="67">
        <f>-($AG$7/$AG$9)-$AG$13-AH16-$AG$18</f>
        <v>-22776.885804024219</v>
      </c>
      <c r="AM16" s="68">
        <f>AF16+AI16</f>
        <v>-27188.110419513021</v>
      </c>
      <c r="AN16" s="68">
        <f>AF16+AJ16</f>
        <v>-3188.110419513021</v>
      </c>
      <c r="AO16" s="68">
        <f>AF16+AK16</f>
        <v>-3188.110419513021</v>
      </c>
      <c r="AP16" s="68">
        <f>AF16+AL16</f>
        <v>-9188.110419513021</v>
      </c>
    </row>
    <row r="17" spans="1:42">
      <c r="A17" t="s">
        <v>117</v>
      </c>
      <c r="B17" t="s">
        <v>115</v>
      </c>
      <c r="C17" t="s">
        <v>98</v>
      </c>
      <c r="D17">
        <v>2</v>
      </c>
      <c r="E17">
        <v>1300</v>
      </c>
      <c r="F17">
        <f>F$2</f>
        <v>0.97299999999999998</v>
      </c>
      <c r="G17" s="60">
        <f>E17*12*F17</f>
        <v>15178.8</v>
      </c>
      <c r="H17">
        <v>462</v>
      </c>
      <c r="I17" s="61">
        <v>0.53700000000000003</v>
      </c>
      <c r="J17">
        <v>175</v>
      </c>
      <c r="K17">
        <v>917</v>
      </c>
      <c r="L17">
        <f>K17-J17</f>
        <v>742</v>
      </c>
      <c r="M17">
        <f>H17-J17</f>
        <v>287</v>
      </c>
      <c r="N17" s="62">
        <f>0.8*M17/L17+0.1</f>
        <v>0.40943396226415096</v>
      </c>
      <c r="O17" s="61">
        <v>0.53700000000000003</v>
      </c>
      <c r="P17" s="63">
        <v>100</v>
      </c>
      <c r="Q17" s="64">
        <f>0.1+0.8*(P17-J17)/(K17-J17)</f>
        <v>1.913746630727764E-2</v>
      </c>
      <c r="R17" s="64">
        <f>$Q$2*Q17+$R$2</f>
        <v>0.8355948314319922</v>
      </c>
      <c r="S17" s="63">
        <f>365*P17*R17</f>
        <v>30499.211347267716</v>
      </c>
      <c r="T17" s="65">
        <f>S17*(1-$T$1)</f>
        <v>21349.447943087398</v>
      </c>
      <c r="U17" s="60">
        <f>J17</f>
        <v>175</v>
      </c>
      <c r="V17" s="63">
        <f>1.25*L17</f>
        <v>927.5</v>
      </c>
      <c r="W17" s="63">
        <f>J17-L17/8</f>
        <v>82.25</v>
      </c>
      <c r="X17">
        <f>1.25*L17/(2*$Q$2)</f>
        <v>-585.72948853573121</v>
      </c>
      <c r="Y17" s="63">
        <f>(($Q$2*W17)/V17-$R$2)*X17</f>
        <v>539.43253323776128</v>
      </c>
      <c r="Z17" s="63">
        <f>IF(Y17&gt;U17,Y17,U17)</f>
        <v>539.43253323776128</v>
      </c>
      <c r="AA17" s="64">
        <f>(Z17-W17)/V17</f>
        <v>0.4929191733021685</v>
      </c>
      <c r="AB17" s="64">
        <f>$Q$2*AA17+$R$2</f>
        <v>0.46047923469440821</v>
      </c>
      <c r="AC17" s="63">
        <f>Z17*AB17*365</f>
        <v>90665.080227225437</v>
      </c>
      <c r="AD17" s="65">
        <f>AC17*(1-$T$1)</f>
        <v>63465.5561590578</v>
      </c>
      <c r="AE17" s="63">
        <f>G17</f>
        <v>15178.8</v>
      </c>
      <c r="AF17" s="63">
        <f>AD17-AE17</f>
        <v>48286.756159057797</v>
      </c>
      <c r="AG17" s="13" t="s">
        <v>85</v>
      </c>
      <c r="AH17" s="66">
        <f>AB17*(365/$AG$23)*$AG$21</f>
        <v>5602.4973554486332</v>
      </c>
      <c r="AI17" s="66">
        <f>-$AG$7-$AG$13-AH17</f>
        <v>-39202.497355448635</v>
      </c>
      <c r="AJ17" s="66">
        <f>-$AG$13-AH17-$AG$18</f>
        <v>-15202.497355448633</v>
      </c>
      <c r="AK17" s="67">
        <f>-($AG$7/$AG$9)-$AG$13-AH17</f>
        <v>-15202.497355448633</v>
      </c>
      <c r="AL17" s="67">
        <f>-($AG$7/$AG$9)-$AG$13-AH17-$AG$18</f>
        <v>-21202.497355448635</v>
      </c>
      <c r="AM17" s="68">
        <f>AF17+AI17</f>
        <v>9084.258803609162</v>
      </c>
      <c r="AN17" s="68">
        <f>AF17+AJ17</f>
        <v>33084.258803609162</v>
      </c>
      <c r="AO17" s="68">
        <f>AF17+AK17</f>
        <v>33084.258803609162</v>
      </c>
      <c r="AP17" s="68">
        <f>AF17+AL17</f>
        <v>27084.258803609162</v>
      </c>
    </row>
    <row r="18" spans="1:42">
      <c r="A18" t="s">
        <v>118</v>
      </c>
      <c r="B18" t="s">
        <v>115</v>
      </c>
      <c r="C18" t="s">
        <v>107</v>
      </c>
      <c r="D18">
        <v>1</v>
      </c>
      <c r="E18">
        <v>1200</v>
      </c>
      <c r="F18">
        <f>F$2</f>
        <v>0.97299999999999998</v>
      </c>
      <c r="G18" s="60">
        <f>E18*12*F18</f>
        <v>14011.199999999999</v>
      </c>
      <c r="H18">
        <v>389</v>
      </c>
      <c r="I18" s="61">
        <v>0.51229999999999998</v>
      </c>
      <c r="J18">
        <v>130</v>
      </c>
      <c r="K18">
        <v>821</v>
      </c>
      <c r="L18">
        <f>K18-J18</f>
        <v>691</v>
      </c>
      <c r="M18">
        <f>H18-J18</f>
        <v>259</v>
      </c>
      <c r="N18" s="62">
        <f>0.8*M18/L18+0.1</f>
        <v>0.39985528219971056</v>
      </c>
      <c r="O18" s="61">
        <v>0.51229999999999998</v>
      </c>
      <c r="P18" s="63">
        <v>100</v>
      </c>
      <c r="Q18" s="64">
        <f>0.1+0.8*(P18-J18)/(K18-J18)</f>
        <v>6.5267727930535452E-2</v>
      </c>
      <c r="R18" s="64">
        <f>$Q$2*Q18+$R$2</f>
        <v>0.79907130095162304</v>
      </c>
      <c r="S18" s="63">
        <f>365*P18*R18</f>
        <v>29166.102484734241</v>
      </c>
      <c r="T18" s="65">
        <f>S18*(1-$T$1)</f>
        <v>20416.271739313968</v>
      </c>
      <c r="U18" s="60">
        <f>J18</f>
        <v>130</v>
      </c>
      <c r="V18" s="63">
        <f>1.25*L18</f>
        <v>863.75</v>
      </c>
      <c r="W18" s="63">
        <f>J18-L18/8</f>
        <v>43.625</v>
      </c>
      <c r="X18">
        <f>1.25*L18/(2*$Q$2)</f>
        <v>-545.47045360942082</v>
      </c>
      <c r="Y18" s="63">
        <f>(($Q$2*W18)/V18-$R$2)*X18</f>
        <v>485.86978499635183</v>
      </c>
      <c r="Z18" s="63">
        <f>IF(Y18&gt;U18,Y18,U18)</f>
        <v>485.86978499635183</v>
      </c>
      <c r="AA18" s="64">
        <f>(Z18-W18)/V18</f>
        <v>0.51200553979317143</v>
      </c>
      <c r="AB18" s="64">
        <f>$Q$2*AA18+$R$2</f>
        <v>0.44536764712122656</v>
      </c>
      <c r="AC18" s="63">
        <f>Z18*AB18*365</f>
        <v>78982.59927715933</v>
      </c>
      <c r="AD18" s="65">
        <f>AC18*(1-$T$1)</f>
        <v>55287.819494011528</v>
      </c>
      <c r="AE18" s="63">
        <f>G18</f>
        <v>14011.199999999999</v>
      </c>
      <c r="AF18" s="63">
        <f>AD18-AE18</f>
        <v>41276.619494011531</v>
      </c>
      <c r="AG18" s="55">
        <v>6000</v>
      </c>
      <c r="AH18" s="66">
        <f>AB18*(365/$AG$23)*$AG$21</f>
        <v>5418.6397066415902</v>
      </c>
      <c r="AI18" s="66">
        <f>-$AG$7-$AG$13-AH18</f>
        <v>-39018.639706641588</v>
      </c>
      <c r="AJ18" s="66">
        <f>-$AG$13-AH18-$AG$18</f>
        <v>-15018.63970664159</v>
      </c>
      <c r="AK18" s="67">
        <f>-($AG$7/$AG$9)-$AG$13-AH18</f>
        <v>-15018.63970664159</v>
      </c>
      <c r="AL18" s="67">
        <f>-($AG$7/$AG$9)-$AG$13-AH18-$AG$18</f>
        <v>-21018.639706641588</v>
      </c>
      <c r="AM18" s="68">
        <f>AF18+AI18</f>
        <v>2257.9797873699426</v>
      </c>
      <c r="AN18" s="68">
        <f>AF18+AJ18</f>
        <v>26257.979787369943</v>
      </c>
      <c r="AO18" s="68">
        <f>AF18+AK18</f>
        <v>26257.979787369943</v>
      </c>
      <c r="AP18" s="68">
        <f>AF18+AL18</f>
        <v>20257.979787369943</v>
      </c>
    </row>
    <row r="19" spans="1:42">
      <c r="A19" t="s">
        <v>119</v>
      </c>
      <c r="B19" t="s">
        <v>115</v>
      </c>
      <c r="C19" t="s">
        <v>107</v>
      </c>
      <c r="D19">
        <v>2</v>
      </c>
      <c r="E19">
        <v>1600</v>
      </c>
      <c r="F19">
        <f>F$2</f>
        <v>0.97299999999999998</v>
      </c>
      <c r="G19" s="60">
        <f>E19*12*F19</f>
        <v>18681.599999999999</v>
      </c>
      <c r="H19">
        <v>678</v>
      </c>
      <c r="I19" s="61">
        <v>0.36159999999999998</v>
      </c>
      <c r="J19">
        <v>241</v>
      </c>
      <c r="K19">
        <v>866</v>
      </c>
      <c r="L19">
        <f>K19-J19</f>
        <v>625</v>
      </c>
      <c r="M19">
        <f>H19-J19</f>
        <v>437</v>
      </c>
      <c r="N19" s="62">
        <f>0.8*M19/L19+0.1</f>
        <v>0.65936000000000006</v>
      </c>
      <c r="O19" s="61">
        <v>0.36159999999999998</v>
      </c>
      <c r="P19" s="63">
        <v>100</v>
      </c>
      <c r="Q19" s="64">
        <f>0.1+0.8*(P19-J19)/(K19-J19)</f>
        <v>-8.0480000000000024E-2</v>
      </c>
      <c r="R19" s="64">
        <f>$Q$2*Q19+$R$2</f>
        <v>0.91446673544947588</v>
      </c>
      <c r="S19" s="63">
        <f>365*P19*R19</f>
        <v>33378.035843905869</v>
      </c>
      <c r="T19" s="65">
        <f>S19*(1-$T$1)</f>
        <v>23364.625090734105</v>
      </c>
      <c r="U19" s="60">
        <f>J19</f>
        <v>241</v>
      </c>
      <c r="V19" s="63">
        <f>1.25*L19</f>
        <v>781.25</v>
      </c>
      <c r="W19" s="63">
        <f>J19-L19/8</f>
        <v>162.875</v>
      </c>
      <c r="X19">
        <f>1.25*L19/(2*$Q$2)</f>
        <v>-493.37052605772504</v>
      </c>
      <c r="Y19" s="63">
        <f>(($Q$2*W19)/V19-$R$2)*X19</f>
        <v>501.17093433099836</v>
      </c>
      <c r="Z19" s="63">
        <f>IF(Y19&gt;U19,Y19,U19)</f>
        <v>501.17093433099836</v>
      </c>
      <c r="AA19" s="64">
        <f>(Z19-W19)/V19</f>
        <v>0.43301879594367793</v>
      </c>
      <c r="AB19" s="64">
        <f>$Q$2*AA19+$R$2</f>
        <v>0.50790522321590881</v>
      </c>
      <c r="AC19" s="63">
        <f>Z19*AB19*365</f>
        <v>92909.777373809629</v>
      </c>
      <c r="AD19" s="65">
        <f>AC19*(1-$T$1)</f>
        <v>65036.844161666733</v>
      </c>
      <c r="AE19" s="63">
        <f>G19</f>
        <v>18681.599999999999</v>
      </c>
      <c r="AF19" s="63">
        <f>AD19-AE19</f>
        <v>46355.244161666735</v>
      </c>
      <c r="AG19" s="52"/>
      <c r="AH19" s="66">
        <f>AB19*(365/$AG$23)*$AG$21</f>
        <v>6179.5135491268911</v>
      </c>
      <c r="AI19" s="66">
        <f>-$AG$7-$AG$13-AH19</f>
        <v>-39779.513549126888</v>
      </c>
      <c r="AJ19" s="66">
        <f>-$AG$13-AH19-$AG$18</f>
        <v>-15779.513549126892</v>
      </c>
      <c r="AK19" s="67">
        <f>-($AG$7/$AG$9)-$AG$13-AH19</f>
        <v>-15779.513549126892</v>
      </c>
      <c r="AL19" s="67">
        <f>-($AG$7/$AG$9)-$AG$13-AH19-$AG$18</f>
        <v>-21779.513549126892</v>
      </c>
      <c r="AM19" s="68">
        <f>AF19+AI19</f>
        <v>6575.7306125398463</v>
      </c>
      <c r="AN19" s="68">
        <f>AF19+AJ19</f>
        <v>30575.730612539843</v>
      </c>
      <c r="AO19" s="68">
        <f>AF19+AK19</f>
        <v>30575.730612539843</v>
      </c>
      <c r="AP19" s="68">
        <f>AF19+AL19</f>
        <v>24575.730612539843</v>
      </c>
    </row>
    <row r="20" spans="1:42">
      <c r="A20" t="s">
        <v>120</v>
      </c>
      <c r="B20" t="s">
        <v>121</v>
      </c>
      <c r="C20" t="s">
        <v>98</v>
      </c>
      <c r="D20">
        <v>1</v>
      </c>
      <c r="E20">
        <v>800</v>
      </c>
      <c r="F20">
        <f>F$2</f>
        <v>0.97299999999999998</v>
      </c>
      <c r="G20" s="60">
        <f>E20*12*F20</f>
        <v>9340.7999999999993</v>
      </c>
      <c r="H20">
        <v>163</v>
      </c>
      <c r="I20" s="61">
        <v>0.84379999999999999</v>
      </c>
      <c r="J20">
        <v>134</v>
      </c>
      <c r="K20">
        <v>288</v>
      </c>
      <c r="L20">
        <f>K20-J20</f>
        <v>154</v>
      </c>
      <c r="M20">
        <f>H20-J20</f>
        <v>29</v>
      </c>
      <c r="N20" s="62">
        <f>0.8*M20/L20+0.1</f>
        <v>0.25064935064935068</v>
      </c>
      <c r="O20" s="61">
        <v>0.84379999999999999</v>
      </c>
      <c r="P20" s="63">
        <v>100</v>
      </c>
      <c r="Q20" s="64">
        <f>0.1+0.8*(P20-J20)/(K20-J20)</f>
        <v>-7.6623376623376649E-2</v>
      </c>
      <c r="R20" s="64">
        <f>$Q$2*Q20+$R$2</f>
        <v>0.91141326259909883</v>
      </c>
      <c r="S20" s="63">
        <f>365*P20*R20</f>
        <v>33266.584084867107</v>
      </c>
      <c r="T20" s="65">
        <f>S20*(1-$T$1)</f>
        <v>23286.608859406973</v>
      </c>
      <c r="U20" s="60">
        <f>J20</f>
        <v>134</v>
      </c>
      <c r="V20" s="63">
        <f>1.25*L20</f>
        <v>192.5</v>
      </c>
      <c r="W20" s="63">
        <f>J20-L20/8</f>
        <v>114.75</v>
      </c>
      <c r="X20">
        <f>1.25*L20/(2*$Q$2)</f>
        <v>-121.56649762062345</v>
      </c>
      <c r="Y20" s="63">
        <f>(($Q$2*W20)/V20-$R$2)*X20</f>
        <v>160.797318219158</v>
      </c>
      <c r="Z20" s="63">
        <f>IF(Y20&gt;U20,Y20,U20)</f>
        <v>160.797318219158</v>
      </c>
      <c r="AA20" s="64">
        <f>(Z20-W20)/V20</f>
        <v>0.23920684789172988</v>
      </c>
      <c r="AB20" s="64">
        <f>$Q$2*AA20+$R$2</f>
        <v>0.66135539546826239</v>
      </c>
      <c r="AC20" s="63">
        <f>Z20*AB20*365</f>
        <v>38815.623503089555</v>
      </c>
      <c r="AD20" s="65">
        <f>AC20*(1-$T$1)</f>
        <v>27170.936452162689</v>
      </c>
      <c r="AE20" s="63">
        <f>G20</f>
        <v>9340.7999999999993</v>
      </c>
      <c r="AF20" s="63">
        <f>AD20-AE20</f>
        <v>17830.136452162689</v>
      </c>
      <c r="AG20" s="17" t="s">
        <v>86</v>
      </c>
      <c r="AH20" s="66">
        <f>AB20*(365/$AG$23)*$AG$21</f>
        <v>8046.4906448638585</v>
      </c>
      <c r="AI20" s="66">
        <f>-$AG$7-$AG$13-AH20</f>
        <v>-41646.490644863858</v>
      </c>
      <c r="AJ20" s="66">
        <f>-$AG$13-AH20-$AG$18</f>
        <v>-17646.490644863858</v>
      </c>
      <c r="AK20" s="67">
        <f>-($AG$7/$AG$9)-$AG$13-AH20</f>
        <v>-17646.490644863858</v>
      </c>
      <c r="AL20" s="67">
        <f>-($AG$7/$AG$9)-$AG$13-AH20-$AG$18</f>
        <v>-23646.490644863858</v>
      </c>
      <c r="AM20" s="68">
        <f>AF20+AI20</f>
        <v>-23816.354192701168</v>
      </c>
      <c r="AN20" s="68">
        <f>AF20+AJ20</f>
        <v>183.64580729883164</v>
      </c>
      <c r="AO20" s="68">
        <f>AF20+AK20</f>
        <v>183.64580729883164</v>
      </c>
      <c r="AP20" s="68">
        <f>AF20+AL20</f>
        <v>-5816.3541927011684</v>
      </c>
    </row>
    <row r="21" spans="1:42">
      <c r="A21" t="s">
        <v>122</v>
      </c>
      <c r="B21" t="s">
        <v>121</v>
      </c>
      <c r="C21" t="s">
        <v>98</v>
      </c>
      <c r="D21">
        <v>2</v>
      </c>
      <c r="E21">
        <v>1200</v>
      </c>
      <c r="F21">
        <f>F$2</f>
        <v>0.97299999999999998</v>
      </c>
      <c r="G21" s="60">
        <f>E21*12*F21</f>
        <v>14011.199999999999</v>
      </c>
      <c r="H21">
        <v>374</v>
      </c>
      <c r="I21" s="61">
        <v>0.91510000000000002</v>
      </c>
      <c r="J21">
        <v>234</v>
      </c>
      <c r="K21">
        <v>794</v>
      </c>
      <c r="L21">
        <f>K21-J21</f>
        <v>560</v>
      </c>
      <c r="M21">
        <f>H21-J21</f>
        <v>140</v>
      </c>
      <c r="N21" s="62">
        <f>0.8*M21/L21+0.1</f>
        <v>0.30000000000000004</v>
      </c>
      <c r="O21" s="61">
        <v>0.91510000000000002</v>
      </c>
      <c r="P21" s="63">
        <v>100</v>
      </c>
      <c r="Q21" s="64">
        <f>0.1+0.8*(P21-J21)/(K21-J21)</f>
        <v>-9.1428571428571415E-2</v>
      </c>
      <c r="R21" s="64">
        <f>$Q$2*Q21+$R$2</f>
        <v>0.9231352421567155</v>
      </c>
      <c r="S21" s="63">
        <f>365*P21*R21</f>
        <v>33694.436338720116</v>
      </c>
      <c r="T21" s="65">
        <f>S21*(1-$T$1)</f>
        <v>23586.105437104081</v>
      </c>
      <c r="U21" s="60">
        <f>J21</f>
        <v>234</v>
      </c>
      <c r="V21" s="63">
        <f>1.25*L21</f>
        <v>700</v>
      </c>
      <c r="W21" s="63">
        <f>J21-L21/8</f>
        <v>164</v>
      </c>
      <c r="X21">
        <f>1.25*L21/(2*$Q$2)</f>
        <v>-442.05999134772162</v>
      </c>
      <c r="Y21" s="63">
        <f>(($Q$2*W21)/V21-$R$2)*X21</f>
        <v>458.08115716057455</v>
      </c>
      <c r="Z21" s="63">
        <f>IF(Y21&gt;U21,Y21,U21)</f>
        <v>458.08115716057455</v>
      </c>
      <c r="AA21" s="64">
        <f>(Z21-W21)/V21</f>
        <v>0.42011593880082077</v>
      </c>
      <c r="AB21" s="64">
        <f>$Q$2*AA21+$R$2</f>
        <v>0.51812103122475384</v>
      </c>
      <c r="AC21" s="63">
        <f>Z21*AB21*365</f>
        <v>86629.64075942288</v>
      </c>
      <c r="AD21" s="65">
        <f>AC21*(1-$T$1)</f>
        <v>60640.748531596015</v>
      </c>
      <c r="AE21" s="63">
        <f>G21</f>
        <v>14011.199999999999</v>
      </c>
      <c r="AF21" s="63">
        <f>AD21-AE21</f>
        <v>46629.548531596018</v>
      </c>
      <c r="AG21" s="53">
        <v>100</v>
      </c>
      <c r="AH21" s="66">
        <f>AB21*(365/$AG$23)*$AG$21</f>
        <v>6303.8058799011724</v>
      </c>
      <c r="AI21" s="66">
        <f>-$AG$7-$AG$13-AH21</f>
        <v>-39903.805879901171</v>
      </c>
      <c r="AJ21" s="66">
        <f>-$AG$13-AH21-$AG$18</f>
        <v>-15903.805879901172</v>
      </c>
      <c r="AK21" s="67">
        <f>-($AG$7/$AG$9)-$AG$13-AH21</f>
        <v>-15903.805879901172</v>
      </c>
      <c r="AL21" s="67">
        <f>-($AG$7/$AG$9)-$AG$13-AH21-$AG$18</f>
        <v>-21903.805879901171</v>
      </c>
      <c r="AM21" s="68">
        <f>AF21+AI21</f>
        <v>6725.7426516948472</v>
      </c>
      <c r="AN21" s="68">
        <f>AF21+AJ21</f>
        <v>30725.742651694847</v>
      </c>
      <c r="AO21" s="68">
        <f>AF21+AK21</f>
        <v>30725.742651694847</v>
      </c>
      <c r="AP21" s="68">
        <f>AF21+AL21</f>
        <v>24725.742651694847</v>
      </c>
    </row>
    <row r="22" spans="1:42">
      <c r="A22" t="s">
        <v>123</v>
      </c>
      <c r="B22" t="s">
        <v>121</v>
      </c>
      <c r="C22" t="s">
        <v>107</v>
      </c>
      <c r="D22">
        <v>1</v>
      </c>
      <c r="E22">
        <v>900</v>
      </c>
      <c r="F22">
        <f>F$2</f>
        <v>0.97299999999999998</v>
      </c>
      <c r="G22" s="60">
        <f>E22*12*F22</f>
        <v>10508.4</v>
      </c>
      <c r="H22">
        <v>444</v>
      </c>
      <c r="I22" s="61">
        <v>0.43009999999999998</v>
      </c>
      <c r="J22">
        <v>252</v>
      </c>
      <c r="K22">
        <v>547</v>
      </c>
      <c r="L22">
        <f>K22-J22</f>
        <v>295</v>
      </c>
      <c r="M22">
        <f>H22-J22</f>
        <v>192</v>
      </c>
      <c r="N22" s="62">
        <f>0.8*M22/L22+0.1</f>
        <v>0.62067796610169501</v>
      </c>
      <c r="O22" s="61">
        <v>0.43009999999999998</v>
      </c>
      <c r="P22" s="63">
        <v>100</v>
      </c>
      <c r="Q22" s="64">
        <f>0.1+0.8*(P22-J22)/(K22-J22)</f>
        <v>-0.31220338983050855</v>
      </c>
      <c r="R22" s="64">
        <f>$Q$2*Q22+$R$2</f>
        <v>1.0979332061278475</v>
      </c>
      <c r="S22" s="63">
        <f>365*P22*R22</f>
        <v>40074.562023666433</v>
      </c>
      <c r="T22" s="65">
        <f>S22*(1-$T$1)</f>
        <v>28052.193416566501</v>
      </c>
      <c r="U22" s="60">
        <f>J22</f>
        <v>252</v>
      </c>
      <c r="V22" s="63">
        <f>1.25*L22</f>
        <v>368.75</v>
      </c>
      <c r="W22" s="63">
        <f>J22-L22/8</f>
        <v>215.125</v>
      </c>
      <c r="X22">
        <f>1.25*L22/(2*$Q$2)</f>
        <v>-232.87088829924622</v>
      </c>
      <c r="Y22" s="63">
        <f>(($Q$2*W22)/V22-$R$2)*X22</f>
        <v>305.67668100423128</v>
      </c>
      <c r="Z22" s="63">
        <f>IF(Y22&gt;U22,Y22,U22)</f>
        <v>305.67668100423128</v>
      </c>
      <c r="AA22" s="64">
        <f>(Z22-W22)/V22</f>
        <v>0.24556388068944077</v>
      </c>
      <c r="AB22" s="64">
        <f>$Q$2*AA22+$R$2</f>
        <v>0.65632222910453986</v>
      </c>
      <c r="AC22" s="63">
        <f>Z22*AB22*365</f>
        <v>73227.176241620677</v>
      </c>
      <c r="AD22" s="65">
        <f>AC22*(1-$T$1)</f>
        <v>51259.023369134469</v>
      </c>
      <c r="AE22" s="63">
        <f>G22</f>
        <v>10508.4</v>
      </c>
      <c r="AF22" s="63">
        <f>AD22-AE22</f>
        <v>40750.623369134468</v>
      </c>
      <c r="AG22" s="4" t="s">
        <v>87</v>
      </c>
      <c r="AH22" s="66">
        <f>AB22*(365/$AG$23)*$AG$21</f>
        <v>7985.2537874385689</v>
      </c>
      <c r="AI22" s="66">
        <f>-$AG$7-$AG$13-AH22</f>
        <v>-41585.253787438567</v>
      </c>
      <c r="AJ22" s="66">
        <f>-$AG$13-AH22-$AG$18</f>
        <v>-17585.253787438567</v>
      </c>
      <c r="AK22" s="67">
        <f>-($AG$7/$AG$9)-$AG$13-AH22</f>
        <v>-17585.253787438567</v>
      </c>
      <c r="AL22" s="67">
        <f>-($AG$7/$AG$9)-$AG$13-AH22-$AG$18</f>
        <v>-23585.253787438567</v>
      </c>
      <c r="AM22" s="68">
        <f>AF22+AI22</f>
        <v>-834.63041830409929</v>
      </c>
      <c r="AN22" s="68">
        <f>AF22+AJ22</f>
        <v>23165.369581695901</v>
      </c>
      <c r="AO22" s="68">
        <f>AF22+AK22</f>
        <v>23165.369581695901</v>
      </c>
      <c r="AP22" s="68">
        <f>AF22+AL22</f>
        <v>17165.369581695901</v>
      </c>
    </row>
    <row r="23" spans="1:42">
      <c r="A23" t="s">
        <v>124</v>
      </c>
      <c r="B23" t="s">
        <v>121</v>
      </c>
      <c r="C23" t="s">
        <v>107</v>
      </c>
      <c r="D23">
        <v>2</v>
      </c>
      <c r="E23">
        <v>1100</v>
      </c>
      <c r="F23">
        <f>F$2</f>
        <v>0.97299999999999998</v>
      </c>
      <c r="G23" s="60">
        <f>E23*12*F23</f>
        <v>12843.6</v>
      </c>
      <c r="H23">
        <v>426</v>
      </c>
      <c r="I23" s="61">
        <v>0.48220000000000002</v>
      </c>
      <c r="J23">
        <v>246</v>
      </c>
      <c r="K23">
        <v>616</v>
      </c>
      <c r="L23">
        <f>K23-J23</f>
        <v>370</v>
      </c>
      <c r="M23">
        <f>H23-J23</f>
        <v>180</v>
      </c>
      <c r="N23" s="62">
        <f>0.8*M23/L23+0.1</f>
        <v>0.48918918918918919</v>
      </c>
      <c r="O23" s="61">
        <v>0.48220000000000002</v>
      </c>
      <c r="P23" s="63">
        <v>100</v>
      </c>
      <c r="Q23" s="64">
        <f>0.1+0.8*(P23-J23)/(K23-J23)</f>
        <v>-0.21567567567567572</v>
      </c>
      <c r="R23" s="64">
        <f>$Q$2*Q23+$R$2</f>
        <v>1.0215076064005548</v>
      </c>
      <c r="S23" s="63">
        <f>365*P23*R23</f>
        <v>37285.027633620251</v>
      </c>
      <c r="T23" s="65">
        <f>S23*(1-$T$1)</f>
        <v>26099.519343534175</v>
      </c>
      <c r="U23" s="60">
        <f>J23</f>
        <v>246</v>
      </c>
      <c r="V23" s="63">
        <f>1.25*L23</f>
        <v>462.5</v>
      </c>
      <c r="W23" s="63">
        <f>J23-L23/8</f>
        <v>199.75</v>
      </c>
      <c r="X23">
        <f>1.25*L23/(2*$Q$2)</f>
        <v>-292.0753514261732</v>
      </c>
      <c r="Y23" s="63">
        <f>(($Q$2*W23)/V23-$R$2)*X23</f>
        <v>348.35719312395099</v>
      </c>
      <c r="Z23" s="63">
        <f>IF(Y23&gt;U23,Y23,U23)</f>
        <v>348.35719312395099</v>
      </c>
      <c r="AA23" s="64">
        <f>(Z23-W23)/V23</f>
        <v>0.32131284999773185</v>
      </c>
      <c r="AB23" s="64">
        <f>$Q$2*AA23+$R$2</f>
        <v>0.59634815369212024</v>
      </c>
      <c r="AC23" s="63">
        <f>Z23*AB23*365</f>
        <v>75825.891664865703</v>
      </c>
      <c r="AD23" s="65">
        <f>AC23*(1-$T$1)</f>
        <v>53078.124165405992</v>
      </c>
      <c r="AE23" s="63">
        <f>G23</f>
        <v>12843.6</v>
      </c>
      <c r="AF23" s="63">
        <f>AD23-AE23</f>
        <v>40234.524165405994</v>
      </c>
      <c r="AG23" s="31">
        <v>3</v>
      </c>
      <c r="AH23" s="66">
        <f>AB23*(365/$AG$23)*$AG$21</f>
        <v>7255.5692032541301</v>
      </c>
      <c r="AI23" s="66">
        <f>-$AG$7-$AG$13-AH23</f>
        <v>-40855.569203254126</v>
      </c>
      <c r="AJ23" s="66">
        <f>-$AG$13-AH23-$AG$18</f>
        <v>-16855.56920325413</v>
      </c>
      <c r="AK23" s="67">
        <f>-($AG$7/$AG$9)-$AG$13-AH23</f>
        <v>-16855.56920325413</v>
      </c>
      <c r="AL23" s="67">
        <f>-($AG$7/$AG$9)-$AG$13-AH23-$AG$18</f>
        <v>-22855.56920325413</v>
      </c>
      <c r="AM23" s="68">
        <f>AF23+AI23</f>
        <v>-621.04503784813278</v>
      </c>
      <c r="AN23" s="68">
        <f>AF23+AJ23</f>
        <v>23378.954962151864</v>
      </c>
      <c r="AO23" s="68">
        <f>AF23+AK23</f>
        <v>23378.954962151864</v>
      </c>
      <c r="AP23" s="68">
        <f>AF23+AL23</f>
        <v>17378.954962151864</v>
      </c>
    </row>
    <row r="24" spans="1:42">
      <c r="A24" t="s">
        <v>125</v>
      </c>
      <c r="B24" t="s">
        <v>126</v>
      </c>
      <c r="C24" t="s">
        <v>98</v>
      </c>
      <c r="D24">
        <v>1</v>
      </c>
      <c r="E24">
        <v>1000</v>
      </c>
      <c r="F24">
        <f>F$2</f>
        <v>0.97299999999999998</v>
      </c>
      <c r="G24" s="60">
        <f>E24*12*F24</f>
        <v>11676</v>
      </c>
      <c r="H24">
        <v>332</v>
      </c>
      <c r="I24" s="61">
        <v>0.4904</v>
      </c>
      <c r="J24">
        <v>171</v>
      </c>
      <c r="K24">
        <v>457</v>
      </c>
      <c r="L24">
        <f>K24-J24</f>
        <v>286</v>
      </c>
      <c r="M24">
        <f>H24-J24</f>
        <v>161</v>
      </c>
      <c r="N24" s="62">
        <f>0.8*M24/L24+0.1</f>
        <v>0.55034965034965044</v>
      </c>
      <c r="O24" s="61">
        <v>0.4904</v>
      </c>
      <c r="P24" s="63">
        <v>100</v>
      </c>
      <c r="Q24" s="64">
        <f>0.1+0.8*(P24-J24)/(K24-J24)</f>
        <v>-9.8601398601398604E-2</v>
      </c>
      <c r="R24" s="64">
        <f>$Q$2*Q24+$R$2</f>
        <v>0.92881431187491303</v>
      </c>
      <c r="S24" s="63">
        <f>365*P24*R24</f>
        <v>33901.722383434324</v>
      </c>
      <c r="T24" s="65">
        <f>S24*(1-$T$1)</f>
        <v>23731.205668404025</v>
      </c>
      <c r="U24" s="60">
        <f>J24</f>
        <v>171</v>
      </c>
      <c r="V24" s="63">
        <f>1.25*L24</f>
        <v>357.5</v>
      </c>
      <c r="W24" s="63">
        <f>J24-L24/8</f>
        <v>135.25</v>
      </c>
      <c r="X24">
        <f>1.25*L24/(2*$Q$2)</f>
        <v>-225.76635272401498</v>
      </c>
      <c r="Y24" s="63">
        <f>(($Q$2*W24)/V24-$R$2)*X24</f>
        <v>259.69501954986487</v>
      </c>
      <c r="Z24" s="63">
        <f>IF(Y24&gt;U24,Y24,U24)</f>
        <v>259.69501954986487</v>
      </c>
      <c r="AA24" s="64">
        <f>(Z24-W24)/V24</f>
        <v>0.34809795678283878</v>
      </c>
      <c r="AB24" s="64">
        <f>$Q$2*AA24+$R$2</f>
        <v>0.57514110587445577</v>
      </c>
      <c r="AC24" s="63">
        <f>Z24*AB24*365</f>
        <v>54516.867467909156</v>
      </c>
      <c r="AD24" s="65">
        <f>AC24*(1-$T$1)</f>
        <v>38161.80722753641</v>
      </c>
      <c r="AE24" s="63">
        <f>G24</f>
        <v>11676</v>
      </c>
      <c r="AF24" s="63">
        <f>AD24-AE24</f>
        <v>26485.80722753641</v>
      </c>
      <c r="AG24" s="3"/>
      <c r="AH24" s="66">
        <f>AB24*(365/$AG$23)*$AG$21</f>
        <v>6997.5501214725455</v>
      </c>
      <c r="AI24" s="66">
        <f>-$AG$7-$AG$13-AH24</f>
        <v>-40597.550121472545</v>
      </c>
      <c r="AJ24" s="66">
        <f>-$AG$13-AH24-$AG$18</f>
        <v>-16597.550121472545</v>
      </c>
      <c r="AK24" s="67">
        <f>-($AG$7/$AG$9)-$AG$13-AH24</f>
        <v>-16597.550121472545</v>
      </c>
      <c r="AL24" s="67">
        <f>-($AG$7/$AG$9)-$AG$13-AH24-$AG$18</f>
        <v>-22597.550121472545</v>
      </c>
      <c r="AM24" s="68">
        <f>AF24+AI24</f>
        <v>-14111.742893936134</v>
      </c>
      <c r="AN24" s="68">
        <f>AF24+AJ24</f>
        <v>9888.2571060638656</v>
      </c>
      <c r="AO24" s="68">
        <f>AF24+AK24</f>
        <v>9888.2571060638656</v>
      </c>
      <c r="AP24" s="68">
        <f>AF24+AL24</f>
        <v>3888.2571060638656</v>
      </c>
    </row>
    <row r="25" spans="1:42">
      <c r="A25" t="s">
        <v>127</v>
      </c>
      <c r="B25" t="s">
        <v>126</v>
      </c>
      <c r="C25" t="s">
        <v>98</v>
      </c>
      <c r="D25">
        <v>2</v>
      </c>
      <c r="E25">
        <v>1400</v>
      </c>
      <c r="F25">
        <f>F$2</f>
        <v>0.97299999999999998</v>
      </c>
      <c r="G25" s="60">
        <f>E25*12*F25</f>
        <v>16346.4</v>
      </c>
      <c r="H25">
        <v>430</v>
      </c>
      <c r="I25" s="61">
        <v>0.52329999999999999</v>
      </c>
      <c r="J25">
        <v>262</v>
      </c>
      <c r="K25">
        <v>567</v>
      </c>
      <c r="L25">
        <f>K25-J25</f>
        <v>305</v>
      </c>
      <c r="M25">
        <f>H25-J25</f>
        <v>168</v>
      </c>
      <c r="N25" s="62">
        <f>0.8*M25/L25+0.1</f>
        <v>0.54065573770491804</v>
      </c>
      <c r="O25" s="61">
        <v>0.52329999999999999</v>
      </c>
      <c r="P25" s="63">
        <v>100</v>
      </c>
      <c r="Q25" s="64">
        <f>0.1+0.8*(P25-J25)/(K25-J25)</f>
        <v>-0.32491803278688525</v>
      </c>
      <c r="R25" s="64">
        <f>$Q$2*Q25+$R$2</f>
        <v>1.107999995979525</v>
      </c>
      <c r="S25" s="63">
        <f>365*P25*R25</f>
        <v>40441.999853252666</v>
      </c>
      <c r="T25" s="65">
        <f>S25*(1-$T$1)</f>
        <v>28309.399897276864</v>
      </c>
      <c r="U25" s="60">
        <f>J25</f>
        <v>262</v>
      </c>
      <c r="V25" s="63">
        <f>1.25*L25</f>
        <v>381.25</v>
      </c>
      <c r="W25" s="63">
        <f>J25-L25/8</f>
        <v>223.875</v>
      </c>
      <c r="X25">
        <f>1.25*L25/(2*$Q$2)</f>
        <v>-240.7648167161698</v>
      </c>
      <c r="Y25" s="63">
        <f>(($Q$2*W25)/V25-$R$2)*X25</f>
        <v>316.76741595352723</v>
      </c>
      <c r="Z25" s="63">
        <f>IF(Y25&gt;U25,Y25,U25)</f>
        <v>316.76741595352723</v>
      </c>
      <c r="AA25" s="64">
        <f>(Z25-W25)/V25</f>
        <v>0.24365223856662882</v>
      </c>
      <c r="AB25" s="64">
        <f>$Q$2*AA25+$R$2</f>
        <v>0.65783576743888306</v>
      </c>
      <c r="AC25" s="63">
        <f>Z25*AB25*365</f>
        <v>76059.04170329847</v>
      </c>
      <c r="AD25" s="65">
        <f>AC25*(1-$T$1)</f>
        <v>53241.329192308927</v>
      </c>
      <c r="AE25" s="63">
        <f>G25</f>
        <v>16346.4</v>
      </c>
      <c r="AF25" s="63">
        <f>AD25-AE25</f>
        <v>36894.929192308926</v>
      </c>
      <c r="AG25" s="17" t="s">
        <v>88</v>
      </c>
      <c r="AH25" s="66">
        <f>AB25*(365/$AG$23)*$AG$21</f>
        <v>8003.6685038397436</v>
      </c>
      <c r="AI25" s="66">
        <f>-$AG$7-$AG$13-AH25</f>
        <v>-41603.668503839741</v>
      </c>
      <c r="AJ25" s="66">
        <f>-$AG$13-AH25-$AG$18</f>
        <v>-17603.668503839745</v>
      </c>
      <c r="AK25" s="67">
        <f>-($AG$7/$AG$9)-$AG$13-AH25</f>
        <v>-17603.668503839745</v>
      </c>
      <c r="AL25" s="67">
        <f>-($AG$7/$AG$9)-$AG$13-AH25-$AG$18</f>
        <v>-23603.668503839745</v>
      </c>
      <c r="AM25" s="68">
        <f>AF25+AI25</f>
        <v>-4708.739311530815</v>
      </c>
      <c r="AN25" s="68">
        <f>AF25+AJ25</f>
        <v>19291.260688469181</v>
      </c>
      <c r="AO25" s="68">
        <f>AF25+AK25</f>
        <v>19291.260688469181</v>
      </c>
      <c r="AP25" s="68">
        <f>AF25+AL25</f>
        <v>13291.260688469181</v>
      </c>
    </row>
    <row r="26" spans="1:42">
      <c r="A26" t="s">
        <v>128</v>
      </c>
      <c r="B26" t="s">
        <v>126</v>
      </c>
      <c r="C26" t="s">
        <v>107</v>
      </c>
      <c r="D26">
        <v>1</v>
      </c>
      <c r="E26">
        <v>1500</v>
      </c>
      <c r="F26">
        <f>F$2</f>
        <v>0.97299999999999998</v>
      </c>
      <c r="G26" s="60">
        <f>E26*12*F26</f>
        <v>17514</v>
      </c>
      <c r="H26">
        <v>662</v>
      </c>
      <c r="I26" s="61">
        <v>0.44929999999999998</v>
      </c>
      <c r="J26">
        <v>229</v>
      </c>
      <c r="K26">
        <v>859</v>
      </c>
      <c r="L26">
        <f>K26-J26</f>
        <v>630</v>
      </c>
      <c r="M26">
        <f>H26-J26</f>
        <v>433</v>
      </c>
      <c r="N26" s="62">
        <f>0.8*M26/L26+0.1</f>
        <v>0.64984126984126989</v>
      </c>
      <c r="O26" s="61">
        <v>0.44929999999999998</v>
      </c>
      <c r="P26" s="63">
        <v>100</v>
      </c>
      <c r="Q26" s="64">
        <f>0.1+0.8*(P26-J26)/(K26-J26)</f>
        <v>-6.3809523809523816E-2</v>
      </c>
      <c r="R26" s="64">
        <f>$Q$2*Q26+$R$2</f>
        <v>0.90126792356677565</v>
      </c>
      <c r="S26" s="63">
        <f>365*P26*R26</f>
        <v>32896.279210187313</v>
      </c>
      <c r="T26" s="65">
        <f>S26*(1-$T$1)</f>
        <v>23027.395447131119</v>
      </c>
      <c r="U26" s="60">
        <f>J26</f>
        <v>229</v>
      </c>
      <c r="V26" s="63">
        <f>1.25*L26</f>
        <v>787.5</v>
      </c>
      <c r="W26" s="63">
        <f>J26-L26/8</f>
        <v>150.25</v>
      </c>
      <c r="X26">
        <f>1.25*L26/(2*$Q$2)</f>
        <v>-497.31749026618684</v>
      </c>
      <c r="Y26" s="63">
        <f>(($Q$2*W26)/V26-$R$2)*X26</f>
        <v>498.21630180564637</v>
      </c>
      <c r="Z26" s="63">
        <f>IF(Y26&gt;U26,Y26,U26)</f>
        <v>498.21630180564637</v>
      </c>
      <c r="AA26" s="64">
        <f>(Z26-W26)/V26</f>
        <v>0.44186197054685256</v>
      </c>
      <c r="AB26" s="64">
        <f>$Q$2*AA26+$R$2</f>
        <v>0.50090365969129547</v>
      </c>
      <c r="AC26" s="63">
        <f>Z26*AB26*365</f>
        <v>91088.804645693614</v>
      </c>
      <c r="AD26" s="65">
        <f>AC26*(1-$T$1)</f>
        <v>63762.163251985527</v>
      </c>
      <c r="AE26" s="63">
        <f>G26</f>
        <v>17514</v>
      </c>
      <c r="AF26" s="63">
        <f>AD26-AE26</f>
        <v>46248.163251985527</v>
      </c>
      <c r="AG26" s="56">
        <v>0.3</v>
      </c>
      <c r="AH26" s="66">
        <f>AB26*(365/$AG$23)*$AG$21</f>
        <v>6094.3278595774282</v>
      </c>
      <c r="AI26" s="66">
        <f>-$AG$7-$AG$13-AH26</f>
        <v>-39694.327859577432</v>
      </c>
      <c r="AJ26" s="66">
        <f>-$AG$13-AH26-$AG$18</f>
        <v>-15694.327859577428</v>
      </c>
      <c r="AK26" s="67">
        <f>-($AG$7/$AG$9)-$AG$13-AH26</f>
        <v>-15694.327859577428</v>
      </c>
      <c r="AL26" s="67">
        <f>-($AG$7/$AG$9)-$AG$13-AH26-$AG$18</f>
        <v>-21694.327859577428</v>
      </c>
      <c r="AM26" s="68">
        <f>AF26+AI26</f>
        <v>6553.8353924080948</v>
      </c>
      <c r="AN26" s="68">
        <f>AF26+AJ26</f>
        <v>30553.835392408098</v>
      </c>
      <c r="AO26" s="68">
        <f>AF26+AK26</f>
        <v>30553.835392408098</v>
      </c>
      <c r="AP26" s="68">
        <f>AF26+AL26</f>
        <v>24553.835392408098</v>
      </c>
    </row>
    <row r="27" spans="1:42">
      <c r="A27" t="s">
        <v>129</v>
      </c>
      <c r="B27" t="s">
        <v>100</v>
      </c>
      <c r="C27" t="s">
        <v>107</v>
      </c>
      <c r="D27">
        <v>2</v>
      </c>
      <c r="E27">
        <v>1300</v>
      </c>
      <c r="F27">
        <f>F$2</f>
        <v>0.97299999999999998</v>
      </c>
      <c r="G27" s="60">
        <f>E27*12*F27</f>
        <v>15178.8</v>
      </c>
      <c r="H27">
        <v>186</v>
      </c>
      <c r="I27" s="61">
        <v>0.6603</v>
      </c>
      <c r="J27">
        <v>136</v>
      </c>
      <c r="K27">
        <v>336</v>
      </c>
      <c r="L27">
        <f>K27-J27</f>
        <v>200</v>
      </c>
      <c r="M27">
        <f>H27-J27</f>
        <v>50</v>
      </c>
      <c r="N27" s="62">
        <f>0.8*M27/L27+0.1</f>
        <v>0.30000000000000004</v>
      </c>
      <c r="O27" s="61">
        <v>0.6603</v>
      </c>
      <c r="P27" s="63">
        <v>100</v>
      </c>
      <c r="Q27" s="64">
        <f>0.1+0.8*(P27-J27)/(K27-J27)</f>
        <v>-4.4000000000000011E-2</v>
      </c>
      <c r="R27" s="64">
        <f>$Q$2*Q27+$R$2</f>
        <v>0.88558377781950848</v>
      </c>
      <c r="S27" s="63">
        <f>365*P27*R27</f>
        <v>32323.807890412059</v>
      </c>
      <c r="T27" s="65">
        <f>S27*(1-$T$1)</f>
        <v>22626.66552328844</v>
      </c>
      <c r="U27" s="60">
        <f>J27</f>
        <v>136</v>
      </c>
      <c r="V27" s="63">
        <f>1.25*L27</f>
        <v>250</v>
      </c>
      <c r="W27" s="63">
        <f>J27-L27/8</f>
        <v>111</v>
      </c>
      <c r="X27">
        <f>1.25*L27/(2*$Q$2)</f>
        <v>-157.87856833847201</v>
      </c>
      <c r="Y27" s="63">
        <f>(($Q$2*W27)/V27-$R$2)*X27</f>
        <v>189.81469898591951</v>
      </c>
      <c r="Z27" s="63">
        <f>IF(Y27&gt;U27,Y27,U27)</f>
        <v>189.81469898591951</v>
      </c>
      <c r="AA27" s="64">
        <f>(Z27-W27)/V27</f>
        <v>0.31525879594367801</v>
      </c>
      <c r="AB27" s="64">
        <f>$Q$2*AA27+$R$2</f>
        <v>0.60114143731966319</v>
      </c>
      <c r="AC27" s="63">
        <f>Z27*AB27*365</f>
        <v>41648.500555070124</v>
      </c>
      <c r="AD27" s="65">
        <f>AC27*(1-$T$1)</f>
        <v>29153.950388549085</v>
      </c>
      <c r="AE27" s="63">
        <f>G27</f>
        <v>15178.8</v>
      </c>
      <c r="AF27" s="63">
        <f>AD27-AE27</f>
        <v>13975.150388549086</v>
      </c>
      <c r="AG27" s="3"/>
      <c r="AH27" s="66">
        <f>AB27*(365/$AG$23)*$AG$21</f>
        <v>7313.8874873892364</v>
      </c>
      <c r="AI27" s="66">
        <f>-$AG$7-$AG$13-AH27</f>
        <v>-40913.887487389235</v>
      </c>
      <c r="AJ27" s="66">
        <f>-$AG$13-AH27-$AG$18</f>
        <v>-16913.887487389235</v>
      </c>
      <c r="AK27" s="67">
        <f>-($AG$7/$AG$9)-$AG$13-AH27</f>
        <v>-16913.887487389235</v>
      </c>
      <c r="AL27" s="67">
        <f>-($AG$7/$AG$9)-$AG$13-AH27-$AG$18</f>
        <v>-22913.887487389235</v>
      </c>
      <c r="AM27" s="68">
        <f>AF27+AI27</f>
        <v>-26938.737098840149</v>
      </c>
      <c r="AN27" s="68">
        <f>AF27+AJ27</f>
        <v>-2938.737098840149</v>
      </c>
      <c r="AO27" s="68">
        <f>AF27+AK27</f>
        <v>-2938.737098840149</v>
      </c>
      <c r="AP27" s="68">
        <f>AF27+AL27</f>
        <v>-8938.737098840149</v>
      </c>
    </row>
    <row r="28" spans="1:42">
      <c r="A28" t="s">
        <v>130</v>
      </c>
      <c r="B28" t="s">
        <v>126</v>
      </c>
      <c r="C28" t="s">
        <v>107</v>
      </c>
      <c r="D28">
        <v>2</v>
      </c>
      <c r="E28">
        <v>1600</v>
      </c>
      <c r="F28">
        <f>F$2</f>
        <v>0.97299999999999998</v>
      </c>
      <c r="G28" s="60">
        <f>E28*12*F28</f>
        <v>18681.599999999999</v>
      </c>
      <c r="H28">
        <v>696</v>
      </c>
      <c r="I28" s="61">
        <v>0.48770000000000002</v>
      </c>
      <c r="J28">
        <v>449</v>
      </c>
      <c r="K28">
        <v>899</v>
      </c>
      <c r="L28">
        <f>K28-J28</f>
        <v>450</v>
      </c>
      <c r="M28">
        <f>H28-J28</f>
        <v>247</v>
      </c>
      <c r="N28" s="62">
        <f>0.8*M28/L28+0.1</f>
        <v>0.53911111111111121</v>
      </c>
      <c r="O28" s="61">
        <v>0.48770000000000002</v>
      </c>
      <c r="P28" s="63">
        <v>100</v>
      </c>
      <c r="Q28" s="64">
        <f>0.1+0.8*(P28-J28)/(K28-J28)</f>
        <v>-0.52044444444444449</v>
      </c>
      <c r="R28" s="64">
        <f>$Q$2*Q28+$R$2</f>
        <v>1.2628075909204473</v>
      </c>
      <c r="S28" s="63">
        <f>365*P28*R28</f>
        <v>46092.477068596323</v>
      </c>
      <c r="T28" s="65">
        <f>S28*(1-$T$1)</f>
        <v>32264.733948017423</v>
      </c>
      <c r="U28" s="60">
        <f>J28</f>
        <v>449</v>
      </c>
      <c r="V28" s="63">
        <f>1.25*L28</f>
        <v>562.5</v>
      </c>
      <c r="W28" s="63">
        <f>J28-L28/8</f>
        <v>392.75</v>
      </c>
      <c r="X28">
        <f>1.25*L28/(2*$Q$2)</f>
        <v>-355.226778761562</v>
      </c>
      <c r="Y28" s="63">
        <f>(($Q$2*W28)/V28-$R$2)*X28</f>
        <v>498.58307271831876</v>
      </c>
      <c r="Z28" s="63">
        <f>IF(Y28&gt;U28,Y28,U28)</f>
        <v>498.58307271831876</v>
      </c>
      <c r="AA28" s="64">
        <f>(Z28-W28)/V28</f>
        <v>0.18814768483256669</v>
      </c>
      <c r="AB28" s="64">
        <f>$Q$2*AA28+$R$2</f>
        <v>0.70178137253129447</v>
      </c>
      <c r="AC28" s="63">
        <f>Z28*AB28*365</f>
        <v>127712.15427899316</v>
      </c>
      <c r="AD28" s="65">
        <f>AC28*(1-$T$1)</f>
        <v>89398.507995295207</v>
      </c>
      <c r="AE28" s="63">
        <f>G28</f>
        <v>18681.599999999999</v>
      </c>
      <c r="AF28" s="63">
        <f>AD28-AE28</f>
        <v>70716.907995295216</v>
      </c>
      <c r="AG28" s="4" t="s">
        <v>89</v>
      </c>
      <c r="AH28" s="66">
        <f>AB28*(365/$AG$23)*$AG$21</f>
        <v>8538.3400324640825</v>
      </c>
      <c r="AI28" s="66">
        <f>-$AG$7-$AG$13-AH28</f>
        <v>-42138.340032464082</v>
      </c>
      <c r="AJ28" s="66">
        <f>-$AG$13-AH28-$AG$18</f>
        <v>-18138.340032464082</v>
      </c>
      <c r="AK28" s="67">
        <f>-($AG$7/$AG$9)-$AG$13-AH28</f>
        <v>-18138.340032464082</v>
      </c>
      <c r="AL28" s="67">
        <f>-($AG$7/$AG$9)-$AG$13-AH28-$AG$18</f>
        <v>-24138.340032464082</v>
      </c>
      <c r="AM28" s="68">
        <f>AF28+AI28</f>
        <v>28578.567962831134</v>
      </c>
      <c r="AN28" s="68">
        <f>AF28+AJ28</f>
        <v>52578.567962831134</v>
      </c>
      <c r="AO28" s="68">
        <f>AF28+AK28</f>
        <v>52578.567962831134</v>
      </c>
      <c r="AP28" s="68">
        <f>AF28+AL28</f>
        <v>46578.567962831134</v>
      </c>
    </row>
    <row r="29" spans="1:42">
      <c r="A29" t="s">
        <v>131</v>
      </c>
      <c r="B29" t="s">
        <v>132</v>
      </c>
      <c r="C29" t="s">
        <v>98</v>
      </c>
      <c r="D29">
        <v>1</v>
      </c>
      <c r="E29">
        <v>600</v>
      </c>
      <c r="F29">
        <f>F$2</f>
        <v>0.97299999999999998</v>
      </c>
      <c r="G29" s="60">
        <f>E29*12*F29</f>
        <v>7005.5999999999995</v>
      </c>
      <c r="H29">
        <v>182</v>
      </c>
      <c r="I29" s="61">
        <v>0.43840000000000001</v>
      </c>
      <c r="J29">
        <v>132</v>
      </c>
      <c r="K29">
        <v>226</v>
      </c>
      <c r="L29">
        <f>K29-J29</f>
        <v>94</v>
      </c>
      <c r="M29">
        <f>H29-J29</f>
        <v>50</v>
      </c>
      <c r="N29" s="62">
        <f>0.8*M29/L29+0.1</f>
        <v>0.52553191489361706</v>
      </c>
      <c r="O29" s="61">
        <v>0.43840000000000001</v>
      </c>
      <c r="P29" s="63">
        <v>100</v>
      </c>
      <c r="Q29" s="64">
        <f>0.1+0.8*(P29-J29)/(K29-J29)</f>
        <v>-0.17234042553191489</v>
      </c>
      <c r="R29" s="64">
        <f>$Q$2*Q29+$R$2</f>
        <v>0.98719701994807985</v>
      </c>
      <c r="S29" s="63">
        <f>365*P29*R29</f>
        <v>36032.691228104915</v>
      </c>
      <c r="T29" s="65">
        <f>S29*(1-$T$1)</f>
        <v>25222.883859673439</v>
      </c>
      <c r="U29" s="60">
        <f>J29</f>
        <v>132</v>
      </c>
      <c r="V29" s="63">
        <f>1.25*L29</f>
        <v>117.5</v>
      </c>
      <c r="W29" s="63">
        <f>J29-L29/8</f>
        <v>120.25</v>
      </c>
      <c r="X29">
        <f>1.25*L29/(2*$Q$2)</f>
        <v>-74.202927119081849</v>
      </c>
      <c r="Y29" s="63">
        <f>(($Q$2*W29)/V29-$R$2)*X29</f>
        <v>123.25290852338216</v>
      </c>
      <c r="Z29" s="63">
        <f>IF(Y29&gt;U29,Y29,U29)</f>
        <v>132</v>
      </c>
      <c r="AA29" s="64">
        <f>(Z29-W29)/V29</f>
        <v>0.1</v>
      </c>
      <c r="AB29" s="64">
        <f>$Q$2*AA29+$R$2</f>
        <v>0.77157210296437406</v>
      </c>
      <c r="AC29" s="63">
        <f>Z29*AB29*365</f>
        <v>37174.343920823543</v>
      </c>
      <c r="AD29" s="65">
        <f>AC29*(1-$T$1)</f>
        <v>26022.040744576479</v>
      </c>
      <c r="AE29" s="63">
        <f>G29</f>
        <v>7005.5999999999995</v>
      </c>
      <c r="AF29" s="63">
        <f>AD29-AE29</f>
        <v>19016.440744576481</v>
      </c>
      <c r="AG29" s="53">
        <v>6000</v>
      </c>
      <c r="AH29" s="66">
        <f>AB29*(365/$AG$23)*$AG$21</f>
        <v>9387.4605860665506</v>
      </c>
      <c r="AI29" s="66">
        <f>-$AG$7-$AG$13-AH29</f>
        <v>-42987.460586066547</v>
      </c>
      <c r="AJ29" s="66">
        <f>-$AG$13-AH29-$AG$18</f>
        <v>-18987.460586066551</v>
      </c>
      <c r="AK29" s="67">
        <f>-($AG$7/$AG$9)-$AG$13-AH29</f>
        <v>-18987.460586066551</v>
      </c>
      <c r="AL29" s="67">
        <f>-($AG$7/$AG$9)-$AG$13-AH29-$AG$18</f>
        <v>-24987.460586066551</v>
      </c>
      <c r="AM29" s="68">
        <f>AF29+AI29</f>
        <v>-23971.019841490066</v>
      </c>
      <c r="AN29" s="68">
        <f>AF29+AJ29</f>
        <v>28.980158509930334</v>
      </c>
      <c r="AO29" s="68">
        <f>AF29+AK29</f>
        <v>28.980158509930334</v>
      </c>
      <c r="AP29" s="68">
        <f>AF29+AL29</f>
        <v>-5971.0198414900697</v>
      </c>
    </row>
    <row r="30" spans="1:42">
      <c r="A30" t="s">
        <v>133</v>
      </c>
      <c r="B30" t="s">
        <v>132</v>
      </c>
      <c r="C30" t="s">
        <v>98</v>
      </c>
      <c r="D30">
        <v>2</v>
      </c>
      <c r="E30">
        <v>800</v>
      </c>
      <c r="F30">
        <f>F$2</f>
        <v>0.97299999999999998</v>
      </c>
      <c r="G30" s="60">
        <f>E30*12*F30</f>
        <v>9340.7999999999993</v>
      </c>
      <c r="H30">
        <v>241</v>
      </c>
      <c r="I30" s="61">
        <v>0.53149999999999997</v>
      </c>
      <c r="J30">
        <v>157</v>
      </c>
      <c r="K30">
        <v>340</v>
      </c>
      <c r="L30">
        <f>K30-J30</f>
        <v>183</v>
      </c>
      <c r="M30">
        <f>H30-J30</f>
        <v>84</v>
      </c>
      <c r="N30" s="62">
        <f>0.8*M30/L30+0.1</f>
        <v>0.46721311475409844</v>
      </c>
      <c r="O30" s="61">
        <v>0.53149999999999997</v>
      </c>
      <c r="P30" s="63">
        <v>100</v>
      </c>
      <c r="Q30" s="64">
        <f>0.1+0.8*(P30-J30)/(K30-J30)</f>
        <v>-0.14918032786885246</v>
      </c>
      <c r="R30" s="64">
        <f>$Q$2*Q30+$R$2</f>
        <v>0.96886006491770327</v>
      </c>
      <c r="S30" s="63">
        <f>365*P30*R30</f>
        <v>35363.39236949617</v>
      </c>
      <c r="T30" s="65">
        <f>S30*(1-$T$1)</f>
        <v>24754.374658647317</v>
      </c>
      <c r="U30" s="60">
        <f>J30</f>
        <v>157</v>
      </c>
      <c r="V30" s="63">
        <f>1.25*L30</f>
        <v>228.75</v>
      </c>
      <c r="W30" s="63">
        <f>J30-L30/8</f>
        <v>134.125</v>
      </c>
      <c r="X30">
        <f>1.25*L30/(2*$Q$2)</f>
        <v>-144.45889002970188</v>
      </c>
      <c r="Y30" s="63">
        <f>(($Q$2*W30)/V30-$R$2)*X30</f>
        <v>189.96044957211632</v>
      </c>
      <c r="Z30" s="63">
        <f>IF(Y30&gt;U30,Y30,U30)</f>
        <v>189.96044957211632</v>
      </c>
      <c r="AA30" s="64">
        <f>(Z30-W30)/V30</f>
        <v>0.24408939703657406</v>
      </c>
      <c r="AB30" s="64">
        <f>$Q$2*AA30+$R$2</f>
        <v>0.65748964820738609</v>
      </c>
      <c r="AC30" s="63">
        <f>Z30*AB30*365</f>
        <v>45587.415644307999</v>
      </c>
      <c r="AD30" s="65">
        <f>AC30*(1-$T$1)</f>
        <v>31911.190951015597</v>
      </c>
      <c r="AE30" s="63">
        <f>G30</f>
        <v>9340.7999999999993</v>
      </c>
      <c r="AF30" s="63">
        <f>AD30-AE30</f>
        <v>22570.390951015597</v>
      </c>
      <c r="AG30" s="3"/>
      <c r="AH30" s="66">
        <f>AB30*(365/$AG$23)*$AG$21</f>
        <v>7999.4573865231969</v>
      </c>
      <c r="AI30" s="66">
        <f>-$AG$7-$AG$13-AH30</f>
        <v>-41599.457386523194</v>
      </c>
      <c r="AJ30" s="66">
        <f>-$AG$13-AH30-$AG$18</f>
        <v>-17599.457386523198</v>
      </c>
      <c r="AK30" s="67">
        <f>-($AG$7/$AG$9)-$AG$13-AH30</f>
        <v>-17599.457386523198</v>
      </c>
      <c r="AL30" s="67">
        <f>-($AG$7/$AG$9)-$AG$13-AH30-$AG$18</f>
        <v>-23599.457386523198</v>
      </c>
      <c r="AM30" s="68">
        <f>AF30+AI30</f>
        <v>-19029.066435507597</v>
      </c>
      <c r="AN30" s="68">
        <f>AF30+AJ30</f>
        <v>4970.9335644923995</v>
      </c>
      <c r="AO30" s="68">
        <f>AF30+AK30</f>
        <v>4970.9335644923995</v>
      </c>
      <c r="AP30" s="68">
        <f>AF30+AL30</f>
        <v>-1029.0664355076005</v>
      </c>
    </row>
    <row r="31" spans="1:42">
      <c r="A31" t="s">
        <v>134</v>
      </c>
      <c r="B31" t="s">
        <v>132</v>
      </c>
      <c r="C31" t="s">
        <v>107</v>
      </c>
      <c r="D31">
        <v>1</v>
      </c>
      <c r="E31">
        <v>700</v>
      </c>
      <c r="F31">
        <f>F$2</f>
        <v>0.97299999999999998</v>
      </c>
      <c r="G31" s="60">
        <f>E31*12*F31</f>
        <v>8173.2</v>
      </c>
      <c r="H31">
        <v>363</v>
      </c>
      <c r="I31" s="61">
        <v>0.13969999999999999</v>
      </c>
      <c r="J31">
        <v>215</v>
      </c>
      <c r="K31">
        <v>377</v>
      </c>
      <c r="L31">
        <f>K31-J31</f>
        <v>162</v>
      </c>
      <c r="M31">
        <f>H31-J31</f>
        <v>148</v>
      </c>
      <c r="N31" s="62">
        <f>0.8*M31/L31+0.1</f>
        <v>0.83086419753086416</v>
      </c>
      <c r="O31" s="61">
        <v>0.13969999999999999</v>
      </c>
      <c r="P31" s="63">
        <v>100</v>
      </c>
      <c r="Q31" s="64">
        <f>0.1+0.8*(P31-J31)/(K31-J31)</f>
        <v>-0.46790123456790123</v>
      </c>
      <c r="R31" s="64">
        <f>$Q$2*Q31+$R$2</f>
        <v>1.2212066231406589</v>
      </c>
      <c r="S31" s="63">
        <f>365*P31*R31</f>
        <v>44574.041744634051</v>
      </c>
      <c r="T31" s="65">
        <f>S31*(1-$T$1)</f>
        <v>31201.829221243832</v>
      </c>
      <c r="U31" s="60">
        <f>J31</f>
        <v>215</v>
      </c>
      <c r="V31" s="63">
        <f>1.25*L31</f>
        <v>202.5</v>
      </c>
      <c r="W31" s="63">
        <f>J31-L31/8</f>
        <v>194.75</v>
      </c>
      <c r="X31">
        <f>1.25*L31/(2*$Q$2)</f>
        <v>-127.88164035416233</v>
      </c>
      <c r="Y31" s="63">
        <f>(($Q$2*W31)/V31-$R$2)*X31</f>
        <v>206.16990617859477</v>
      </c>
      <c r="Z31" s="63">
        <f>IF(Y31&gt;U31,Y31,U31)</f>
        <v>215</v>
      </c>
      <c r="AA31" s="64">
        <f>(Z31-W31)/V31</f>
        <v>0.1</v>
      </c>
      <c r="AB31" s="64">
        <f>$Q$2*AA31+$R$2</f>
        <v>0.77157210296437406</v>
      </c>
      <c r="AC31" s="63">
        <f>Z31*AB31*365</f>
        <v>60549.120780129262</v>
      </c>
      <c r="AD31" s="65">
        <f>AC31*(1-$T$1)</f>
        <v>42384.384546090478</v>
      </c>
      <c r="AE31" s="63">
        <f>G31</f>
        <v>8173.2</v>
      </c>
      <c r="AF31" s="63">
        <f>AD31-AE31</f>
        <v>34211.184546090481</v>
      </c>
      <c r="AG31" s="57" t="s">
        <v>90</v>
      </c>
      <c r="AH31" s="66">
        <f>AB31*(365/$AG$23)*$AG$21</f>
        <v>9387.4605860665506</v>
      </c>
      <c r="AI31" s="66">
        <f>-$AG$7-$AG$13-AH31</f>
        <v>-42987.460586066547</v>
      </c>
      <c r="AJ31" s="66">
        <f>-$AG$13-AH31-$AG$18</f>
        <v>-18987.460586066551</v>
      </c>
      <c r="AK31" s="67">
        <f>-($AG$7/$AG$9)-$AG$13-AH31</f>
        <v>-18987.460586066551</v>
      </c>
      <c r="AL31" s="67">
        <f>-($AG$7/$AG$9)-$AG$13-AH31-$AG$18</f>
        <v>-24987.460586066551</v>
      </c>
      <c r="AM31" s="68">
        <f>AF31+AI31</f>
        <v>-8776.2760399760664</v>
      </c>
      <c r="AN31" s="68">
        <f>AF31+AJ31</f>
        <v>15223.72396002393</v>
      </c>
      <c r="AO31" s="68">
        <f>AF31+AK31</f>
        <v>15223.72396002393</v>
      </c>
      <c r="AP31" s="68">
        <f>AF31+AL31</f>
        <v>9223.72396002393</v>
      </c>
    </row>
    <row r="32" spans="1:42">
      <c r="A32" t="s">
        <v>135</v>
      </c>
      <c r="B32" t="s">
        <v>132</v>
      </c>
      <c r="C32" t="s">
        <v>107</v>
      </c>
      <c r="D32">
        <v>2</v>
      </c>
      <c r="E32">
        <v>1000</v>
      </c>
      <c r="F32">
        <f>F$2</f>
        <v>0.97299999999999998</v>
      </c>
      <c r="G32" s="60">
        <f>E32*12*F32</f>
        <v>11676</v>
      </c>
      <c r="H32">
        <v>301</v>
      </c>
      <c r="I32" s="61">
        <v>0.46850000000000003</v>
      </c>
      <c r="J32">
        <v>202</v>
      </c>
      <c r="K32">
        <v>374</v>
      </c>
      <c r="L32">
        <f>K32-J32</f>
        <v>172</v>
      </c>
      <c r="M32">
        <f>H32-J32</f>
        <v>99</v>
      </c>
      <c r="N32" s="62">
        <f>0.8*M32/L32+0.1</f>
        <v>0.56046511627906981</v>
      </c>
      <c r="O32" s="61">
        <v>0.46850000000000003</v>
      </c>
      <c r="P32" s="63">
        <v>100</v>
      </c>
      <c r="Q32" s="64">
        <f>0.1+0.8*(P32-J32)/(K32-J32)</f>
        <v>-0.37441860465116283</v>
      </c>
      <c r="R32" s="64">
        <f>$Q$2*Q32+$R$2</f>
        <v>1.147191961983228</v>
      </c>
      <c r="S32" s="63">
        <f>365*P32*R32</f>
        <v>41872.50661238782</v>
      </c>
      <c r="T32" s="65">
        <f>S32*(1-$T$1)</f>
        <v>29310.754628671471</v>
      </c>
      <c r="U32" s="60">
        <f>J32</f>
        <v>202</v>
      </c>
      <c r="V32" s="63">
        <f>1.25*L32</f>
        <v>215</v>
      </c>
      <c r="W32" s="63">
        <f>J32-L32/8</f>
        <v>180.5</v>
      </c>
      <c r="X32">
        <f>1.25*L32/(2*$Q$2)</f>
        <v>-135.77556877108591</v>
      </c>
      <c r="Y32" s="63">
        <f>(($Q$2*W32)/V32-$R$2)*X32</f>
        <v>205.76064112789072</v>
      </c>
      <c r="Z32" s="63">
        <f>IF(Y32&gt;U32,Y32,U32)</f>
        <v>205.76064112789072</v>
      </c>
      <c r="AA32" s="64">
        <f>(Z32-W32)/V32</f>
        <v>0.11749135408321267</v>
      </c>
      <c r="AB32" s="64">
        <f>$Q$2*AA32+$R$2</f>
        <v>0.75772336286360131</v>
      </c>
      <c r="AC32" s="63">
        <f>Z32*AB32*365</f>
        <v>56907.02040324454</v>
      </c>
      <c r="AD32" s="65">
        <f>AC32*(1-$T$1)</f>
        <v>39834.914282271173</v>
      </c>
      <c r="AE32" s="63">
        <f>G32</f>
        <v>11676</v>
      </c>
      <c r="AF32" s="63">
        <f>AD32-AE32</f>
        <v>28158.914282271173</v>
      </c>
      <c r="AG32" s="58" t="s">
        <v>91</v>
      </c>
      <c r="AH32" s="66">
        <f>AB32*(365/$AG$23)*$AG$21</f>
        <v>9218.9675815071496</v>
      </c>
      <c r="AI32" s="66">
        <f>-$AG$7-$AG$13-AH32</f>
        <v>-42818.967581507153</v>
      </c>
      <c r="AJ32" s="66">
        <f>-$AG$13-AH32-$AG$18</f>
        <v>-18818.96758150715</v>
      </c>
      <c r="AK32" s="67">
        <f>-($AG$7/$AG$9)-$AG$13-AH32</f>
        <v>-18818.96758150715</v>
      </c>
      <c r="AL32" s="67">
        <f>-($AG$7/$AG$9)-$AG$13-AH32-$AG$18</f>
        <v>-24818.96758150715</v>
      </c>
      <c r="AM32" s="68">
        <f>AF32+AI32</f>
        <v>-14660.05329923598</v>
      </c>
      <c r="AN32" s="68">
        <f>AF32+AJ32</f>
        <v>9339.9467007640233</v>
      </c>
      <c r="AO32" s="68">
        <f>AF32+AK32</f>
        <v>9339.9467007640233</v>
      </c>
      <c r="AP32" s="68">
        <f>AF32+AL32</f>
        <v>3339.9467007640233</v>
      </c>
    </row>
    <row r="33" spans="1:42">
      <c r="A33" t="s">
        <v>136</v>
      </c>
      <c r="B33" t="s">
        <v>137</v>
      </c>
      <c r="C33" t="s">
        <v>98</v>
      </c>
      <c r="D33">
        <v>1</v>
      </c>
      <c r="E33">
        <v>700</v>
      </c>
      <c r="F33">
        <f>F$2</f>
        <v>0.97299999999999998</v>
      </c>
      <c r="G33" s="60">
        <f>E33*12*F33</f>
        <v>8173.2</v>
      </c>
      <c r="H33">
        <v>212</v>
      </c>
      <c r="I33" s="61">
        <v>0.50139999999999996</v>
      </c>
      <c r="J33">
        <v>94</v>
      </c>
      <c r="K33">
        <v>356</v>
      </c>
      <c r="L33">
        <f>K33-J33</f>
        <v>262</v>
      </c>
      <c r="M33">
        <f>H33-J33</f>
        <v>118</v>
      </c>
      <c r="N33" s="62">
        <f>0.8*M33/L33+0.1</f>
        <v>0.46030534351145036</v>
      </c>
      <c r="O33" s="61">
        <v>0.50139999999999996</v>
      </c>
      <c r="P33" s="63">
        <v>100</v>
      </c>
      <c r="Q33" s="64">
        <f>0.1+0.8*(P33-J33)/(K33-J33)</f>
        <v>0.1183206106870229</v>
      </c>
      <c r="R33" s="64">
        <f>$Q$2*Q33+$R$2</f>
        <v>0.75706680081995481</v>
      </c>
      <c r="S33" s="63">
        <f>365*P33*R33</f>
        <v>27632.93822992835</v>
      </c>
      <c r="T33" s="65">
        <f>S33*(1-$T$1)</f>
        <v>19343.056760949843</v>
      </c>
      <c r="U33" s="60">
        <f>J33</f>
        <v>94</v>
      </c>
      <c r="V33" s="63">
        <f>1.25*L33</f>
        <v>327.5</v>
      </c>
      <c r="W33" s="63">
        <f>J33-L33/8</f>
        <v>61.25</v>
      </c>
      <c r="X33">
        <f>1.25*L33/(2*$Q$2)</f>
        <v>-206.82092452339833</v>
      </c>
      <c r="Y33" s="63">
        <f>(($Q$2*W33)/V33-$R$2)*X33</f>
        <v>206.57725567155452</v>
      </c>
      <c r="Z33" s="63">
        <f>IF(Y33&gt;U33,Y33,U33)</f>
        <v>206.57725567155452</v>
      </c>
      <c r="AA33" s="64">
        <f>(Z33-W33)/V33</f>
        <v>0.44374734556199857</v>
      </c>
      <c r="AB33" s="64">
        <f>$Q$2*AA33+$R$2</f>
        <v>0.49941091828013695</v>
      </c>
      <c r="AC33" s="63">
        <f>Z33*AB33*365</f>
        <v>37655.931987013413</v>
      </c>
      <c r="AD33" s="65">
        <f>AC33*(1-$T$1)</f>
        <v>26359.152390909388</v>
      </c>
      <c r="AE33" s="63">
        <f>G33</f>
        <v>8173.2</v>
      </c>
      <c r="AF33" s="63">
        <f>AD33-AE33</f>
        <v>18185.952390909388</v>
      </c>
      <c r="AG33" s="58" t="s">
        <v>92</v>
      </c>
      <c r="AH33" s="66">
        <f>AB33*(365/$AG$23)*$AG$21</f>
        <v>6076.1661724083333</v>
      </c>
      <c r="AI33" s="66">
        <f>-$AG$7-$AG$13-AH33</f>
        <v>-39676.166172408331</v>
      </c>
      <c r="AJ33" s="66">
        <f>-$AG$13-AH33-$AG$18</f>
        <v>-15676.166172408333</v>
      </c>
      <c r="AK33" s="67">
        <f>-($AG$7/$AG$9)-$AG$13-AH33</f>
        <v>-15676.166172408333</v>
      </c>
      <c r="AL33" s="67">
        <f>-($AG$7/$AG$9)-$AG$13-AH33-$AG$18</f>
        <v>-21676.166172408331</v>
      </c>
      <c r="AM33" s="68">
        <f>AF33+AI33</f>
        <v>-21490.213781498944</v>
      </c>
      <c r="AN33" s="68">
        <f>AF33+AJ33</f>
        <v>2509.7862185010545</v>
      </c>
      <c r="AO33" s="68">
        <f>AF33+AK33</f>
        <v>2509.7862185010545</v>
      </c>
      <c r="AP33" s="68">
        <f>AF33+AL33</f>
        <v>-3490.2137814989437</v>
      </c>
    </row>
    <row r="34" spans="1:42">
      <c r="A34" t="s">
        <v>138</v>
      </c>
      <c r="B34" t="s">
        <v>137</v>
      </c>
      <c r="C34" t="s">
        <v>98</v>
      </c>
      <c r="D34">
        <v>2</v>
      </c>
      <c r="E34">
        <v>900</v>
      </c>
      <c r="F34">
        <f>F$2</f>
        <v>0.97299999999999998</v>
      </c>
      <c r="G34" s="60">
        <f>E34*12*F34</f>
        <v>10508.4</v>
      </c>
      <c r="H34">
        <v>340</v>
      </c>
      <c r="I34" s="61">
        <v>0.30680000000000002</v>
      </c>
      <c r="J34">
        <v>69</v>
      </c>
      <c r="K34">
        <v>485</v>
      </c>
      <c r="L34">
        <f>K34-J34</f>
        <v>416</v>
      </c>
      <c r="M34">
        <f>H34-J34</f>
        <v>271</v>
      </c>
      <c r="N34" s="62">
        <f>0.8*M34/L34+0.1</f>
        <v>0.62115384615384617</v>
      </c>
      <c r="O34" s="61">
        <v>0.30680000000000002</v>
      </c>
      <c r="P34" s="63">
        <v>100</v>
      </c>
      <c r="Q34" s="64">
        <f>0.1+0.8*(P34-J34)/(K34-J34)</f>
        <v>0.15961538461538463</v>
      </c>
      <c r="R34" s="64">
        <f>$Q$2*Q34+$R$2</f>
        <v>0.72437175680372801</v>
      </c>
      <c r="S34" s="63">
        <f>365*P34*R34</f>
        <v>26439.569123336074</v>
      </c>
      <c r="T34" s="65">
        <f>S34*(1-$T$1)</f>
        <v>18507.698386335251</v>
      </c>
      <c r="U34" s="60">
        <f>J34</f>
        <v>69</v>
      </c>
      <c r="V34" s="63">
        <f>1.25*L34</f>
        <v>520</v>
      </c>
      <c r="W34" s="63">
        <f>J34-L34/8</f>
        <v>17</v>
      </c>
      <c r="X34">
        <f>1.25*L34/(2*$Q$2)</f>
        <v>-328.3874221440218</v>
      </c>
      <c r="Y34" s="63">
        <f>(($Q$2*W34)/V34-$R$2)*X34</f>
        <v>287.87457389071255</v>
      </c>
      <c r="Z34" s="63">
        <f>IF(Y34&gt;U34,Y34,U34)</f>
        <v>287.87457389071255</v>
      </c>
      <c r="AA34" s="64">
        <f>(Z34-W34)/V34</f>
        <v>0.52091264209752419</v>
      </c>
      <c r="AB34" s="64">
        <f>$Q$2*AA34+$R$2</f>
        <v>0.43831546898355095</v>
      </c>
      <c r="AC34" s="63">
        <f>Z34*AB34*365</f>
        <v>46055.65578512186</v>
      </c>
      <c r="AD34" s="65">
        <f>AC34*(1-$T$1)</f>
        <v>32238.959049585301</v>
      </c>
      <c r="AE34" s="63">
        <f>G34</f>
        <v>10508.4</v>
      </c>
      <c r="AF34" s="63">
        <f>AD34-AE34</f>
        <v>21730.559049585303</v>
      </c>
      <c r="AG34" s="58" t="s">
        <v>93</v>
      </c>
      <c r="AH34" s="66">
        <f>AB34*(365/$AG$23)*$AG$21</f>
        <v>5332.8382059665364</v>
      </c>
      <c r="AI34" s="66">
        <f>-$AG$7-$AG$13-AH34</f>
        <v>-38932.838205966538</v>
      </c>
      <c r="AJ34" s="66">
        <f>-$AG$13-AH34-$AG$18</f>
        <v>-14932.838205966536</v>
      </c>
      <c r="AK34" s="67">
        <f>-($AG$7/$AG$9)-$AG$13-AH34</f>
        <v>-14932.838205966536</v>
      </c>
      <c r="AL34" s="67">
        <f>-($AG$7/$AG$9)-$AG$13-AH34-$AG$18</f>
        <v>-20932.838205966538</v>
      </c>
      <c r="AM34" s="68">
        <f>AF34+AI34</f>
        <v>-17202.279156381235</v>
      </c>
      <c r="AN34" s="68">
        <f>AF34+AJ34</f>
        <v>6797.7208436187666</v>
      </c>
      <c r="AO34" s="68">
        <f>AF34+AK34</f>
        <v>6797.7208436187666</v>
      </c>
      <c r="AP34" s="68">
        <f>AF34+AL34</f>
        <v>797.72084361876477</v>
      </c>
    </row>
    <row r="35" spans="1:42">
      <c r="A35" t="s">
        <v>139</v>
      </c>
      <c r="B35" t="s">
        <v>137</v>
      </c>
      <c r="C35" t="s">
        <v>107</v>
      </c>
      <c r="D35">
        <v>1</v>
      </c>
      <c r="E35">
        <v>1000</v>
      </c>
      <c r="F35">
        <f>F$2</f>
        <v>0.97299999999999998</v>
      </c>
      <c r="G35" s="60">
        <f>E35*12*F35</f>
        <v>11676</v>
      </c>
      <c r="H35">
        <v>266</v>
      </c>
      <c r="I35" s="61">
        <v>0.52049999999999996</v>
      </c>
      <c r="J35">
        <v>84</v>
      </c>
      <c r="K35">
        <v>376</v>
      </c>
      <c r="L35">
        <f>K35-J35</f>
        <v>292</v>
      </c>
      <c r="M35">
        <f>H35-J35</f>
        <v>182</v>
      </c>
      <c r="N35" s="62">
        <f>0.8*M35/L35+0.1</f>
        <v>0.59863013698630141</v>
      </c>
      <c r="O35" s="61">
        <v>0.52049999999999996</v>
      </c>
      <c r="P35" s="63">
        <v>100</v>
      </c>
      <c r="Q35" s="64">
        <f>0.1+0.8*(P35-J35)/(K35-J35)</f>
        <v>0.14383561643835618</v>
      </c>
      <c r="R35" s="64">
        <f>$Q$2*Q35+$R$2</f>
        <v>0.73686535262795561</v>
      </c>
      <c r="S35" s="63">
        <f>365*P35*R35</f>
        <v>26895.58537092038</v>
      </c>
      <c r="T35" s="65">
        <f>S35*(1-$T$1)</f>
        <v>18826.909759644266</v>
      </c>
      <c r="U35" s="60">
        <f>J35</f>
        <v>84</v>
      </c>
      <c r="V35" s="63">
        <f>1.25*L35</f>
        <v>365</v>
      </c>
      <c r="W35" s="63">
        <f>J35-L35/8</f>
        <v>47.5</v>
      </c>
      <c r="X35">
        <f>1.25*L35/(2*$Q$2)</f>
        <v>-230.50270977416912</v>
      </c>
      <c r="Y35" s="63">
        <f>(($Q$2*W35)/V35-$R$2)*X35</f>
        <v>219.84946051944243</v>
      </c>
      <c r="Z35" s="63">
        <f>IF(Y35&gt;U35,Y35,U35)</f>
        <v>219.84946051944243</v>
      </c>
      <c r="AA35" s="64">
        <f>(Z35-W35)/V35</f>
        <v>0.47219030279299296</v>
      </c>
      <c r="AB35" s="64">
        <f>$Q$2*AA35+$R$2</f>
        <v>0.47689127111528534</v>
      </c>
      <c r="AC35" s="63">
        <f>Z35*AB35*365</f>
        <v>38268.165368611226</v>
      </c>
      <c r="AD35" s="65">
        <f>AC35*(1-$T$1)</f>
        <v>26787.715758027858</v>
      </c>
      <c r="AE35" s="63">
        <f>G35</f>
        <v>11676</v>
      </c>
      <c r="AF35" s="63">
        <f>AD35-AE35</f>
        <v>15111.715758027858</v>
      </c>
      <c r="AG35" s="59" t="s">
        <v>94</v>
      </c>
      <c r="AH35" s="66">
        <f>AB35*(365/$AG$23)*$AG$21</f>
        <v>5802.1771319026384</v>
      </c>
      <c r="AI35" s="66">
        <f>-$AG$7-$AG$13-AH35</f>
        <v>-39402.177131902637</v>
      </c>
      <c r="AJ35" s="66">
        <f>-$AG$13-AH35-$AG$18</f>
        <v>-15402.177131902637</v>
      </c>
      <c r="AK35" s="67">
        <f>-($AG$7/$AG$9)-$AG$13-AH35</f>
        <v>-15402.177131902637</v>
      </c>
      <c r="AL35" s="67">
        <f>-($AG$7/$AG$9)-$AG$13-AH35-$AG$18</f>
        <v>-21402.177131902637</v>
      </c>
      <c r="AM35" s="68">
        <f>AF35+AI35</f>
        <v>-24290.461373874779</v>
      </c>
      <c r="AN35" s="68">
        <f>AF35+AJ35</f>
        <v>-290.46137387477938</v>
      </c>
      <c r="AO35" s="68">
        <f>AF35+AK35</f>
        <v>-290.46137387477938</v>
      </c>
      <c r="AP35" s="68">
        <f>AF35+AL35</f>
        <v>-6290.4613738747794</v>
      </c>
    </row>
    <row r="36" spans="1:42">
      <c r="A36" t="s">
        <v>140</v>
      </c>
      <c r="B36" t="s">
        <v>137</v>
      </c>
      <c r="C36" t="s">
        <v>107</v>
      </c>
      <c r="D36">
        <v>2</v>
      </c>
      <c r="E36">
        <v>1200</v>
      </c>
      <c r="F36">
        <f>F$2</f>
        <v>0.97299999999999998</v>
      </c>
      <c r="G36" s="60">
        <f>E36*12*F36</f>
        <v>14011.199999999999</v>
      </c>
      <c r="H36">
        <v>442</v>
      </c>
      <c r="I36" s="61">
        <v>0.1288</v>
      </c>
      <c r="J36">
        <v>109</v>
      </c>
      <c r="K36">
        <v>490</v>
      </c>
      <c r="L36">
        <f>K36-J36</f>
        <v>381</v>
      </c>
      <c r="M36">
        <f>H36-J36</f>
        <v>333</v>
      </c>
      <c r="N36" s="62">
        <f>0.8*M36/L36+0.1</f>
        <v>0.79921259842519687</v>
      </c>
      <c r="O36" s="61">
        <v>0.1288</v>
      </c>
      <c r="P36" s="63">
        <v>100</v>
      </c>
      <c r="Q36" s="64">
        <f>0.1+0.8*(P36-J36)/(K36-J36)</f>
        <v>8.1102362204724415E-2</v>
      </c>
      <c r="R36" s="64">
        <f>$Q$2*Q36+$R$2</f>
        <v>0.7865342650188536</v>
      </c>
      <c r="S36" s="63">
        <f>365*P36*R36</f>
        <v>28708.500673188155</v>
      </c>
      <c r="T36" s="65">
        <f>S36*(1-$T$1)</f>
        <v>20095.950471231707</v>
      </c>
      <c r="U36" s="60">
        <f>J36</f>
        <v>109</v>
      </c>
      <c r="V36" s="63">
        <f>1.25*L36</f>
        <v>476.25</v>
      </c>
      <c r="W36" s="63">
        <f>J36-L36/8</f>
        <v>61.375</v>
      </c>
      <c r="X36">
        <f>1.25*L36/(2*$Q$2)</f>
        <v>-300.75867268478919</v>
      </c>
      <c r="Y36" s="63">
        <f>(($Q$2*W36)/V36-$R$2)*X36</f>
        <v>286.55700156817664</v>
      </c>
      <c r="Z36" s="63">
        <f>IF(Y36&gt;U36,Y36,U36)</f>
        <v>286.55700156817664</v>
      </c>
      <c r="AA36" s="64">
        <f>(Z36-W36)/V36</f>
        <v>0.47282310040562026</v>
      </c>
      <c r="AB36" s="64">
        <f>$Q$2*AA36+$R$2</f>
        <v>0.47639025503431337</v>
      </c>
      <c r="AC36" s="63">
        <f>Z36*AB36*365</f>
        <v>49827.23151651011</v>
      </c>
      <c r="AD36" s="65">
        <f>AC36*(1-$T$1)</f>
        <v>34879.062061557073</v>
      </c>
      <c r="AE36" s="63">
        <f>G36</f>
        <v>14011.199999999999</v>
      </c>
      <c r="AF36" s="63">
        <f>AD36-AE36</f>
        <v>20867.862061557076</v>
      </c>
      <c r="AH36" s="66">
        <f>AB36*(365/$AG$23)*$AG$21</f>
        <v>5796.0814362508136</v>
      </c>
      <c r="AI36" s="66">
        <f>-$AG$7-$AG$13-AH36</f>
        <v>-39396.08143625081</v>
      </c>
      <c r="AJ36" s="66">
        <f>-$AG$13-AH36-$AG$18</f>
        <v>-15396.081436250814</v>
      </c>
      <c r="AK36" s="67">
        <f>-($AG$7/$AG$9)-$AG$13-AH36</f>
        <v>-15396.081436250814</v>
      </c>
      <c r="AL36" s="67">
        <f>-($AG$7/$AG$9)-$AG$13-AH36-$AG$18</f>
        <v>-21396.081436250814</v>
      </c>
      <c r="AM36" s="68">
        <f>AF36+AI36</f>
        <v>-18528.219374693734</v>
      </c>
      <c r="AN36" s="68">
        <f>AF36+AJ36</f>
        <v>5471.7806253062627</v>
      </c>
      <c r="AO36" s="68">
        <f>AF36+AK36</f>
        <v>5471.7806253062627</v>
      </c>
      <c r="AP36" s="68">
        <f>AF36+AL36</f>
        <v>-528.21937469373734</v>
      </c>
    </row>
    <row r="37" spans="1:42">
      <c r="A37" t="s">
        <v>141</v>
      </c>
      <c r="B37" t="s">
        <v>142</v>
      </c>
      <c r="C37" t="s">
        <v>98</v>
      </c>
      <c r="D37">
        <v>1</v>
      </c>
      <c r="E37">
        <v>1200</v>
      </c>
      <c r="F37">
        <f>F$2</f>
        <v>0.97299999999999998</v>
      </c>
      <c r="G37" s="60">
        <f>E37*12*F37</f>
        <v>14011.199999999999</v>
      </c>
      <c r="H37">
        <v>354</v>
      </c>
      <c r="I37" s="61">
        <v>0.24110000000000001</v>
      </c>
      <c r="J37">
        <v>145</v>
      </c>
      <c r="K37">
        <v>434</v>
      </c>
      <c r="L37">
        <f>K37-J37</f>
        <v>289</v>
      </c>
      <c r="M37">
        <f>H37-J37</f>
        <v>209</v>
      </c>
      <c r="N37" s="62">
        <f>0.8*M37/L37+0.1</f>
        <v>0.67854671280276824</v>
      </c>
      <c r="O37" s="61">
        <v>0.24110000000000001</v>
      </c>
      <c r="P37" s="63">
        <v>100</v>
      </c>
      <c r="Q37" s="64">
        <f>0.1+0.8*(P37-J37)/(K37-J37)</f>
        <v>-2.4567474048442894E-2</v>
      </c>
      <c r="R37" s="64">
        <f>$Q$2*Q37+$R$2</f>
        <v>0.87019811927504398</v>
      </c>
      <c r="S37" s="63">
        <f>365*P37*R37</f>
        <v>31762.231353539104</v>
      </c>
      <c r="T37" s="65">
        <f>S37*(1-$T$1)</f>
        <v>22233.56194747737</v>
      </c>
      <c r="U37" s="60">
        <f>J37</f>
        <v>145</v>
      </c>
      <c r="V37" s="63">
        <f>1.25*L37</f>
        <v>361.25</v>
      </c>
      <c r="W37" s="63">
        <f>J37-L37/8</f>
        <v>108.875</v>
      </c>
      <c r="X37">
        <f>1.25*L37/(2*$Q$2)</f>
        <v>-228.13453124909205</v>
      </c>
      <c r="Y37" s="63">
        <f>(($Q$2*W37)/V37-$R$2)*X37</f>
        <v>248.52224003465366</v>
      </c>
      <c r="Z37" s="63">
        <f>IF(Y37&gt;U37,Y37,U37)</f>
        <v>248.52224003465366</v>
      </c>
      <c r="AA37" s="64">
        <f>(Z37-W37)/V37</f>
        <v>0.3865667544211866</v>
      </c>
      <c r="AB37" s="64">
        <f>$Q$2*AA37+$R$2</f>
        <v>0.5446835222049331</v>
      </c>
      <c r="AC37" s="63">
        <f>Z37*AB37*365</f>
        <v>49408.578702642269</v>
      </c>
      <c r="AD37" s="65">
        <f>AC37*(1-$T$1)</f>
        <v>34586.005091849584</v>
      </c>
      <c r="AE37" s="63">
        <f>G37</f>
        <v>14011.199999999999</v>
      </c>
      <c r="AF37" s="63">
        <f>AD37-AE37</f>
        <v>20574.805091849586</v>
      </c>
      <c r="AH37" s="66">
        <f>AB37*(365/$AG$23)*$AG$21</f>
        <v>6626.9828534933522</v>
      </c>
      <c r="AI37" s="66">
        <f>-$AG$7-$AG$13-AH37</f>
        <v>-40226.982853493355</v>
      </c>
      <c r="AJ37" s="66">
        <f>-$AG$13-AH37-$AG$18</f>
        <v>-16226.982853493351</v>
      </c>
      <c r="AK37" s="67">
        <f>-($AG$7/$AG$9)-$AG$13-AH37</f>
        <v>-16226.982853493351</v>
      </c>
      <c r="AL37" s="67">
        <f>-($AG$7/$AG$9)-$AG$13-AH37-$AG$18</f>
        <v>-22226.982853493351</v>
      </c>
      <c r="AM37" s="68">
        <f>AF37+AI37</f>
        <v>-19652.177761643768</v>
      </c>
      <c r="AN37" s="68">
        <f>AF37+AJ37</f>
        <v>4347.8222383562352</v>
      </c>
      <c r="AO37" s="68">
        <f>AF37+AK37</f>
        <v>4347.8222383562352</v>
      </c>
      <c r="AP37" s="68">
        <f>AF37+AL37</f>
        <v>-1652.1777616437648</v>
      </c>
    </row>
    <row r="38" spans="1:42">
      <c r="A38" t="s">
        <v>143</v>
      </c>
      <c r="B38" t="s">
        <v>144</v>
      </c>
      <c r="C38" t="s">
        <v>98</v>
      </c>
      <c r="D38">
        <v>2</v>
      </c>
      <c r="E38">
        <v>920</v>
      </c>
      <c r="F38">
        <f>F$2</f>
        <v>0.97299999999999998</v>
      </c>
      <c r="G38" s="60">
        <f>E38*12*F38</f>
        <v>10741.92</v>
      </c>
      <c r="H38">
        <v>123</v>
      </c>
      <c r="I38" s="61">
        <v>0.4521</v>
      </c>
      <c r="J38">
        <v>111</v>
      </c>
      <c r="K38">
        <v>147</v>
      </c>
      <c r="L38">
        <f>K38-J38</f>
        <v>36</v>
      </c>
      <c r="M38">
        <f>H38-J38</f>
        <v>12</v>
      </c>
      <c r="N38" s="62">
        <f>0.8*M38/L38+0.1</f>
        <v>0.3666666666666667</v>
      </c>
      <c r="O38" s="61">
        <v>0.4521</v>
      </c>
      <c r="P38" s="63">
        <v>100</v>
      </c>
      <c r="Q38" s="64">
        <f>0.1+0.8*(P38-J38)/(K38-J38)</f>
        <v>-0.14444444444444446</v>
      </c>
      <c r="R38" s="64">
        <f>$Q$2*Q38+$R$2</f>
        <v>0.96511043990981837</v>
      </c>
      <c r="S38" s="63">
        <f>365*P38*R38</f>
        <v>35226.531056708372</v>
      </c>
      <c r="T38" s="65">
        <f>S38*(1-$T$1)</f>
        <v>24658.571739695861</v>
      </c>
      <c r="U38" s="60">
        <f>J38</f>
        <v>111</v>
      </c>
      <c r="V38" s="63">
        <f>1.25*L38</f>
        <v>45</v>
      </c>
      <c r="W38" s="63">
        <f>J38-L38/8</f>
        <v>106.5</v>
      </c>
      <c r="X38">
        <f>1.25*L38/(2*$Q$2)</f>
        <v>-28.418142300924963</v>
      </c>
      <c r="Y38" s="63">
        <f>(($Q$2*W38)/V38-$R$2)*X38</f>
        <v>77.426645817465513</v>
      </c>
      <c r="Z38" s="63">
        <f>IF(Y38&gt;U38,Y38,U38)</f>
        <v>111</v>
      </c>
      <c r="AA38" s="64">
        <f>(Z38-W38)/V38</f>
        <v>0.1</v>
      </c>
      <c r="AB38" s="64">
        <f>$Q$2*AA38+$R$2</f>
        <v>0.77157210296437406</v>
      </c>
      <c r="AC38" s="63">
        <f>Z38*AB38*365</f>
        <v>31260.243751601614</v>
      </c>
      <c r="AD38" s="65">
        <f>AC38*(1-$T$1)</f>
        <v>21882.170626121129</v>
      </c>
      <c r="AE38" s="63">
        <f>G38</f>
        <v>10741.92</v>
      </c>
      <c r="AF38" s="63">
        <f>AD38-AE38</f>
        <v>11140.250626121129</v>
      </c>
      <c r="AH38" s="66">
        <f>AB38*(365/$AG$23)*$AG$21</f>
        <v>9387.4605860665506</v>
      </c>
      <c r="AI38" s="66">
        <f>-$AG$7-$AG$13-AH38</f>
        <v>-42987.460586066547</v>
      </c>
      <c r="AJ38" s="66">
        <f>-$AG$13-AH38-$AG$18</f>
        <v>-18987.460586066551</v>
      </c>
      <c r="AK38" s="67">
        <f>-($AG$7/$AG$9)-$AG$13-AH38</f>
        <v>-18987.460586066551</v>
      </c>
      <c r="AL38" s="67">
        <f>-($AG$7/$AG$9)-$AG$13-AH38-$AG$18</f>
        <v>-24987.460586066551</v>
      </c>
      <c r="AM38" s="68">
        <f>AF38+AI38</f>
        <v>-31847.209959945416</v>
      </c>
      <c r="AN38" s="68">
        <f>AF38+AJ38</f>
        <v>-7847.2099599454214</v>
      </c>
      <c r="AO38" s="68">
        <f>AF38+AK38</f>
        <v>-7847.2099599454214</v>
      </c>
      <c r="AP38" s="68">
        <f>AF38+AL38</f>
        <v>-13847.209959945421</v>
      </c>
    </row>
    <row r="39" spans="1:42">
      <c r="A39" t="s">
        <v>145</v>
      </c>
      <c r="B39" t="s">
        <v>142</v>
      </c>
      <c r="C39" t="s">
        <v>98</v>
      </c>
      <c r="D39">
        <v>2</v>
      </c>
      <c r="E39">
        <v>1300</v>
      </c>
      <c r="F39">
        <f>F$2</f>
        <v>0.97299999999999998</v>
      </c>
      <c r="G39" s="60">
        <f>E39*12*F39</f>
        <v>15178.8</v>
      </c>
      <c r="H39">
        <v>377</v>
      </c>
      <c r="I39" s="61">
        <v>0.47949999999999998</v>
      </c>
      <c r="J39">
        <v>228</v>
      </c>
      <c r="K39">
        <v>457</v>
      </c>
      <c r="L39">
        <f>K39-J39</f>
        <v>229</v>
      </c>
      <c r="M39">
        <f>H39-J39</f>
        <v>149</v>
      </c>
      <c r="N39" s="62">
        <f>0.8*M39/L39+0.1</f>
        <v>0.62052401746724895</v>
      </c>
      <c r="O39" s="61">
        <v>0.47949999999999998</v>
      </c>
      <c r="P39" s="63">
        <v>100</v>
      </c>
      <c r="Q39" s="64">
        <f>0.1+0.8*(P39-J39)/(K39-J39)</f>
        <v>-0.34716157205240172</v>
      </c>
      <c r="R39" s="64">
        <f>$Q$2*Q39+$R$2</f>
        <v>1.125611267968188</v>
      </c>
      <c r="S39" s="63">
        <f>365*P39*R39</f>
        <v>41084.811280838861</v>
      </c>
      <c r="T39" s="65">
        <f>S39*(1-$T$1)</f>
        <v>28759.367896587202</v>
      </c>
      <c r="U39" s="60">
        <f>J39</f>
        <v>228</v>
      </c>
      <c r="V39" s="63">
        <f>1.25*L39</f>
        <v>286.25</v>
      </c>
      <c r="W39" s="63">
        <f>J39-L39/8</f>
        <v>199.375</v>
      </c>
      <c r="X39">
        <f>1.25*L39/(2*$Q$2)</f>
        <v>-180.77096074755045</v>
      </c>
      <c r="Y39" s="63">
        <f>(($Q$2*W39)/V39-$R$2)*X39</f>
        <v>253.47783033887785</v>
      </c>
      <c r="Z39" s="63">
        <f>IF(Y39&gt;U39,Y39,U39)</f>
        <v>253.47783033887785</v>
      </c>
      <c r="AA39" s="64">
        <f>(Z39-W39)/V39</f>
        <v>0.18900552083450778</v>
      </c>
      <c r="AB39" s="64">
        <f>$Q$2*AA39+$R$2</f>
        <v>0.70110218281370873</v>
      </c>
      <c r="AC39" s="63">
        <f>Z39*AB39*365</f>
        <v>64865.558953096617</v>
      </c>
      <c r="AD39" s="65">
        <f>AC39*(1-$T$1)</f>
        <v>45405.89126716763</v>
      </c>
      <c r="AE39" s="63">
        <f>G39</f>
        <v>15178.8</v>
      </c>
      <c r="AF39" s="63">
        <f>AD39-AE39</f>
        <v>30227.091267167631</v>
      </c>
      <c r="AH39" s="66">
        <f>AB39*(365/$AG$23)*$AG$21</f>
        <v>8530.0765575667901</v>
      </c>
      <c r="AI39" s="66">
        <f>-$AG$7-$AG$13-AH39</f>
        <v>-42130.07655756679</v>
      </c>
      <c r="AJ39" s="66">
        <f>-$AG$13-AH39-$AG$18</f>
        <v>-18130.07655756679</v>
      </c>
      <c r="AK39" s="67">
        <f>-($AG$7/$AG$9)-$AG$13-AH39</f>
        <v>-18130.07655756679</v>
      </c>
      <c r="AL39" s="67">
        <f>-($AG$7/$AG$9)-$AG$13-AH39-$AG$18</f>
        <v>-24130.07655756679</v>
      </c>
      <c r="AM39" s="68">
        <f>AF39+AI39</f>
        <v>-11902.98529039916</v>
      </c>
      <c r="AN39" s="68">
        <f>AF39+AJ39</f>
        <v>12097.01470960084</v>
      </c>
      <c r="AO39" s="68">
        <f>AF39+AK39</f>
        <v>12097.01470960084</v>
      </c>
      <c r="AP39" s="68">
        <f>AF39+AL39</f>
        <v>6097.0147096008404</v>
      </c>
    </row>
    <row r="40" spans="1:42">
      <c r="A40" t="s">
        <v>146</v>
      </c>
      <c r="B40" t="s">
        <v>142</v>
      </c>
      <c r="C40" t="s">
        <v>107</v>
      </c>
      <c r="D40">
        <v>1</v>
      </c>
      <c r="E40">
        <v>1100</v>
      </c>
      <c r="F40">
        <f>F$2</f>
        <v>0.97299999999999998</v>
      </c>
      <c r="G40" s="60">
        <f>E40*12*F40</f>
        <v>12843.6</v>
      </c>
      <c r="H40">
        <v>318</v>
      </c>
      <c r="I40" s="61">
        <v>0.2712</v>
      </c>
      <c r="J40">
        <v>90</v>
      </c>
      <c r="K40">
        <v>375</v>
      </c>
      <c r="L40">
        <f>K40-J40</f>
        <v>285</v>
      </c>
      <c r="M40">
        <f>H40-J40</f>
        <v>228</v>
      </c>
      <c r="N40" s="62">
        <f>0.8*M40/L40+0.1</f>
        <v>0.74</v>
      </c>
      <c r="O40" s="61">
        <v>0.2712</v>
      </c>
      <c r="P40" s="63">
        <v>100</v>
      </c>
      <c r="Q40" s="64">
        <f>0.1+0.8*(P40-J40)/(K40-J40)</f>
        <v>0.1280701754385965</v>
      </c>
      <c r="R40" s="64">
        <f>$Q$2*Q40+$R$2</f>
        <v>0.74934760494193065</v>
      </c>
      <c r="S40" s="63">
        <f>365*P40*R40</f>
        <v>27351.187580380469</v>
      </c>
      <c r="T40" s="65">
        <f>S40*(1-$T$1)</f>
        <v>19145.831306266326</v>
      </c>
      <c r="U40" s="60">
        <f>J40</f>
        <v>90</v>
      </c>
      <c r="V40" s="63">
        <f>1.25*L40</f>
        <v>356.25</v>
      </c>
      <c r="W40" s="63">
        <f>J40-L40/8</f>
        <v>54.375</v>
      </c>
      <c r="X40">
        <f>1.25*L40/(2*$Q$2)</f>
        <v>-224.9769598823226</v>
      </c>
      <c r="Y40" s="63">
        <f>(($Q$2*W40)/V40-$R$2)*X40</f>
        <v>218.58594605493528</v>
      </c>
      <c r="Z40" s="63">
        <f>IF(Y40&gt;U40,Y40,U40)</f>
        <v>218.58594605493528</v>
      </c>
      <c r="AA40" s="64">
        <f>(Z40-W40)/V40</f>
        <v>0.46094300646999375</v>
      </c>
      <c r="AB40" s="64">
        <f>$Q$2*AA40+$R$2</f>
        <v>0.48579629258318213</v>
      </c>
      <c r="AC40" s="63">
        <f>Z40*AB40*365</f>
        <v>38758.708404560377</v>
      </c>
      <c r="AD40" s="65">
        <f>AC40*(1-$T$1)</f>
        <v>27131.095883192262</v>
      </c>
      <c r="AE40" s="63">
        <f>G40</f>
        <v>12843.6</v>
      </c>
      <c r="AF40" s="63">
        <f>AD40-AE40</f>
        <v>14287.495883192261</v>
      </c>
      <c r="AH40" s="66">
        <f>AB40*(365/$AG$23)*$AG$21</f>
        <v>5910.521559762049</v>
      </c>
      <c r="AI40" s="66">
        <f>-$AG$7-$AG$13-AH40</f>
        <v>-39510.521559762048</v>
      </c>
      <c r="AJ40" s="66">
        <f>-$AG$13-AH40-$AG$18</f>
        <v>-15510.521559762048</v>
      </c>
      <c r="AK40" s="67">
        <f>-($AG$7/$AG$9)-$AG$13-AH40</f>
        <v>-15510.521559762048</v>
      </c>
      <c r="AL40" s="67">
        <f>-($AG$7/$AG$9)-$AG$13-AH40-$AG$18</f>
        <v>-21510.521559762048</v>
      </c>
      <c r="AM40" s="68">
        <f>AF40+AI40</f>
        <v>-25223.025676569785</v>
      </c>
      <c r="AN40" s="68">
        <f>AF40+AJ40</f>
        <v>-1223.0256765697868</v>
      </c>
      <c r="AO40" s="68">
        <f>AF40+AK40</f>
        <v>-1223.0256765697868</v>
      </c>
      <c r="AP40" s="68">
        <f>AF40+AL40</f>
        <v>-7223.0256765697868</v>
      </c>
    </row>
    <row r="41" spans="1:42">
      <c r="A41" t="s">
        <v>147</v>
      </c>
      <c r="B41" t="s">
        <v>142</v>
      </c>
      <c r="C41" t="s">
        <v>107</v>
      </c>
      <c r="D41">
        <v>2</v>
      </c>
      <c r="E41">
        <v>1200</v>
      </c>
      <c r="F41">
        <f>F$2</f>
        <v>0.97299999999999998</v>
      </c>
      <c r="G41" s="60">
        <f>E41*12*F41</f>
        <v>14011.199999999999</v>
      </c>
      <c r="H41">
        <v>198</v>
      </c>
      <c r="I41" s="61">
        <v>0.43009999999999998</v>
      </c>
      <c r="J41">
        <v>128</v>
      </c>
      <c r="K41">
        <v>238</v>
      </c>
      <c r="L41">
        <f>K41-J41</f>
        <v>110</v>
      </c>
      <c r="M41">
        <f>H41-J41</f>
        <v>70</v>
      </c>
      <c r="N41" s="62">
        <f>0.8*M41/L41+0.1</f>
        <v>0.60909090909090902</v>
      </c>
      <c r="O41" s="61">
        <v>0.43009999999999998</v>
      </c>
      <c r="P41" s="63">
        <v>100</v>
      </c>
      <c r="Q41" s="64">
        <f>0.1+0.8*(P41-J41)/(K41-J41)</f>
        <v>-0.10363636363636364</v>
      </c>
      <c r="R41" s="64">
        <f>$Q$2*Q41+$R$2</f>
        <v>0.93280073407264497</v>
      </c>
      <c r="S41" s="63">
        <f>365*P41*R41</f>
        <v>34047.226793651542</v>
      </c>
      <c r="T41" s="65">
        <f>S41*(1-$T$1)</f>
        <v>23833.058755556078</v>
      </c>
      <c r="U41" s="60">
        <f>J41</f>
        <v>128</v>
      </c>
      <c r="V41" s="63">
        <f>1.25*L41</f>
        <v>137.5</v>
      </c>
      <c r="W41" s="63">
        <f>J41-L41/8</f>
        <v>114.25</v>
      </c>
      <c r="X41">
        <f>1.25*L41/(2*$Q$2)</f>
        <v>-86.833212586159604</v>
      </c>
      <c r="Y41" s="63">
        <f>(($Q$2*W41)/V41-$R$2)*X41</f>
        <v>130.99808444225573</v>
      </c>
      <c r="Z41" s="63">
        <f>IF(Y41&gt;U41,Y41,U41)</f>
        <v>130.99808444225573</v>
      </c>
      <c r="AA41" s="64">
        <f>(Z41-W41)/V41</f>
        <v>0.12180425048913258</v>
      </c>
      <c r="AB41" s="64">
        <f>$Q$2*AA41+$R$2</f>
        <v>0.75430863687252059</v>
      </c>
      <c r="AC41" s="63">
        <f>Z41*AB41*365</f>
        <v>36066.740075620488</v>
      </c>
      <c r="AD41" s="65">
        <f>AC41*(1-$T$1)</f>
        <v>25246.718052934339</v>
      </c>
      <c r="AE41" s="63">
        <f>G41</f>
        <v>14011.199999999999</v>
      </c>
      <c r="AF41" s="63">
        <f>AD41-AE41</f>
        <v>11235.51805293434</v>
      </c>
      <c r="AH41" s="66">
        <f>AB41*(365/$AG$23)*$AG$21</f>
        <v>9177.4217486156667</v>
      </c>
      <c r="AI41" s="66">
        <f>-$AG$7-$AG$13-AH41</f>
        <v>-42777.42174861567</v>
      </c>
      <c r="AJ41" s="66">
        <f>-$AG$13-AH41-$AG$18</f>
        <v>-18777.421748615667</v>
      </c>
      <c r="AK41" s="67">
        <f>-($AG$7/$AG$9)-$AG$13-AH41</f>
        <v>-18777.421748615667</v>
      </c>
      <c r="AL41" s="67">
        <f>-($AG$7/$AG$9)-$AG$13-AH41-$AG$18</f>
        <v>-24777.421748615667</v>
      </c>
      <c r="AM41" s="68">
        <f>AF41+AI41</f>
        <v>-31541.903695681329</v>
      </c>
      <c r="AN41" s="68">
        <f>AF41+AJ41</f>
        <v>-7541.903695681327</v>
      </c>
      <c r="AO41" s="68">
        <f>AF41+AK41</f>
        <v>-7541.903695681327</v>
      </c>
      <c r="AP41" s="68">
        <f>AF41+AL41</f>
        <v>-13541.903695681327</v>
      </c>
    </row>
    <row r="42" spans="1:42">
      <c r="A42" t="s">
        <v>148</v>
      </c>
      <c r="B42" t="s">
        <v>149</v>
      </c>
      <c r="C42" t="s">
        <v>98</v>
      </c>
      <c r="D42">
        <v>1</v>
      </c>
      <c r="E42">
        <v>1300</v>
      </c>
      <c r="F42">
        <f>F$2</f>
        <v>0.97299999999999998</v>
      </c>
      <c r="G42" s="60">
        <f>E42*12*F42</f>
        <v>15178.8</v>
      </c>
      <c r="H42">
        <v>149</v>
      </c>
      <c r="I42" s="61">
        <v>0.56710000000000005</v>
      </c>
      <c r="J42">
        <v>126</v>
      </c>
      <c r="K42">
        <v>188</v>
      </c>
      <c r="L42">
        <f>K42-J42</f>
        <v>62</v>
      </c>
      <c r="M42">
        <f>H42-J42</f>
        <v>23</v>
      </c>
      <c r="N42" s="62">
        <f>0.8*M42/L42+0.1</f>
        <v>0.39677419354838717</v>
      </c>
      <c r="O42" s="61">
        <v>0.56710000000000005</v>
      </c>
      <c r="P42" s="63">
        <v>100</v>
      </c>
      <c r="Q42" s="64">
        <f>0.1+0.8*(P42-J42)/(K42-J42)</f>
        <v>-0.23548387096774195</v>
      </c>
      <c r="R42" s="64">
        <f>$Q$2*Q42+$R$2</f>
        <v>1.0371907002971246</v>
      </c>
      <c r="S42" s="63">
        <f>365*P42*R42</f>
        <v>37857.460560845044</v>
      </c>
      <c r="T42" s="65">
        <f>S42*(1-$T$1)</f>
        <v>26500.222392591528</v>
      </c>
      <c r="U42" s="60">
        <f>J42</f>
        <v>126</v>
      </c>
      <c r="V42" s="63">
        <f>1.25*L42</f>
        <v>77.5</v>
      </c>
      <c r="W42" s="63">
        <f>J42-L42/8</f>
        <v>118.25</v>
      </c>
      <c r="X42">
        <f>1.25*L42/(2*$Q$2)</f>
        <v>-48.942356184926325</v>
      </c>
      <c r="Y42" s="63">
        <f>(($Q$2*W42)/V42-$R$2)*X42</f>
        <v>100.76255668563506</v>
      </c>
      <c r="Z42" s="63">
        <f>IF(Y42&gt;U42,Y42,U42)</f>
        <v>126</v>
      </c>
      <c r="AA42" s="64">
        <f>(Z42-W42)/V42</f>
        <v>0.1</v>
      </c>
      <c r="AB42" s="64">
        <f>$Q$2*AA42+$R$2</f>
        <v>0.77157210296437406</v>
      </c>
      <c r="AC42" s="63">
        <f>Z42*AB42*365</f>
        <v>35484.601015331558</v>
      </c>
      <c r="AD42" s="65">
        <f>AC42*(1-$T$1)</f>
        <v>24839.22071073209</v>
      </c>
      <c r="AE42" s="63">
        <f>G42</f>
        <v>15178.8</v>
      </c>
      <c r="AF42" s="63">
        <f>AD42-AE42</f>
        <v>9660.4207107320908</v>
      </c>
      <c r="AH42" s="66">
        <f>AB42*(365/$AG$23)*$AG$21</f>
        <v>9387.4605860665506</v>
      </c>
      <c r="AI42" s="66">
        <f>-$AG$7-$AG$13-AH42</f>
        <v>-42987.460586066547</v>
      </c>
      <c r="AJ42" s="66">
        <f>-$AG$13-AH42-$AG$18</f>
        <v>-18987.460586066551</v>
      </c>
      <c r="AK42" s="67">
        <f>-($AG$7/$AG$9)-$AG$13-AH42</f>
        <v>-18987.460586066551</v>
      </c>
      <c r="AL42" s="67">
        <f>-($AG$7/$AG$9)-$AG$13-AH42-$AG$18</f>
        <v>-24987.460586066551</v>
      </c>
      <c r="AM42" s="68">
        <f>AF42+AI42</f>
        <v>-33327.039875334456</v>
      </c>
      <c r="AN42" s="68">
        <f>AF42+AJ42</f>
        <v>-9327.0398753344598</v>
      </c>
      <c r="AO42" s="68">
        <f>AF42+AK42</f>
        <v>-9327.0398753344598</v>
      </c>
      <c r="AP42" s="68">
        <f>AF42+AL42</f>
        <v>-15327.03987533446</v>
      </c>
    </row>
    <row r="43" spans="1:42">
      <c r="A43" t="s">
        <v>150</v>
      </c>
      <c r="B43" t="s">
        <v>149</v>
      </c>
      <c r="C43" t="s">
        <v>98</v>
      </c>
      <c r="D43">
        <v>2</v>
      </c>
      <c r="E43">
        <v>1700</v>
      </c>
      <c r="F43">
        <f>F$2</f>
        <v>0.97299999999999998</v>
      </c>
      <c r="G43" s="60">
        <f>E43*12*F43</f>
        <v>19849.2</v>
      </c>
      <c r="H43">
        <v>210</v>
      </c>
      <c r="I43" s="61">
        <v>0.32050000000000001</v>
      </c>
      <c r="J43">
        <v>152</v>
      </c>
      <c r="K43">
        <v>247</v>
      </c>
      <c r="L43">
        <f>K43-J43</f>
        <v>95</v>
      </c>
      <c r="M43">
        <f>H43-J43</f>
        <v>58</v>
      </c>
      <c r="N43" s="62">
        <f>0.8*M43/L43+0.1</f>
        <v>0.58842105263157907</v>
      </c>
      <c r="O43" s="61">
        <v>0.32050000000000001</v>
      </c>
      <c r="P43" s="63">
        <v>100</v>
      </c>
      <c r="Q43" s="64">
        <f>0.1+0.8*(P43-J43)/(K43-J43)</f>
        <v>-0.33789473684210525</v>
      </c>
      <c r="R43" s="64">
        <f>$Q$2*Q43+$R$2</f>
        <v>1.1182742721144905</v>
      </c>
      <c r="S43" s="63">
        <f>365*P43*R43</f>
        <v>40817.010932178906</v>
      </c>
      <c r="T43" s="65">
        <f>S43*(1-$T$1)</f>
        <v>28571.907652525231</v>
      </c>
      <c r="U43" s="60">
        <f>J43</f>
        <v>152</v>
      </c>
      <c r="V43" s="63">
        <f>1.25*L43</f>
        <v>118.75</v>
      </c>
      <c r="W43" s="63">
        <f>J43-L43/8</f>
        <v>140.125</v>
      </c>
      <c r="X43">
        <f>1.25*L43/(2*$Q$2)</f>
        <v>-74.992319960774211</v>
      </c>
      <c r="Y43" s="63">
        <f>(($Q$2*W43)/V43-$R$2)*X43</f>
        <v>133.86198201831175</v>
      </c>
      <c r="Z43" s="63">
        <f>IF(Y43&gt;U43,Y43,U43)</f>
        <v>152</v>
      </c>
      <c r="AA43" s="64">
        <f>(Z43-W43)/V43</f>
        <v>0.1</v>
      </c>
      <c r="AB43" s="64">
        <f>$Q$2*AA43+$R$2</f>
        <v>0.77157210296437406</v>
      </c>
      <c r="AC43" s="63">
        <f>Z43*AB43*365</f>
        <v>42806.820272463468</v>
      </c>
      <c r="AD43" s="65">
        <f>AC43*(1-$T$1)</f>
        <v>29964.774190724427</v>
      </c>
      <c r="AE43" s="63">
        <f>G43</f>
        <v>19849.2</v>
      </c>
      <c r="AF43" s="63">
        <f>AD43-AE43</f>
        <v>10115.574190724426</v>
      </c>
      <c r="AH43" s="66">
        <f>AB43*(365/$AG$23)*$AG$21</f>
        <v>9387.4605860665506</v>
      </c>
      <c r="AI43" s="66">
        <f>-$AG$7-$AG$13-AH43</f>
        <v>-42987.460586066547</v>
      </c>
      <c r="AJ43" s="66">
        <f>-$AG$13-AH43-$AG$18</f>
        <v>-18987.460586066551</v>
      </c>
      <c r="AK43" s="67">
        <f>-($AG$7/$AG$9)-$AG$13-AH43</f>
        <v>-18987.460586066551</v>
      </c>
      <c r="AL43" s="67">
        <f>-($AG$7/$AG$9)-$AG$13-AH43-$AG$18</f>
        <v>-24987.460586066551</v>
      </c>
      <c r="AM43" s="68">
        <f>AF43+AI43</f>
        <v>-32871.886395342124</v>
      </c>
      <c r="AN43" s="68">
        <f>AF43+AJ43</f>
        <v>-8871.8863953421242</v>
      </c>
      <c r="AO43" s="68">
        <f>AF43+AK43</f>
        <v>-8871.8863953421242</v>
      </c>
      <c r="AP43" s="68">
        <f>AF43+AL43</f>
        <v>-14871.886395342124</v>
      </c>
    </row>
    <row r="44" spans="1:42">
      <c r="A44" t="s">
        <v>151</v>
      </c>
      <c r="B44" t="s">
        <v>149</v>
      </c>
      <c r="C44" t="s">
        <v>107</v>
      </c>
      <c r="D44">
        <v>1</v>
      </c>
      <c r="E44">
        <v>1200</v>
      </c>
      <c r="F44">
        <f>F$2</f>
        <v>0.97299999999999998</v>
      </c>
      <c r="G44" s="60">
        <f>E44*12*F44</f>
        <v>14011.199999999999</v>
      </c>
      <c r="H44">
        <v>187</v>
      </c>
      <c r="I44" s="61">
        <v>0.44929999999999998</v>
      </c>
      <c r="J44">
        <v>141</v>
      </c>
      <c r="K44">
        <v>263</v>
      </c>
      <c r="L44">
        <f>K44-J44</f>
        <v>122</v>
      </c>
      <c r="M44">
        <f>H44-J44</f>
        <v>46</v>
      </c>
      <c r="N44" s="62">
        <f>0.8*M44/L44+0.1</f>
        <v>0.40163934426229508</v>
      </c>
      <c r="O44" s="61">
        <v>0.44929999999999998</v>
      </c>
      <c r="P44" s="63">
        <v>100</v>
      </c>
      <c r="Q44" s="64">
        <f>0.1+0.8*(P44-J44)/(K44-J44)</f>
        <v>-0.16885245901639348</v>
      </c>
      <c r="R44" s="64">
        <f>$Q$2*Q44+$R$2</f>
        <v>0.98443543033507142</v>
      </c>
      <c r="S44" s="63">
        <f>365*P44*R44</f>
        <v>35931.893207230103</v>
      </c>
      <c r="T44" s="65">
        <f>S44*(1-$T$1)</f>
        <v>25152.325245061071</v>
      </c>
      <c r="U44" s="60">
        <f>J44</f>
        <v>141</v>
      </c>
      <c r="V44" s="63">
        <f>1.25*L44</f>
        <v>152.5</v>
      </c>
      <c r="W44" s="63">
        <f>J44-L44/8</f>
        <v>125.75</v>
      </c>
      <c r="X44">
        <f>1.25*L44/(2*$Q$2)</f>
        <v>-96.305926686467927</v>
      </c>
      <c r="Y44" s="63">
        <f>(($Q$2*W44)/V44-$R$2)*X44</f>
        <v>144.80696638141089</v>
      </c>
      <c r="Z44" s="63">
        <f>IF(Y44&gt;U44,Y44,U44)</f>
        <v>144.80696638141089</v>
      </c>
      <c r="AA44" s="64">
        <f>(Z44-W44)/V44</f>
        <v>0.12496371397646484</v>
      </c>
      <c r="AB44" s="64">
        <f>$Q$2*AA44+$R$2</f>
        <v>0.75180713879033734</v>
      </c>
      <c r="AC44" s="63">
        <f>Z44*AB44*365</f>
        <v>39736.42254132274</v>
      </c>
      <c r="AD44" s="65">
        <f>AC44*(1-$T$1)</f>
        <v>27815.495778925917</v>
      </c>
      <c r="AE44" s="63">
        <f>G44</f>
        <v>14011.199999999999</v>
      </c>
      <c r="AF44" s="63">
        <f>AD44-AE44</f>
        <v>13804.295778925918</v>
      </c>
      <c r="AH44" s="66">
        <f>AB44*(365/$AG$23)*$AG$21</f>
        <v>9146.9868552824373</v>
      </c>
      <c r="AI44" s="66">
        <f>-$AG$7-$AG$13-AH44</f>
        <v>-42746.986855282434</v>
      </c>
      <c r="AJ44" s="66">
        <f>-$AG$13-AH44-$AG$18</f>
        <v>-18746.986855282437</v>
      </c>
      <c r="AK44" s="67">
        <f>-($AG$7/$AG$9)-$AG$13-AH44</f>
        <v>-18746.986855282437</v>
      </c>
      <c r="AL44" s="67">
        <f>-($AG$7/$AG$9)-$AG$13-AH44-$AG$18</f>
        <v>-24746.986855282437</v>
      </c>
      <c r="AM44" s="68">
        <f>AF44+AI44</f>
        <v>-28942.691076356517</v>
      </c>
      <c r="AN44" s="68">
        <f>AF44+AJ44</f>
        <v>-4942.6910763565193</v>
      </c>
      <c r="AO44" s="68">
        <f>AF44+AK44</f>
        <v>-4942.6910763565193</v>
      </c>
      <c r="AP44" s="68">
        <f>AF44+AL44</f>
        <v>-10942.691076356519</v>
      </c>
    </row>
    <row r="45" spans="1:42">
      <c r="A45" t="s">
        <v>152</v>
      </c>
      <c r="B45" t="s">
        <v>149</v>
      </c>
      <c r="C45" t="s">
        <v>107</v>
      </c>
      <c r="D45">
        <v>2</v>
      </c>
      <c r="E45">
        <v>1900</v>
      </c>
      <c r="F45">
        <f>F$2</f>
        <v>0.97299999999999998</v>
      </c>
      <c r="G45" s="60">
        <f>E45*12*F45</f>
        <v>22184.399999999998</v>
      </c>
      <c r="H45">
        <v>225</v>
      </c>
      <c r="I45" s="61">
        <v>0.50960000000000005</v>
      </c>
      <c r="J45">
        <v>157</v>
      </c>
      <c r="K45">
        <v>314</v>
      </c>
      <c r="L45">
        <f>K45-J45</f>
        <v>157</v>
      </c>
      <c r="M45">
        <f>H45-J45</f>
        <v>68</v>
      </c>
      <c r="N45" s="62">
        <f>0.8*M45/L45+0.1</f>
        <v>0.44649681528662422</v>
      </c>
      <c r="O45" s="61">
        <v>0.50960000000000005</v>
      </c>
      <c r="P45" s="63">
        <v>100</v>
      </c>
      <c r="Q45" s="64">
        <f>0.1+0.8*(P45-J45)/(K45-J45)</f>
        <v>-0.19044585987261145</v>
      </c>
      <c r="R45" s="64">
        <f>$Q$2*Q45+$R$2</f>
        <v>1.0015319567061527</v>
      </c>
      <c r="S45" s="63">
        <f>365*P45*R45</f>
        <v>36555.91641977457</v>
      </c>
      <c r="T45" s="65">
        <f>S45*(1-$T$1)</f>
        <v>25589.141493842199</v>
      </c>
      <c r="U45" s="60">
        <f>J45</f>
        <v>157</v>
      </c>
      <c r="V45" s="63">
        <f>1.25*L45</f>
        <v>196.25</v>
      </c>
      <c r="W45" s="63">
        <f>J45-L45/8</f>
        <v>137.375</v>
      </c>
      <c r="X45">
        <f>1.25*L45/(2*$Q$2)</f>
        <v>-123.93467614570052</v>
      </c>
      <c r="Y45" s="63">
        <f>(($Q$2*W45)/V45-$R$2)*X45</f>
        <v>174.1245387039468</v>
      </c>
      <c r="Z45" s="63">
        <f>IF(Y45&gt;U45,Y45,U45)</f>
        <v>174.1245387039468</v>
      </c>
      <c r="AA45" s="64">
        <f>(Z45-W45)/V45</f>
        <v>0.18725879594367795</v>
      </c>
      <c r="AB45" s="64">
        <f>$Q$2*AA45+$R$2</f>
        <v>0.70248514830200504</v>
      </c>
      <c r="AC45" s="63">
        <f>Z45*AB45*365</f>
        <v>44646.764373978003</v>
      </c>
      <c r="AD45" s="65">
        <f>AC45*(1-$T$1)</f>
        <v>31252.735061784599</v>
      </c>
      <c r="AE45" s="63">
        <f>G45</f>
        <v>22184.399999999998</v>
      </c>
      <c r="AF45" s="63">
        <f>AD45-AE45</f>
        <v>9068.3350617846008</v>
      </c>
      <c r="AH45" s="66">
        <f>AB45*(365/$AG$23)*$AG$21</f>
        <v>8546.902637674395</v>
      </c>
      <c r="AI45" s="66">
        <f>-$AG$7-$AG$13-AH45</f>
        <v>-42146.902637674393</v>
      </c>
      <c r="AJ45" s="66">
        <f>-$AG$13-AH45-$AG$18</f>
        <v>-18146.902637674393</v>
      </c>
      <c r="AK45" s="67">
        <f>-($AG$7/$AG$9)-$AG$13-AH45</f>
        <v>-18146.902637674393</v>
      </c>
      <c r="AL45" s="67">
        <f>-($AG$7/$AG$9)-$AG$13-AH45-$AG$18</f>
        <v>-24146.902637674393</v>
      </c>
      <c r="AM45" s="68">
        <f>AF45+AI45</f>
        <v>-33078.567575889792</v>
      </c>
      <c r="AN45" s="68">
        <f>AF45+AJ45</f>
        <v>-9078.5675758897924</v>
      </c>
      <c r="AO45" s="68">
        <f>AF45+AK45</f>
        <v>-9078.5675758897924</v>
      </c>
      <c r="AP45" s="68">
        <f>AF45+AL45</f>
        <v>-15078.567575889792</v>
      </c>
    </row>
    <row r="46" spans="1:42">
      <c r="A46" t="s">
        <v>153</v>
      </c>
      <c r="B46" t="s">
        <v>154</v>
      </c>
      <c r="C46" t="s">
        <v>98</v>
      </c>
      <c r="D46">
        <v>1</v>
      </c>
      <c r="E46">
        <v>1000</v>
      </c>
      <c r="F46">
        <f>F$2</f>
        <v>0.97299999999999998</v>
      </c>
      <c r="G46" s="60">
        <f>E46*12*F46</f>
        <v>11676</v>
      </c>
      <c r="H46">
        <v>123</v>
      </c>
      <c r="I46" s="61">
        <v>0.72050000000000003</v>
      </c>
      <c r="J46">
        <v>93</v>
      </c>
      <c r="K46">
        <v>159</v>
      </c>
      <c r="L46">
        <f>K46-J46</f>
        <v>66</v>
      </c>
      <c r="M46">
        <f>H46-J46</f>
        <v>30</v>
      </c>
      <c r="N46" s="62">
        <f>0.8*M46/L46+0.1</f>
        <v>0.46363636363636362</v>
      </c>
      <c r="O46" s="61">
        <v>0.72050000000000003</v>
      </c>
      <c r="P46" s="63">
        <v>100</v>
      </c>
      <c r="Q46" s="64">
        <f>0.1+0.8*(P46-J46)/(K46-J46)</f>
        <v>0.18484848484848487</v>
      </c>
      <c r="R46" s="64">
        <f>$Q$2*Q46+$R$2</f>
        <v>0.70439350666926104</v>
      </c>
      <c r="S46" s="63">
        <f>365*P46*R46</f>
        <v>25710.362993428029</v>
      </c>
      <c r="T46" s="65">
        <f>S46*(1-$T$1)</f>
        <v>17997.254095399618</v>
      </c>
      <c r="U46" s="60">
        <f>J46</f>
        <v>93</v>
      </c>
      <c r="V46" s="63">
        <f>1.25*L46</f>
        <v>82.5</v>
      </c>
      <c r="W46" s="63">
        <f>J46-L46/8</f>
        <v>84.75</v>
      </c>
      <c r="X46">
        <f>1.25*L46/(2*$Q$2)</f>
        <v>-52.099927551695764</v>
      </c>
      <c r="Y46" s="63">
        <f>(($Q$2*W46)/V46-$R$2)*X46</f>
        <v>86.698850665353419</v>
      </c>
      <c r="Z46" s="63">
        <f>IF(Y46&gt;U46,Y46,U46)</f>
        <v>93</v>
      </c>
      <c r="AA46" s="64">
        <f>(Z46-W46)/V46</f>
        <v>0.1</v>
      </c>
      <c r="AB46" s="64">
        <f>$Q$2*AA46+$R$2</f>
        <v>0.77157210296437406</v>
      </c>
      <c r="AC46" s="63">
        <f>Z46*AB46*365</f>
        <v>26191.015035125678</v>
      </c>
      <c r="AD46" s="65">
        <f>AC46*(1-$T$1)</f>
        <v>18333.710524587972</v>
      </c>
      <c r="AE46" s="63">
        <f>G46</f>
        <v>11676</v>
      </c>
      <c r="AF46" s="63">
        <f>AD46-AE46</f>
        <v>6657.710524587972</v>
      </c>
      <c r="AH46" s="66">
        <f>AB46*(365/$AG$23)*$AG$21</f>
        <v>9387.4605860665506</v>
      </c>
      <c r="AI46" s="66">
        <f>-$AG$7-$AG$13-AH46</f>
        <v>-42987.460586066547</v>
      </c>
      <c r="AJ46" s="66">
        <f>-$AG$13-AH46-$AG$18</f>
        <v>-18987.460586066551</v>
      </c>
      <c r="AK46" s="67">
        <f>-($AG$7/$AG$9)-$AG$13-AH46</f>
        <v>-18987.460586066551</v>
      </c>
      <c r="AL46" s="67">
        <f>-($AG$7/$AG$9)-$AG$13-AH46-$AG$18</f>
        <v>-24987.460586066551</v>
      </c>
      <c r="AM46" s="68">
        <f>AF46+AI46</f>
        <v>-36329.750061478575</v>
      </c>
      <c r="AN46" s="68">
        <f>AF46+AJ46</f>
        <v>-12329.750061478579</v>
      </c>
      <c r="AO46" s="68">
        <f>AF46+AK46</f>
        <v>-12329.750061478579</v>
      </c>
      <c r="AP46" s="68">
        <f>AF46+AL46</f>
        <v>-18329.750061478579</v>
      </c>
    </row>
    <row r="47" spans="1:42">
      <c r="A47" t="s">
        <v>155</v>
      </c>
      <c r="B47" t="s">
        <v>154</v>
      </c>
      <c r="C47" t="s">
        <v>98</v>
      </c>
      <c r="D47">
        <v>2</v>
      </c>
      <c r="E47">
        <v>1500</v>
      </c>
      <c r="F47">
        <f>F$2</f>
        <v>0.97299999999999998</v>
      </c>
      <c r="G47" s="60">
        <f>E47*12*F47</f>
        <v>17514</v>
      </c>
      <c r="H47">
        <v>263</v>
      </c>
      <c r="I47" s="61">
        <v>0.49590000000000001</v>
      </c>
      <c r="J47">
        <v>145</v>
      </c>
      <c r="K47">
        <v>462</v>
      </c>
      <c r="L47">
        <f>K47-J47</f>
        <v>317</v>
      </c>
      <c r="M47">
        <f>H47-J47</f>
        <v>118</v>
      </c>
      <c r="N47" s="62">
        <f>0.8*M47/L47+0.1</f>
        <v>0.39779179810725551</v>
      </c>
      <c r="O47" s="61">
        <v>0.49590000000000001</v>
      </c>
      <c r="P47" s="63">
        <v>100</v>
      </c>
      <c r="Q47" s="64">
        <f>0.1+0.8*(P47-J47)/(K47-J47)</f>
        <v>-1.3564668769716084E-2</v>
      </c>
      <c r="R47" s="64">
        <f>$Q$2*Q47+$R$2</f>
        <v>0.86148667303940119</v>
      </c>
      <c r="S47" s="63">
        <f>365*P47*R47</f>
        <v>31444.263565938145</v>
      </c>
      <c r="T47" s="65">
        <f>S47*(1-$T$1)</f>
        <v>22010.9844961567</v>
      </c>
      <c r="U47" s="60">
        <f>J47</f>
        <v>145</v>
      </c>
      <c r="V47" s="63">
        <f>1.25*L47</f>
        <v>396.25</v>
      </c>
      <c r="W47" s="63">
        <f>J47-L47/8</f>
        <v>105.375</v>
      </c>
      <c r="X47">
        <f>1.25*L47/(2*$Q$2)</f>
        <v>-250.23753081647814</v>
      </c>
      <c r="Y47" s="63">
        <f>(($Q$2*W47)/V47-$R$2)*X47</f>
        <v>265.57629789268236</v>
      </c>
      <c r="Z47" s="63">
        <f>IF(Y47&gt;U47,Y47,U47)</f>
        <v>265.57629789268236</v>
      </c>
      <c r="AA47" s="64">
        <f>(Z47-W47)/V47</f>
        <v>0.4042934962591353</v>
      </c>
      <c r="AB47" s="64">
        <f>$Q$2*AA47+$R$2</f>
        <v>0.53064841438084198</v>
      </c>
      <c r="AC47" s="63">
        <f>Z47*AB47*365</f>
        <v>51438.589101468409</v>
      </c>
      <c r="AD47" s="65">
        <f>AC47*(1-$T$1)</f>
        <v>36007.012371027886</v>
      </c>
      <c r="AE47" s="63">
        <f>G47</f>
        <v>17514</v>
      </c>
      <c r="AF47" s="63">
        <f>AD47-AE47</f>
        <v>18493.012371027886</v>
      </c>
      <c r="AH47" s="66">
        <f>AB47*(365/$AG$23)*$AG$21</f>
        <v>6456.222374966912</v>
      </c>
      <c r="AI47" s="66">
        <f>-$AG$7-$AG$13-AH47</f>
        <v>-40056.222374966914</v>
      </c>
      <c r="AJ47" s="66">
        <f>-$AG$13-AH47-$AG$18</f>
        <v>-16056.222374966912</v>
      </c>
      <c r="AK47" s="67">
        <f>-($AG$7/$AG$9)-$AG$13-AH47</f>
        <v>-16056.222374966912</v>
      </c>
      <c r="AL47" s="67">
        <f>-($AG$7/$AG$9)-$AG$13-AH47-$AG$18</f>
        <v>-22056.222374966914</v>
      </c>
      <c r="AM47" s="68">
        <f>AF47+AI47</f>
        <v>-21563.210003939028</v>
      </c>
      <c r="AN47" s="68">
        <f>AF47+AJ47</f>
        <v>2436.7899960609739</v>
      </c>
      <c r="AO47" s="68">
        <f>AF47+AK47</f>
        <v>2436.7899960609739</v>
      </c>
      <c r="AP47" s="68">
        <f>AF47+AL47</f>
        <v>-3563.210003939028</v>
      </c>
    </row>
    <row r="48" spans="1:42">
      <c r="A48" t="s">
        <v>156</v>
      </c>
      <c r="B48" t="s">
        <v>154</v>
      </c>
      <c r="C48" t="s">
        <v>107</v>
      </c>
      <c r="D48">
        <v>1</v>
      </c>
      <c r="E48">
        <v>1300</v>
      </c>
      <c r="F48">
        <f>F$2</f>
        <v>0.97299999999999998</v>
      </c>
      <c r="G48" s="60">
        <f>E48*12*F48</f>
        <v>15178.8</v>
      </c>
      <c r="H48">
        <v>238</v>
      </c>
      <c r="I48" s="61">
        <v>0.44929999999999998</v>
      </c>
      <c r="J48">
        <v>181</v>
      </c>
      <c r="K48">
        <v>316</v>
      </c>
      <c r="L48">
        <f>K48-J48</f>
        <v>135</v>
      </c>
      <c r="M48">
        <f>H48-J48</f>
        <v>57</v>
      </c>
      <c r="N48" s="62">
        <f>0.8*M48/L48+0.1</f>
        <v>0.43777777777777782</v>
      </c>
      <c r="O48" s="61">
        <v>0.44929999999999998</v>
      </c>
      <c r="P48" s="63">
        <v>100</v>
      </c>
      <c r="Q48" s="64">
        <f>0.1+0.8*(P48-J48)/(K48-J48)</f>
        <v>-0.38</v>
      </c>
      <c r="R48" s="64">
        <f>$Q$2*Q48+$R$2</f>
        <v>1.1516110191481557</v>
      </c>
      <c r="S48" s="63">
        <f>365*P48*R48</f>
        <v>42033.802198907681</v>
      </c>
      <c r="T48" s="65">
        <f>S48*(1-$T$1)</f>
        <v>29423.661539235374</v>
      </c>
      <c r="U48" s="60">
        <f>J48</f>
        <v>181</v>
      </c>
      <c r="V48" s="63">
        <f>1.25*L48</f>
        <v>168.75</v>
      </c>
      <c r="W48" s="63">
        <f>J48-L48/8</f>
        <v>164.125</v>
      </c>
      <c r="X48">
        <f>1.25*L48/(2*$Q$2)</f>
        <v>-106.56803362846861</v>
      </c>
      <c r="Y48" s="63">
        <f>(($Q$2*W48)/V48-$R$2)*X48</f>
        <v>172.72492181549566</v>
      </c>
      <c r="Z48" s="63">
        <f>IF(Y48&gt;U48,Y48,U48)</f>
        <v>181</v>
      </c>
      <c r="AA48" s="64">
        <f>(Z48-W48)/V48</f>
        <v>0.1</v>
      </c>
      <c r="AB48" s="64">
        <f>$Q$2*AA48+$R$2</f>
        <v>0.77157210296437406</v>
      </c>
      <c r="AC48" s="63">
        <f>Z48*AB48*365</f>
        <v>50973.910982341375</v>
      </c>
      <c r="AD48" s="65">
        <f>AC48*(1-$T$1)</f>
        <v>35681.737687638961</v>
      </c>
      <c r="AE48" s="63">
        <f>G48</f>
        <v>15178.8</v>
      </c>
      <c r="AF48" s="63">
        <f>AD48-AE48</f>
        <v>20502.937687638962</v>
      </c>
      <c r="AH48" s="66">
        <f>AB48*(365/$AG$23)*$AG$21</f>
        <v>9387.4605860665506</v>
      </c>
      <c r="AI48" s="66">
        <f>-$AG$7-$AG$13-AH48</f>
        <v>-42987.460586066547</v>
      </c>
      <c r="AJ48" s="66">
        <f>-$AG$13-AH48-$AG$18</f>
        <v>-18987.460586066551</v>
      </c>
      <c r="AK48" s="67">
        <f>-($AG$7/$AG$9)-$AG$13-AH48</f>
        <v>-18987.460586066551</v>
      </c>
      <c r="AL48" s="67">
        <f>-($AG$7/$AG$9)-$AG$13-AH48-$AG$18</f>
        <v>-24987.460586066551</v>
      </c>
      <c r="AM48" s="68">
        <f>AF48+AI48</f>
        <v>-22484.522898427585</v>
      </c>
      <c r="AN48" s="68">
        <f>AF48+AJ48</f>
        <v>1515.4771015724109</v>
      </c>
      <c r="AO48" s="68">
        <f>AF48+AK48</f>
        <v>1515.4771015724109</v>
      </c>
      <c r="AP48" s="68">
        <f>AF48+AL48</f>
        <v>-4484.5228984275891</v>
      </c>
    </row>
    <row r="49" spans="1:42">
      <c r="A49" t="s">
        <v>157</v>
      </c>
      <c r="B49" t="s">
        <v>144</v>
      </c>
      <c r="C49" t="s">
        <v>107</v>
      </c>
      <c r="D49">
        <v>1</v>
      </c>
      <c r="E49">
        <v>850</v>
      </c>
      <c r="F49">
        <f>F$2</f>
        <v>0.97299999999999998</v>
      </c>
      <c r="G49" s="60">
        <f>E49*12*F49</f>
        <v>9924.6</v>
      </c>
      <c r="H49">
        <v>146</v>
      </c>
      <c r="I49" s="61">
        <v>0.53149999999999997</v>
      </c>
      <c r="J49">
        <v>96</v>
      </c>
      <c r="K49">
        <v>245</v>
      </c>
      <c r="L49">
        <f>K49-J49</f>
        <v>149</v>
      </c>
      <c r="M49">
        <f>H49-J49</f>
        <v>50</v>
      </c>
      <c r="N49" s="62">
        <f>0.8*M49/L49+0.1</f>
        <v>0.36845637583892621</v>
      </c>
      <c r="O49" s="61">
        <v>0.53149999999999997</v>
      </c>
      <c r="P49" s="63">
        <v>100</v>
      </c>
      <c r="Q49" s="64">
        <f>0.1+0.8*(P49-J49)/(K49-J49)</f>
        <v>0.1214765100671141</v>
      </c>
      <c r="R49" s="64">
        <f>$Q$2*Q49+$R$2</f>
        <v>0.75456812461163214</v>
      </c>
      <c r="S49" s="63">
        <f>365*P49*R49</f>
        <v>27541.736548324574</v>
      </c>
      <c r="T49" s="65">
        <f>S49*(1-$T$1)</f>
        <v>19279.215583827201</v>
      </c>
      <c r="U49" s="60">
        <f>J49</f>
        <v>96</v>
      </c>
      <c r="V49" s="63">
        <f>1.25*L49</f>
        <v>186.25</v>
      </c>
      <c r="W49" s="63">
        <f>J49-L49/8</f>
        <v>77.375</v>
      </c>
      <c r="X49">
        <f>1.25*L49/(2*$Q$2)</f>
        <v>-117.61953341216164</v>
      </c>
      <c r="Y49" s="63">
        <f>(($Q$2*W49)/V49-$R$2)*X49</f>
        <v>138.75195074451</v>
      </c>
      <c r="Z49" s="63">
        <f>IF(Y49&gt;U49,Y49,U49)</f>
        <v>138.75195074451</v>
      </c>
      <c r="AA49" s="64">
        <f>(Z49-W49)/V49</f>
        <v>0.3295406751383087</v>
      </c>
      <c r="AB49" s="64">
        <f>$Q$2*AA49+$R$2</f>
        <v>0.58983379171508998</v>
      </c>
      <c r="AC49" s="63">
        <f>Z49*AB49*365</f>
        <v>29871.815063657403</v>
      </c>
      <c r="AD49" s="65">
        <f>AC49*(1-$T$1)</f>
        <v>20910.270544560182</v>
      </c>
      <c r="AE49" s="63">
        <f>G49</f>
        <v>9924.6</v>
      </c>
      <c r="AF49" s="63">
        <f>AD49-AE49</f>
        <v>10985.670544560182</v>
      </c>
      <c r="AH49" s="66">
        <f>AB49*(365/$AG$23)*$AG$21</f>
        <v>7176.3111325335958</v>
      </c>
      <c r="AI49" s="66">
        <f>-$AG$7-$AG$13-AH49</f>
        <v>-40776.311132533592</v>
      </c>
      <c r="AJ49" s="66">
        <f>-$AG$13-AH49-$AG$18</f>
        <v>-16776.311132533596</v>
      </c>
      <c r="AK49" s="67">
        <f>-($AG$7/$AG$9)-$AG$13-AH49</f>
        <v>-16776.311132533596</v>
      </c>
      <c r="AL49" s="67">
        <f>-($AG$7/$AG$9)-$AG$13-AH49-$AG$18</f>
        <v>-22776.311132533596</v>
      </c>
      <c r="AM49" s="68">
        <f>AF49+AI49</f>
        <v>-29790.640587973408</v>
      </c>
      <c r="AN49" s="68">
        <f>AF49+AJ49</f>
        <v>-5790.6405879734139</v>
      </c>
      <c r="AO49" s="68">
        <f>AF49+AK49</f>
        <v>-5790.6405879734139</v>
      </c>
      <c r="AP49" s="68">
        <f>AF49+AL49</f>
        <v>-11790.640587973414</v>
      </c>
    </row>
    <row r="50" spans="1:42">
      <c r="A50" t="s">
        <v>158</v>
      </c>
      <c r="B50" t="s">
        <v>154</v>
      </c>
      <c r="C50" t="s">
        <v>107</v>
      </c>
      <c r="D50">
        <v>2</v>
      </c>
      <c r="E50">
        <v>1800</v>
      </c>
      <c r="F50">
        <f>F$2</f>
        <v>0.97299999999999998</v>
      </c>
      <c r="G50" s="60">
        <f>E50*12*F50</f>
        <v>21016.799999999999</v>
      </c>
      <c r="H50">
        <v>349</v>
      </c>
      <c r="I50" s="61">
        <v>0.1507</v>
      </c>
      <c r="J50">
        <v>145</v>
      </c>
      <c r="K50">
        <v>412</v>
      </c>
      <c r="L50">
        <f>K50-J50</f>
        <v>267</v>
      </c>
      <c r="M50">
        <f>H50-J50</f>
        <v>204</v>
      </c>
      <c r="N50" s="62">
        <f>0.8*M50/L50+0.1</f>
        <v>0.71123595505617987</v>
      </c>
      <c r="O50" s="61">
        <v>0.1507</v>
      </c>
      <c r="P50" s="63">
        <v>100</v>
      </c>
      <c r="Q50" s="64">
        <f>0.1+0.8*(P50-J50)/(K50-J50)</f>
        <v>-3.4831460674157294E-2</v>
      </c>
      <c r="R50" s="64">
        <f>$Q$2*Q50+$R$2</f>
        <v>0.87832460751038011</v>
      </c>
      <c r="S50" s="63">
        <f>365*P50*R50</f>
        <v>32058.848174128874</v>
      </c>
      <c r="T50" s="65">
        <f>S50*(1-$T$1)</f>
        <v>22441.193721890209</v>
      </c>
      <c r="U50" s="60">
        <f>J50</f>
        <v>145</v>
      </c>
      <c r="V50" s="63">
        <f>1.25*L50</f>
        <v>333.75</v>
      </c>
      <c r="W50" s="63">
        <f>J50-L50/8</f>
        <v>111.625</v>
      </c>
      <c r="X50">
        <f>1.25*L50/(2*$Q$2)</f>
        <v>-210.76788873186013</v>
      </c>
      <c r="Y50" s="63">
        <f>(($Q$2*W50)/V50-$R$2)*X50</f>
        <v>235.12262314620253</v>
      </c>
      <c r="Z50" s="63">
        <f>IF(Y50&gt;U50,Y50,U50)</f>
        <v>235.12262314620253</v>
      </c>
      <c r="AA50" s="64">
        <f>(Z50-W50)/V50</f>
        <v>0.37003033152420234</v>
      </c>
      <c r="AB50" s="64">
        <f>$Q$2*AA50+$R$2</f>
        <v>0.55777619769519671</v>
      </c>
      <c r="AC50" s="63">
        <f>Z50*AB50*365</f>
        <v>47868.217996672465</v>
      </c>
      <c r="AD50" s="65">
        <f>AC50*(1-$T$1)</f>
        <v>33507.752597670726</v>
      </c>
      <c r="AE50" s="63">
        <f>G50</f>
        <v>21016.799999999999</v>
      </c>
      <c r="AF50" s="63">
        <f>AD50-AE50</f>
        <v>12490.952597670726</v>
      </c>
      <c r="AH50" s="66">
        <f>AB50*(365/$AG$23)*$AG$21</f>
        <v>6786.2770719582277</v>
      </c>
      <c r="AI50" s="66">
        <f>-$AG$7-$AG$13-AH50</f>
        <v>-40386.277071958226</v>
      </c>
      <c r="AJ50" s="66">
        <f>-$AG$13-AH50-$AG$18</f>
        <v>-16386.277071958226</v>
      </c>
      <c r="AK50" s="67">
        <f>-($AG$7/$AG$9)-$AG$13-AH50</f>
        <v>-16386.277071958226</v>
      </c>
      <c r="AL50" s="67">
        <f>-($AG$7/$AG$9)-$AG$13-AH50-$AG$18</f>
        <v>-22386.277071958226</v>
      </c>
      <c r="AM50" s="68">
        <f>AF50+AI50</f>
        <v>-27895.324474287499</v>
      </c>
      <c r="AN50" s="68">
        <f>AF50+AJ50</f>
        <v>-3895.3244742874995</v>
      </c>
      <c r="AO50" s="68">
        <f>AF50+AK50</f>
        <v>-3895.3244742874995</v>
      </c>
      <c r="AP50" s="68">
        <f>AF50+AL50</f>
        <v>-9895.3244742874995</v>
      </c>
    </row>
    <row r="51" spans="1:42">
      <c r="A51" t="s">
        <v>159</v>
      </c>
      <c r="B51" t="s">
        <v>160</v>
      </c>
      <c r="C51" t="s">
        <v>98</v>
      </c>
      <c r="D51">
        <v>1</v>
      </c>
      <c r="E51">
        <v>1100</v>
      </c>
      <c r="F51">
        <f>F$2</f>
        <v>0.97299999999999998</v>
      </c>
      <c r="G51" s="60">
        <f>E51*12*F51</f>
        <v>12843.6</v>
      </c>
      <c r="H51">
        <v>147</v>
      </c>
      <c r="I51" s="61">
        <v>0.6</v>
      </c>
      <c r="J51">
        <v>99</v>
      </c>
      <c r="K51">
        <v>215</v>
      </c>
      <c r="L51">
        <f>K51-J51</f>
        <v>116</v>
      </c>
      <c r="M51">
        <f>H51-J51</f>
        <v>48</v>
      </c>
      <c r="N51" s="62">
        <f>0.8*M51/L51+0.1</f>
        <v>0.43103448275862077</v>
      </c>
      <c r="O51" s="61">
        <v>0.6</v>
      </c>
      <c r="P51" s="63">
        <v>100</v>
      </c>
      <c r="Q51" s="64">
        <f>0.1+0.8*(P51-J51)/(K51-J51)</f>
        <v>0.10689655172413794</v>
      </c>
      <c r="R51" s="64">
        <f>$Q$2*Q51+$R$2</f>
        <v>0.76611177370885986</v>
      </c>
      <c r="S51" s="63">
        <f>365*P51*R51</f>
        <v>27963.079740373385</v>
      </c>
      <c r="T51" s="65">
        <f>S51*(1-$T$1)</f>
        <v>19574.15581826137</v>
      </c>
      <c r="U51" s="60">
        <f>J51</f>
        <v>99</v>
      </c>
      <c r="V51" s="63">
        <f>1.25*L51</f>
        <v>145</v>
      </c>
      <c r="W51" s="63">
        <f>J51-L51/8</f>
        <v>84.5</v>
      </c>
      <c r="X51">
        <f>1.25*L51/(2*$Q$2)</f>
        <v>-91.569569636313759</v>
      </c>
      <c r="Y51" s="63">
        <f>(($Q$2*W51)/V51-$R$2)*X51</f>
        <v>120.1525254118333</v>
      </c>
      <c r="Z51" s="63">
        <f>IF(Y51&gt;U51,Y51,U51)</f>
        <v>120.1525254118333</v>
      </c>
      <c r="AA51" s="64">
        <f>(Z51-W51)/V51</f>
        <v>0.24587948559885031</v>
      </c>
      <c r="AB51" s="64">
        <f>$Q$2*AA51+$R$2</f>
        <v>0.65607234963013517</v>
      </c>
      <c r="AC51" s="63">
        <f>Z51*AB51*365</f>
        <v>28772.493626241638</v>
      </c>
      <c r="AD51" s="65">
        <f>AC51*(1-$T$1)</f>
        <v>20140.745538369145</v>
      </c>
      <c r="AE51" s="63">
        <f>G51</f>
        <v>12843.6</v>
      </c>
      <c r="AF51" s="63">
        <f>AD51-AE51</f>
        <v>7297.1455383691446</v>
      </c>
      <c r="AH51" s="66">
        <f>AB51*(365/$AG$23)*$AG$21</f>
        <v>7982.2135871666451</v>
      </c>
      <c r="AI51" s="66">
        <f>-$AG$7-$AG$13-AH51</f>
        <v>-41582.213587166647</v>
      </c>
      <c r="AJ51" s="66">
        <f>-$AG$13-AH51-$AG$18</f>
        <v>-17582.213587166647</v>
      </c>
      <c r="AK51" s="67">
        <f>-($AG$7/$AG$9)-$AG$13-AH51</f>
        <v>-17582.213587166647</v>
      </c>
      <c r="AL51" s="67">
        <f>-($AG$7/$AG$9)-$AG$13-AH51-$AG$18</f>
        <v>-23582.213587166647</v>
      </c>
      <c r="AM51" s="68">
        <f>AF51+AI51</f>
        <v>-34285.068048797504</v>
      </c>
      <c r="AN51" s="68">
        <f>AF51+AJ51</f>
        <v>-10285.068048797502</v>
      </c>
      <c r="AO51" s="68">
        <f>AF51+AK51</f>
        <v>-10285.068048797502</v>
      </c>
      <c r="AP51" s="68">
        <f>AF51+AL51</f>
        <v>-16285.068048797502</v>
      </c>
    </row>
    <row r="52" spans="1:42">
      <c r="A52" t="s">
        <v>161</v>
      </c>
      <c r="B52" t="s">
        <v>160</v>
      </c>
      <c r="C52" t="s">
        <v>98</v>
      </c>
      <c r="D52">
        <v>2</v>
      </c>
      <c r="E52">
        <v>1400</v>
      </c>
      <c r="F52">
        <f>F$2</f>
        <v>0.97299999999999998</v>
      </c>
      <c r="G52" s="60">
        <f>E52*12*F52</f>
        <v>16346.4</v>
      </c>
      <c r="H52">
        <v>151</v>
      </c>
      <c r="I52" s="61">
        <v>0.52600000000000002</v>
      </c>
      <c r="J52">
        <v>120</v>
      </c>
      <c r="K52">
        <v>188</v>
      </c>
      <c r="L52">
        <f>K52-J52</f>
        <v>68</v>
      </c>
      <c r="M52">
        <f>H52-J52</f>
        <v>31</v>
      </c>
      <c r="N52" s="62">
        <f>0.8*M52/L52+0.1</f>
        <v>0.46470588235294119</v>
      </c>
      <c r="O52" s="61">
        <v>0.52600000000000002</v>
      </c>
      <c r="P52" s="63">
        <v>100</v>
      </c>
      <c r="Q52" s="64">
        <f>0.1+0.8*(P52-J52)/(K52-J52)</f>
        <v>-0.13529411764705881</v>
      </c>
      <c r="R52" s="64">
        <f>$Q$2*Q52+$R$2</f>
        <v>0.95786568932897287</v>
      </c>
      <c r="S52" s="63">
        <f>365*P52*R52</f>
        <v>34962.097660507512</v>
      </c>
      <c r="T52" s="65">
        <f>S52*(1-$T$1)</f>
        <v>24473.468362355256</v>
      </c>
      <c r="U52" s="60">
        <f>J52</f>
        <v>120</v>
      </c>
      <c r="V52" s="63">
        <f>1.25*L52</f>
        <v>85</v>
      </c>
      <c r="W52" s="63">
        <f>J52-L52/8</f>
        <v>111.5</v>
      </c>
      <c r="X52">
        <f>1.25*L52/(2*$Q$2)</f>
        <v>-53.67871323508048</v>
      </c>
      <c r="Y52" s="63">
        <f>(($Q$2*W52)/V52-$R$2)*X52</f>
        <v>101.41699765521263</v>
      </c>
      <c r="Z52" s="63">
        <f>IF(Y52&gt;U52,Y52,U52)</f>
        <v>120</v>
      </c>
      <c r="AA52" s="64">
        <f>(Z52-W52)/V52</f>
        <v>0.1</v>
      </c>
      <c r="AB52" s="64">
        <f>$Q$2*AA52+$R$2</f>
        <v>0.77157210296437406</v>
      </c>
      <c r="AC52" s="63">
        <f>Z52*AB52*365</f>
        <v>33794.858109839588</v>
      </c>
      <c r="AD52" s="65">
        <f>AC52*(1-$T$1)</f>
        <v>23656.400676887712</v>
      </c>
      <c r="AE52" s="63">
        <f>G52</f>
        <v>16346.4</v>
      </c>
      <c r="AF52" s="63">
        <f>AD52-AE52</f>
        <v>7310.000676887712</v>
      </c>
      <c r="AH52" s="66">
        <f>AB52*(365/$AG$23)*$AG$21</f>
        <v>9387.4605860665506</v>
      </c>
      <c r="AI52" s="66">
        <f>-$AG$7-$AG$13-AH52</f>
        <v>-42987.460586066547</v>
      </c>
      <c r="AJ52" s="66">
        <f>-$AG$13-AH52-$AG$18</f>
        <v>-18987.460586066551</v>
      </c>
      <c r="AK52" s="67">
        <f>-($AG$7/$AG$9)-$AG$13-AH52</f>
        <v>-18987.460586066551</v>
      </c>
      <c r="AL52" s="67">
        <f>-($AG$7/$AG$9)-$AG$13-AH52-$AG$18</f>
        <v>-24987.460586066551</v>
      </c>
      <c r="AM52" s="68">
        <f>AF52+AI52</f>
        <v>-35677.459909178833</v>
      </c>
      <c r="AN52" s="68">
        <f>AF52+AJ52</f>
        <v>-11677.459909178839</v>
      </c>
      <c r="AO52" s="68">
        <f>AF52+AK52</f>
        <v>-11677.459909178839</v>
      </c>
      <c r="AP52" s="68">
        <f>AF52+AL52</f>
        <v>-17677.45990917884</v>
      </c>
    </row>
    <row r="53" spans="1:42">
      <c r="A53" t="s">
        <v>162</v>
      </c>
      <c r="B53" t="s">
        <v>160</v>
      </c>
      <c r="C53" t="s">
        <v>107</v>
      </c>
      <c r="D53">
        <v>1</v>
      </c>
      <c r="E53">
        <v>1300</v>
      </c>
      <c r="F53">
        <f>F$2</f>
        <v>0.97299999999999998</v>
      </c>
      <c r="G53" s="60">
        <f>E53*12*F53</f>
        <v>15178.8</v>
      </c>
      <c r="H53">
        <v>429</v>
      </c>
      <c r="I53" s="61">
        <v>0.21099999999999999</v>
      </c>
      <c r="J53">
        <v>263</v>
      </c>
      <c r="K53">
        <v>489</v>
      </c>
      <c r="L53">
        <f>K53-J53</f>
        <v>226</v>
      </c>
      <c r="M53">
        <f>H53-J53</f>
        <v>166</v>
      </c>
      <c r="N53" s="62">
        <f>0.8*M53/L53+0.1</f>
        <v>0.68761061946902657</v>
      </c>
      <c r="O53" s="61">
        <v>0.21099999999999999</v>
      </c>
      <c r="P53" s="63">
        <v>100</v>
      </c>
      <c r="Q53" s="64">
        <f>0.1+0.8*(P53-J53)/(K53-J53)</f>
        <v>-0.47699115044247797</v>
      </c>
      <c r="R53" s="64">
        <f>$Q$2*Q53+$R$2</f>
        <v>1.2284035435097753</v>
      </c>
      <c r="S53" s="63">
        <f>365*P53*R53</f>
        <v>44836.729338106801</v>
      </c>
      <c r="T53" s="65">
        <f>S53*(1-$T$1)</f>
        <v>31385.71053667476</v>
      </c>
      <c r="U53" s="60">
        <f>J53</f>
        <v>263</v>
      </c>
      <c r="V53" s="63">
        <f>1.25*L53</f>
        <v>282.5</v>
      </c>
      <c r="W53" s="63">
        <f>J53-L53/8</f>
        <v>234.75</v>
      </c>
      <c r="X53">
        <f>1.25*L53/(2*$Q$2)</f>
        <v>-178.40278222247338</v>
      </c>
      <c r="Y53" s="63">
        <f>(($Q$2*W53)/V53-$R$2)*X53</f>
        <v>269.15060985408905</v>
      </c>
      <c r="Z53" s="63">
        <f>IF(Y53&gt;U53,Y53,U53)</f>
        <v>269.15060985408905</v>
      </c>
      <c r="AA53" s="64">
        <f>(Z53-W53)/V53</f>
        <v>0.12177207027996126</v>
      </c>
      <c r="AB53" s="64">
        <f>$Q$2*AA53+$R$2</f>
        <v>0.75433411548047069</v>
      </c>
      <c r="AC53" s="63">
        <f>Z53*AB53*365</f>
        <v>74105.762833589441</v>
      </c>
      <c r="AD53" s="65">
        <f>AC53*(1-$T$1)</f>
        <v>51874.033983512607</v>
      </c>
      <c r="AE53" s="63">
        <f>G53</f>
        <v>15178.8</v>
      </c>
      <c r="AF53" s="63">
        <f>AD53-AE53</f>
        <v>36695.233983512604</v>
      </c>
      <c r="AH53" s="66">
        <f>AB53*(365/$AG$23)*$AG$21</f>
        <v>9177.7317383457266</v>
      </c>
      <c r="AI53" s="66">
        <f>-$AG$7-$AG$13-AH53</f>
        <v>-42777.731738345727</v>
      </c>
      <c r="AJ53" s="66">
        <f>-$AG$13-AH53-$AG$18</f>
        <v>-18777.731738345727</v>
      </c>
      <c r="AK53" s="67">
        <f>-($AG$7/$AG$9)-$AG$13-AH53</f>
        <v>-18777.731738345727</v>
      </c>
      <c r="AL53" s="67">
        <f>-($AG$7/$AG$9)-$AG$13-AH53-$AG$18</f>
        <v>-24777.731738345727</v>
      </c>
      <c r="AM53" s="68">
        <f>AF53+AI53</f>
        <v>-6082.4977548331226</v>
      </c>
      <c r="AN53" s="68">
        <f>AF53+AJ53</f>
        <v>17917.502245166877</v>
      </c>
      <c r="AO53" s="68">
        <f>AF53+AK53</f>
        <v>17917.502245166877</v>
      </c>
      <c r="AP53" s="68">
        <f>AF53+AL53</f>
        <v>11917.502245166877</v>
      </c>
    </row>
    <row r="54" spans="1:42">
      <c r="A54" t="s">
        <v>163</v>
      </c>
      <c r="B54" t="s">
        <v>160</v>
      </c>
      <c r="C54" t="s">
        <v>107</v>
      </c>
      <c r="D54">
        <v>2</v>
      </c>
      <c r="E54">
        <v>1900</v>
      </c>
      <c r="F54">
        <f>F$2</f>
        <v>0.97299999999999998</v>
      </c>
      <c r="G54" s="60">
        <f>E54*12*F54</f>
        <v>22184.399999999998</v>
      </c>
      <c r="H54">
        <v>441</v>
      </c>
      <c r="I54" s="61">
        <v>0.33150000000000002</v>
      </c>
      <c r="J54">
        <v>335</v>
      </c>
      <c r="K54">
        <v>502</v>
      </c>
      <c r="L54">
        <f>K54-J54</f>
        <v>167</v>
      </c>
      <c r="M54">
        <f>H54-J54</f>
        <v>106</v>
      </c>
      <c r="N54" s="62">
        <f>0.8*M54/L54+0.1</f>
        <v>0.60778443113772462</v>
      </c>
      <c r="O54" s="61">
        <v>0.33150000000000002</v>
      </c>
      <c r="P54" s="63">
        <v>100</v>
      </c>
      <c r="Q54" s="64">
        <f>0.1+0.8*(P54-J54)/(K54-J54)</f>
        <v>-1.0257485029940119</v>
      </c>
      <c r="R54" s="64">
        <f>$Q$2*Q54+$R$2</f>
        <v>1.6628809383255385</v>
      </c>
      <c r="S54" s="63">
        <f>365*P54*R54</f>
        <v>60695.154248882158</v>
      </c>
      <c r="T54" s="65">
        <f>S54*(1-$T$1)</f>
        <v>42486.607974217506</v>
      </c>
      <c r="U54" s="60">
        <f>J54</f>
        <v>335</v>
      </c>
      <c r="V54" s="63">
        <f>1.25*L54</f>
        <v>208.75</v>
      </c>
      <c r="W54" s="63">
        <f>J54-L54/8</f>
        <v>314.125</v>
      </c>
      <c r="X54">
        <f>1.25*L54/(2*$Q$2)</f>
        <v>-131.82860456262412</v>
      </c>
      <c r="Y54" s="63">
        <f>(($Q$2*W54)/V54-$R$2)*X54</f>
        <v>269.21527365324272</v>
      </c>
      <c r="Z54" s="63">
        <f>IF(Y54&gt;U54,Y54,U54)</f>
        <v>335</v>
      </c>
      <c r="AA54" s="64">
        <f>(Z54-W54)/V54</f>
        <v>0.1</v>
      </c>
      <c r="AB54" s="64">
        <f>$Q$2*AA54+$R$2</f>
        <v>0.77157210296437406</v>
      </c>
      <c r="AC54" s="63">
        <f>Z54*AB54*365</f>
        <v>94343.978889968843</v>
      </c>
      <c r="AD54" s="65">
        <f>AC54*(1-$T$1)</f>
        <v>66040.785222978186</v>
      </c>
      <c r="AE54" s="63">
        <f>G54</f>
        <v>22184.399999999998</v>
      </c>
      <c r="AF54" s="63">
        <f>AD54-AE54</f>
        <v>43856.385222978191</v>
      </c>
      <c r="AH54" s="66">
        <f>AB54*(365/$AG$23)*$AG$21</f>
        <v>9387.4605860665506</v>
      </c>
      <c r="AI54" s="66">
        <f>-$AG$7-$AG$13-AH54</f>
        <v>-42987.460586066547</v>
      </c>
      <c r="AJ54" s="66">
        <f>-$AG$13-AH54-$AG$18</f>
        <v>-18987.460586066551</v>
      </c>
      <c r="AK54" s="67">
        <f>-($AG$7/$AG$9)-$AG$13-AH54</f>
        <v>-18987.460586066551</v>
      </c>
      <c r="AL54" s="67">
        <f>-($AG$7/$AG$9)-$AG$13-AH54-$AG$18</f>
        <v>-24987.460586066551</v>
      </c>
      <c r="AM54" s="68">
        <f>AF54+AI54</f>
        <v>868.92463691164448</v>
      </c>
      <c r="AN54" s="68">
        <f>AF54+AJ54</f>
        <v>24868.924636911641</v>
      </c>
      <c r="AO54" s="68">
        <f>AF54+AK54</f>
        <v>24868.924636911641</v>
      </c>
      <c r="AP54" s="68">
        <f>AF54+AL54</f>
        <v>18868.924636911641</v>
      </c>
    </row>
    <row r="55" spans="1:42">
      <c r="A55" t="s">
        <v>164</v>
      </c>
      <c r="B55" t="s">
        <v>165</v>
      </c>
      <c r="C55" t="s">
        <v>98</v>
      </c>
      <c r="D55">
        <v>1</v>
      </c>
      <c r="E55">
        <v>900</v>
      </c>
      <c r="F55">
        <f>F$2</f>
        <v>0.97299999999999998</v>
      </c>
      <c r="G55" s="60">
        <f>E55*12*F55</f>
        <v>10508.4</v>
      </c>
      <c r="H55">
        <v>144</v>
      </c>
      <c r="I55" s="61">
        <v>0.32879999999999998</v>
      </c>
      <c r="J55">
        <v>98</v>
      </c>
      <c r="K55">
        <v>195</v>
      </c>
      <c r="L55">
        <f>K55-J55</f>
        <v>97</v>
      </c>
      <c r="M55">
        <f>H55-J55</f>
        <v>46</v>
      </c>
      <c r="N55" s="62">
        <f>0.8*M55/L55+0.1</f>
        <v>0.47938144329896915</v>
      </c>
      <c r="O55" s="61">
        <v>0.32879999999999998</v>
      </c>
      <c r="P55" s="63">
        <v>100</v>
      </c>
      <c r="Q55" s="64">
        <f>0.1+0.8*(P55-J55)/(K55-J55)</f>
        <v>0.11649484536082474</v>
      </c>
      <c r="R55" s="64">
        <f>$Q$2*Q55+$R$2</f>
        <v>0.75851234639448462</v>
      </c>
      <c r="S55" s="63">
        <f>365*P55*R55</f>
        <v>27685.70064339869</v>
      </c>
      <c r="T55" s="65">
        <f>S55*(1-$T$1)</f>
        <v>19379.990450379082</v>
      </c>
      <c r="U55" s="60">
        <f>J55</f>
        <v>98</v>
      </c>
      <c r="V55" s="63">
        <f>1.25*L55</f>
        <v>121.25</v>
      </c>
      <c r="W55" s="63">
        <f>J55-L55/8</f>
        <v>85.875</v>
      </c>
      <c r="X55">
        <f>1.25*L55/(2*$Q$2)</f>
        <v>-76.571105644158919</v>
      </c>
      <c r="Y55" s="63">
        <f>(($Q$2*W55)/V55-$R$2)*X55</f>
        <v>108.08012900817094</v>
      </c>
      <c r="Z55" s="63">
        <f>IF(Y55&gt;U55,Y55,U55)</f>
        <v>108.08012900817094</v>
      </c>
      <c r="AA55" s="64">
        <f>(Z55-W55)/V55</f>
        <v>0.18313508460347169</v>
      </c>
      <c r="AB55" s="64">
        <f>$Q$2*AA55+$R$2</f>
        <v>0.70575008744447743</v>
      </c>
      <c r="AC55" s="63">
        <f>Z55*AB55*365</f>
        <v>27841.30958196237</v>
      </c>
      <c r="AD55" s="65">
        <f>AC55*(1-$T$1)</f>
        <v>19488.916707373657</v>
      </c>
      <c r="AE55" s="63">
        <f>G55</f>
        <v>10508.4</v>
      </c>
      <c r="AF55" s="63">
        <f>AD55-AE55</f>
        <v>8980.5167073736575</v>
      </c>
      <c r="AH55" s="66">
        <f>AB55*(365/$AG$23)*$AG$21</f>
        <v>8586.62606390781</v>
      </c>
      <c r="AI55" s="66">
        <f>-$AG$7-$AG$13-AH55</f>
        <v>-42186.62606390781</v>
      </c>
      <c r="AJ55" s="66">
        <f>-$AG$13-AH55-$AG$18</f>
        <v>-18186.62606390781</v>
      </c>
      <c r="AK55" s="67">
        <f>-($AG$7/$AG$9)-$AG$13-AH55</f>
        <v>-18186.62606390781</v>
      </c>
      <c r="AL55" s="67">
        <f>-($AG$7/$AG$9)-$AG$13-AH55-$AG$18</f>
        <v>-24186.62606390781</v>
      </c>
      <c r="AM55" s="68">
        <f>AF55+AI55</f>
        <v>-33206.109356534151</v>
      </c>
      <c r="AN55" s="68">
        <f>AF55+AJ55</f>
        <v>-9206.1093565341525</v>
      </c>
      <c r="AO55" s="68">
        <f>AF55+AK55</f>
        <v>-9206.1093565341525</v>
      </c>
      <c r="AP55" s="68">
        <f>AF55+AL55</f>
        <v>-15206.109356534153</v>
      </c>
    </row>
    <row r="56" spans="1:42">
      <c r="A56" t="s">
        <v>166</v>
      </c>
      <c r="B56" t="s">
        <v>165</v>
      </c>
      <c r="C56" t="s">
        <v>98</v>
      </c>
      <c r="D56">
        <v>2</v>
      </c>
      <c r="E56">
        <v>1400</v>
      </c>
      <c r="F56">
        <f>F$2</f>
        <v>0.97299999999999998</v>
      </c>
      <c r="G56" s="60">
        <f>E56*12*F56</f>
        <v>16346.4</v>
      </c>
      <c r="H56">
        <v>136</v>
      </c>
      <c r="I56" s="61">
        <v>0.61919999999999997</v>
      </c>
      <c r="J56">
        <v>77</v>
      </c>
      <c r="K56">
        <v>260</v>
      </c>
      <c r="L56">
        <f>K56-J56</f>
        <v>183</v>
      </c>
      <c r="M56">
        <f>H56-J56</f>
        <v>59</v>
      </c>
      <c r="N56" s="62">
        <f>0.8*M56/L56+0.1</f>
        <v>0.35792349726775963</v>
      </c>
      <c r="O56" s="61">
        <v>0.61919999999999997</v>
      </c>
      <c r="P56" s="63">
        <v>100</v>
      </c>
      <c r="Q56" s="64">
        <f>0.1+0.8*(P56-J56)/(K56-J56)</f>
        <v>0.20054644808743172</v>
      </c>
      <c r="R56" s="64">
        <f>$Q$2*Q56+$R$2</f>
        <v>0.69196467972004816</v>
      </c>
      <c r="S56" s="63">
        <f>365*P56*R56</f>
        <v>25256.710809781758</v>
      </c>
      <c r="T56" s="65">
        <f>S56*(1-$T$1)</f>
        <v>17679.69756684723</v>
      </c>
      <c r="U56" s="60">
        <f>J56</f>
        <v>77</v>
      </c>
      <c r="V56" s="63">
        <f>1.25*L56</f>
        <v>228.75</v>
      </c>
      <c r="W56" s="63">
        <f>J56-L56/8</f>
        <v>54.125</v>
      </c>
      <c r="X56">
        <f>1.25*L56/(2*$Q$2)</f>
        <v>-144.45889002970188</v>
      </c>
      <c r="Y56" s="63">
        <f>(($Q$2*W56)/V56-$R$2)*X56</f>
        <v>149.96044957211632</v>
      </c>
      <c r="Z56" s="63">
        <f>IF(Y56&gt;U56,Y56,U56)</f>
        <v>149.96044957211632</v>
      </c>
      <c r="AA56" s="64">
        <f>(Z56-W56)/V56</f>
        <v>0.41895278501471617</v>
      </c>
      <c r="AB56" s="64">
        <f>$Q$2*AA56+$R$2</f>
        <v>0.51904195560855859</v>
      </c>
      <c r="AC56" s="63">
        <f>Z56*AB56*365</f>
        <v>28410.054228595211</v>
      </c>
      <c r="AD56" s="65">
        <f>AC56*(1-$T$1)</f>
        <v>19887.037960016645</v>
      </c>
      <c r="AE56" s="63">
        <f>G56</f>
        <v>16346.4</v>
      </c>
      <c r="AF56" s="63">
        <f>AD56-AE56</f>
        <v>3540.6379600166456</v>
      </c>
      <c r="AH56" s="66">
        <f>AB56*(365/$AG$23)*$AG$21</f>
        <v>6315.0104599041297</v>
      </c>
      <c r="AI56" s="66">
        <f>-$AG$7-$AG$13-AH56</f>
        <v>-39915.01045990413</v>
      </c>
      <c r="AJ56" s="66">
        <f>-$AG$13-AH56-$AG$18</f>
        <v>-15915.01045990413</v>
      </c>
      <c r="AK56" s="67">
        <f>-($AG$7/$AG$9)-$AG$13-AH56</f>
        <v>-15915.01045990413</v>
      </c>
      <c r="AL56" s="67">
        <f>-($AG$7/$AG$9)-$AG$13-AH56-$AG$18</f>
        <v>-21915.01045990413</v>
      </c>
      <c r="AM56" s="68">
        <f>AF56+AI56</f>
        <v>-36374.372499887482</v>
      </c>
      <c r="AN56" s="68">
        <f>AF56+AJ56</f>
        <v>-12374.372499887484</v>
      </c>
      <c r="AO56" s="68">
        <f>AF56+AK56</f>
        <v>-12374.372499887484</v>
      </c>
      <c r="AP56" s="68">
        <f>AF56+AL56</f>
        <v>-18374.372499887482</v>
      </c>
    </row>
    <row r="57" spans="1:42">
      <c r="A57" t="s">
        <v>167</v>
      </c>
      <c r="B57" t="s">
        <v>165</v>
      </c>
      <c r="C57" t="s">
        <v>107</v>
      </c>
      <c r="D57">
        <v>1</v>
      </c>
      <c r="E57">
        <v>1400</v>
      </c>
      <c r="F57">
        <f>F$2</f>
        <v>0.97299999999999998</v>
      </c>
      <c r="G57" s="60">
        <f>E57*12*F57</f>
        <v>16346.4</v>
      </c>
      <c r="H57">
        <v>305</v>
      </c>
      <c r="I57" s="61">
        <v>0.2712</v>
      </c>
      <c r="J57">
        <v>173</v>
      </c>
      <c r="K57">
        <v>322</v>
      </c>
      <c r="L57">
        <f>K57-J57</f>
        <v>149</v>
      </c>
      <c r="M57">
        <f>H57-J57</f>
        <v>132</v>
      </c>
      <c r="N57" s="62">
        <f>0.8*M57/L57+0.1</f>
        <v>0.8087248322147651</v>
      </c>
      <c r="O57" s="61">
        <v>0.2712</v>
      </c>
      <c r="P57" s="63">
        <v>100</v>
      </c>
      <c r="Q57" s="64">
        <f>0.1+0.8*(P57-J57)/(K57-J57)</f>
        <v>-0.29194630872483229</v>
      </c>
      <c r="R57" s="64">
        <f>$Q$2*Q57+$R$2</f>
        <v>1.0818947079019139</v>
      </c>
      <c r="S57" s="63">
        <f>365*P57*R57</f>
        <v>39489.156838419854</v>
      </c>
      <c r="T57" s="65">
        <f>S57*(1-$T$1)</f>
        <v>27642.409786893895</v>
      </c>
      <c r="U57" s="60">
        <f>J57</f>
        <v>173</v>
      </c>
      <c r="V57" s="63">
        <f>1.25*L57</f>
        <v>186.25</v>
      </c>
      <c r="W57" s="63">
        <f>J57-L57/8</f>
        <v>154.375</v>
      </c>
      <c r="X57">
        <f>1.25*L57/(2*$Q$2)</f>
        <v>-117.61953341216164</v>
      </c>
      <c r="Y57" s="63">
        <f>(($Q$2*W57)/V57-$R$2)*X57</f>
        <v>177.25195074451003</v>
      </c>
      <c r="Z57" s="63">
        <f>IF(Y57&gt;U57,Y57,U57)</f>
        <v>177.25195074451003</v>
      </c>
      <c r="AA57" s="64">
        <f>(Z57-W57)/V57</f>
        <v>0.12282926574233571</v>
      </c>
      <c r="AB57" s="64">
        <f>$Q$2*AA57+$R$2</f>
        <v>0.75349708336023069</v>
      </c>
      <c r="AC57" s="63">
        <f>Z57*AB57*365</f>
        <v>48748.972185653343</v>
      </c>
      <c r="AD57" s="65">
        <f>AC57*(1-$T$1)</f>
        <v>34124.280529957337</v>
      </c>
      <c r="AE57" s="63">
        <f>G57</f>
        <v>16346.4</v>
      </c>
      <c r="AF57" s="63">
        <f>AD57-AE57</f>
        <v>17777.880529957336</v>
      </c>
      <c r="AH57" s="66">
        <f>AB57*(365/$AG$23)*$AG$21</f>
        <v>9167.5478475494747</v>
      </c>
      <c r="AI57" s="66">
        <f>-$AG$7-$AG$13-AH57</f>
        <v>-42767.547847549475</v>
      </c>
      <c r="AJ57" s="66">
        <f>-$AG$13-AH57-$AG$18</f>
        <v>-18767.547847549475</v>
      </c>
      <c r="AK57" s="67">
        <f>-($AG$7/$AG$9)-$AG$13-AH57</f>
        <v>-18767.547847549475</v>
      </c>
      <c r="AL57" s="67">
        <f>-($AG$7/$AG$9)-$AG$13-AH57-$AG$18</f>
        <v>-24767.547847549475</v>
      </c>
      <c r="AM57" s="68">
        <f>AF57+AI57</f>
        <v>-24989.667317592139</v>
      </c>
      <c r="AN57" s="68">
        <f>AF57+AJ57</f>
        <v>-989.66731759213872</v>
      </c>
      <c r="AO57" s="68">
        <f>AF57+AK57</f>
        <v>-989.66731759213872</v>
      </c>
      <c r="AP57" s="68">
        <f>AF57+AL57</f>
        <v>-6989.6673175921387</v>
      </c>
    </row>
    <row r="58" spans="1:42">
      <c r="A58" t="s">
        <v>168</v>
      </c>
      <c r="B58" t="s">
        <v>165</v>
      </c>
      <c r="C58" t="s">
        <v>107</v>
      </c>
      <c r="D58">
        <v>2</v>
      </c>
      <c r="E58">
        <v>1700</v>
      </c>
      <c r="F58">
        <f>F$2</f>
        <v>0.97299999999999998</v>
      </c>
      <c r="G58" s="60">
        <f>E58*12*F58</f>
        <v>19849.2</v>
      </c>
      <c r="H58">
        <v>425</v>
      </c>
      <c r="I58" s="61">
        <v>0.32879999999999998</v>
      </c>
      <c r="J58">
        <v>176</v>
      </c>
      <c r="K58">
        <v>469</v>
      </c>
      <c r="L58">
        <f>K58-J58</f>
        <v>293</v>
      </c>
      <c r="M58">
        <f>H58-J58</f>
        <v>249</v>
      </c>
      <c r="N58" s="62">
        <f>0.8*M58/L58+0.1</f>
        <v>0.779863481228669</v>
      </c>
      <c r="O58" s="61">
        <v>0.32879999999999998</v>
      </c>
      <c r="P58" s="63">
        <v>100</v>
      </c>
      <c r="Q58" s="64">
        <f>0.1+0.8*(P58-J58)/(K58-J58)</f>
        <v>-0.10750853242320821</v>
      </c>
      <c r="R58" s="64">
        <f>$Q$2*Q58+$R$2</f>
        <v>0.93586651496646389</v>
      </c>
      <c r="S58" s="63">
        <f>365*P58*R58</f>
        <v>34159.127796275934</v>
      </c>
      <c r="T58" s="65">
        <f>S58*(1-$T$1)</f>
        <v>23911.389457393154</v>
      </c>
      <c r="U58" s="60">
        <f>J58</f>
        <v>176</v>
      </c>
      <c r="V58" s="63">
        <f>1.25*L58</f>
        <v>366.25</v>
      </c>
      <c r="W58" s="63">
        <f>J58-L58/8</f>
        <v>139.375</v>
      </c>
      <c r="X58">
        <f>1.25*L58/(2*$Q$2)</f>
        <v>-231.29210261586149</v>
      </c>
      <c r="Y58" s="63">
        <f>(($Q$2*W58)/V58-$R$2)*X58</f>
        <v>266.45853401437205</v>
      </c>
      <c r="Z58" s="63">
        <f>IF(Y58&gt;U58,Y58,U58)</f>
        <v>266.45853401437205</v>
      </c>
      <c r="AA58" s="64">
        <f>(Z58-W58)/V58</f>
        <v>0.34698575840101581</v>
      </c>
      <c r="AB58" s="64">
        <f>$Q$2*AA58+$R$2</f>
        <v>0.57602168643197538</v>
      </c>
      <c r="AC58" s="63">
        <f>Z58*AB58*365</f>
        <v>56022.351356409919</v>
      </c>
      <c r="AD58" s="65">
        <f>AC58*(1-$T$1)</f>
        <v>39215.645949486941</v>
      </c>
      <c r="AE58" s="63">
        <f>G58</f>
        <v>19849.2</v>
      </c>
      <c r="AF58" s="63">
        <f>AD58-AE58</f>
        <v>19366.445949486941</v>
      </c>
      <c r="AH58" s="66">
        <f>AB58*(365/$AG$23)*$AG$21</f>
        <v>7008.2638515890339</v>
      </c>
      <c r="AI58" s="66">
        <f>-$AG$7-$AG$13-AH58</f>
        <v>-40608.263851589036</v>
      </c>
      <c r="AJ58" s="66">
        <f>-$AG$13-AH58-$AG$18</f>
        <v>-16608.263851589036</v>
      </c>
      <c r="AK58" s="67">
        <f>-($AG$7/$AG$9)-$AG$13-AH58</f>
        <v>-16608.263851589036</v>
      </c>
      <c r="AL58" s="67">
        <f>-($AG$7/$AG$9)-$AG$13-AH58-$AG$18</f>
        <v>-22608.263851589036</v>
      </c>
      <c r="AM58" s="68">
        <f>AF58+AI58</f>
        <v>-21241.817902102095</v>
      </c>
      <c r="AN58" s="68">
        <f>AF58+AJ58</f>
        <v>2758.1820978979049</v>
      </c>
      <c r="AO58" s="68">
        <f>AF58+AK58</f>
        <v>2758.1820978979049</v>
      </c>
      <c r="AP58" s="68">
        <f>AF58+AL58</f>
        <v>-3241.8179021020951</v>
      </c>
    </row>
    <row r="59" spans="1:42">
      <c r="A59" t="s">
        <v>169</v>
      </c>
      <c r="B59" t="s">
        <v>170</v>
      </c>
      <c r="C59" t="s">
        <v>98</v>
      </c>
      <c r="D59">
        <v>1</v>
      </c>
      <c r="E59">
        <v>800</v>
      </c>
      <c r="F59">
        <f>F$2</f>
        <v>0.97299999999999998</v>
      </c>
      <c r="G59" s="60">
        <f>E59*12*F59</f>
        <v>9340.7999999999993</v>
      </c>
      <c r="H59">
        <v>176</v>
      </c>
      <c r="I59" s="61">
        <v>0.41370000000000001</v>
      </c>
      <c r="J59">
        <v>86</v>
      </c>
      <c r="K59">
        <v>224</v>
      </c>
      <c r="L59">
        <f>K59-J59</f>
        <v>138</v>
      </c>
      <c r="M59">
        <f>H59-J59</f>
        <v>90</v>
      </c>
      <c r="N59" s="62">
        <f>0.8*M59/L59+0.1</f>
        <v>0.62173913043478257</v>
      </c>
      <c r="O59" s="61">
        <v>0.41370000000000001</v>
      </c>
      <c r="P59" s="63">
        <v>100</v>
      </c>
      <c r="Q59" s="64">
        <f>0.1+0.8*(P59-J59)/(K59-J59)</f>
        <v>0.1811594202898551</v>
      </c>
      <c r="R59" s="64">
        <f>$Q$2*Q59+$R$2</f>
        <v>0.70731431520383126</v>
      </c>
      <c r="S59" s="63">
        <f>365*P59*R59</f>
        <v>25816.97250493984</v>
      </c>
      <c r="T59" s="65">
        <f>S59*(1-$T$1)</f>
        <v>18071.880753457888</v>
      </c>
      <c r="U59" s="60">
        <f>J59</f>
        <v>86</v>
      </c>
      <c r="V59" s="63">
        <f>1.25*L59</f>
        <v>172.5</v>
      </c>
      <c r="W59" s="63">
        <f>J59-L59/8</f>
        <v>68.75</v>
      </c>
      <c r="X59">
        <f>1.25*L59/(2*$Q$2)</f>
        <v>-108.93621215354568</v>
      </c>
      <c r="Y59" s="63">
        <f>(($Q$2*W59)/V59-$R$2)*X59</f>
        <v>127.05214230028443</v>
      </c>
      <c r="Z59" s="63">
        <f>IF(Y59&gt;U59,Y59,U59)</f>
        <v>127.05214230028443</v>
      </c>
      <c r="AA59" s="64">
        <f>(Z59-W59)/V59</f>
        <v>0.33798343362483729</v>
      </c>
      <c r="AB59" s="64">
        <f>$Q$2*AA59+$R$2</f>
        <v>0.58314925674671136</v>
      </c>
      <c r="AC59" s="63">
        <f>Z59*AB59*365</f>
        <v>27042.982257928223</v>
      </c>
      <c r="AD59" s="65">
        <f>AC59*(1-$T$1)</f>
        <v>18930.087580549756</v>
      </c>
      <c r="AE59" s="63">
        <f>G59</f>
        <v>9340.7999999999993</v>
      </c>
      <c r="AF59" s="63">
        <f>AD59-AE59</f>
        <v>9589.287580549757</v>
      </c>
      <c r="AH59" s="66">
        <f>AB59*(365/$AG$23)*$AG$21</f>
        <v>7094.9826237516545</v>
      </c>
      <c r="AI59" s="66">
        <f>-$AG$7-$AG$13-AH59</f>
        <v>-40694.982623751654</v>
      </c>
      <c r="AJ59" s="66">
        <f>-$AG$13-AH59-$AG$18</f>
        <v>-16694.982623751654</v>
      </c>
      <c r="AK59" s="67">
        <f>-($AG$7/$AG$9)-$AG$13-AH59</f>
        <v>-16694.982623751654</v>
      </c>
      <c r="AL59" s="67">
        <f>-($AG$7/$AG$9)-$AG$13-AH59-$AG$18</f>
        <v>-22694.982623751654</v>
      </c>
      <c r="AM59" s="68">
        <f>AF59+AI59</f>
        <v>-31105.695043201897</v>
      </c>
      <c r="AN59" s="68">
        <f>AF59+AJ59</f>
        <v>-7105.6950432018966</v>
      </c>
      <c r="AO59" s="68">
        <f>AF59+AK59</f>
        <v>-7105.6950432018966</v>
      </c>
      <c r="AP59" s="68">
        <f>AF59+AL59</f>
        <v>-13105.695043201897</v>
      </c>
    </row>
    <row r="60" spans="1:42">
      <c r="A60" t="s">
        <v>171</v>
      </c>
      <c r="B60" t="s">
        <v>144</v>
      </c>
      <c r="C60" t="s">
        <v>107</v>
      </c>
      <c r="D60">
        <v>2</v>
      </c>
      <c r="E60">
        <v>900</v>
      </c>
      <c r="F60">
        <f>F$2</f>
        <v>0.97299999999999998</v>
      </c>
      <c r="G60" s="60">
        <f>E60*12*F60</f>
        <v>10508.4</v>
      </c>
      <c r="H60">
        <v>169</v>
      </c>
      <c r="I60" s="61">
        <v>0.47949999999999998</v>
      </c>
      <c r="J60">
        <v>111</v>
      </c>
      <c r="K60">
        <v>276</v>
      </c>
      <c r="L60">
        <f>K60-J60</f>
        <v>165</v>
      </c>
      <c r="M60">
        <f>H60-J60</f>
        <v>58</v>
      </c>
      <c r="N60" s="62">
        <f>0.8*M60/L60+0.1</f>
        <v>0.38121212121212122</v>
      </c>
      <c r="O60" s="61">
        <v>0.47949999999999998</v>
      </c>
      <c r="P60" s="63">
        <v>100</v>
      </c>
      <c r="Q60" s="64">
        <f>0.1+0.8*(P60-J60)/(K60-J60)</f>
        <v>4.6666666666666669E-2</v>
      </c>
      <c r="R60" s="64">
        <f>$Q$2*Q60+$R$2</f>
        <v>0.81379864920701639</v>
      </c>
      <c r="S60" s="63">
        <f>365*P60*R60</f>
        <v>29703.650696056098</v>
      </c>
      <c r="T60" s="65">
        <f>S60*(1-$T$1)</f>
        <v>20792.555487239268</v>
      </c>
      <c r="U60" s="60">
        <f>J60</f>
        <v>111</v>
      </c>
      <c r="V60" s="63">
        <f>1.25*L60</f>
        <v>206.25</v>
      </c>
      <c r="W60" s="63">
        <f>J60-L60/8</f>
        <v>90.375</v>
      </c>
      <c r="X60">
        <f>1.25*L60/(2*$Q$2)</f>
        <v>-130.2498188792394</v>
      </c>
      <c r="Y60" s="63">
        <f>(($Q$2*W60)/V60-$R$2)*X60</f>
        <v>155.99712666338354</v>
      </c>
      <c r="Z60" s="63">
        <f>IF(Y60&gt;U60,Y60,U60)</f>
        <v>155.99712666338354</v>
      </c>
      <c r="AA60" s="64">
        <f>(Z60-W60)/V60</f>
        <v>0.3181678868527687</v>
      </c>
      <c r="AB60" s="64">
        <f>$Q$2*AA60+$R$2</f>
        <v>0.59883817116097382</v>
      </c>
      <c r="AC60" s="63">
        <f>Z60*AB60*365</f>
        <v>34097.217423675596</v>
      </c>
      <c r="AD60" s="65">
        <f>AC60*(1-$T$1)</f>
        <v>23868.052196572917</v>
      </c>
      <c r="AE60" s="63">
        <f>G60</f>
        <v>10508.4</v>
      </c>
      <c r="AF60" s="63">
        <f>AD60-AE60</f>
        <v>13359.652196572917</v>
      </c>
      <c r="AH60" s="66">
        <f>AB60*(365/$AG$23)*$AG$21</f>
        <v>7285.8644157918488</v>
      </c>
      <c r="AI60" s="66">
        <f>-$AG$7-$AG$13-AH60</f>
        <v>-40885.864415791846</v>
      </c>
      <c r="AJ60" s="66">
        <f>-$AG$13-AH60-$AG$18</f>
        <v>-16885.86441579185</v>
      </c>
      <c r="AK60" s="67">
        <f>-($AG$7/$AG$9)-$AG$13-AH60</f>
        <v>-16885.86441579185</v>
      </c>
      <c r="AL60" s="67">
        <f>-($AG$7/$AG$9)-$AG$13-AH60-$AG$18</f>
        <v>-22885.86441579185</v>
      </c>
      <c r="AM60" s="68">
        <f>AF60+AI60</f>
        <v>-27526.212219218927</v>
      </c>
      <c r="AN60" s="68">
        <f>AF60+AJ60</f>
        <v>-3526.2122192189327</v>
      </c>
      <c r="AO60" s="68">
        <f>AF60+AK60</f>
        <v>-3526.2122192189327</v>
      </c>
      <c r="AP60" s="68">
        <f>AF60+AL60</f>
        <v>-9526.2122192189327</v>
      </c>
    </row>
    <row r="61" spans="1:42">
      <c r="A61" t="s">
        <v>172</v>
      </c>
      <c r="B61" t="s">
        <v>170</v>
      </c>
      <c r="C61" t="s">
        <v>98</v>
      </c>
      <c r="D61">
        <v>2</v>
      </c>
      <c r="E61">
        <v>1300</v>
      </c>
      <c r="F61">
        <f>F$2</f>
        <v>0.97299999999999998</v>
      </c>
      <c r="G61" s="60">
        <f>E61*12*F61</f>
        <v>15178.8</v>
      </c>
      <c r="H61">
        <v>207</v>
      </c>
      <c r="I61" s="61">
        <v>0.63009999999999999</v>
      </c>
      <c r="J61">
        <v>127</v>
      </c>
      <c r="K61">
        <v>276</v>
      </c>
      <c r="L61">
        <f>K61-J61</f>
        <v>149</v>
      </c>
      <c r="M61">
        <f>H61-J61</f>
        <v>80</v>
      </c>
      <c r="N61" s="62">
        <f>0.8*M61/L61+0.1</f>
        <v>0.5295302013422819</v>
      </c>
      <c r="O61" s="61">
        <v>0.63009999999999999</v>
      </c>
      <c r="P61" s="63">
        <v>100</v>
      </c>
      <c r="Q61" s="64">
        <f>0.1+0.8*(P61-J61)/(K61-J61)</f>
        <v>-4.496644295302013E-2</v>
      </c>
      <c r="R61" s="64">
        <f>$Q$2*Q61+$R$2</f>
        <v>0.88634895684538184</v>
      </c>
      <c r="S61" s="63">
        <f>365*P61*R61</f>
        <v>32351.736924856436</v>
      </c>
      <c r="T61" s="65">
        <f>S61*(1-$T$1)</f>
        <v>22646.215847399504</v>
      </c>
      <c r="U61" s="60">
        <f>J61</f>
        <v>127</v>
      </c>
      <c r="V61" s="63">
        <f>1.25*L61</f>
        <v>186.25</v>
      </c>
      <c r="W61" s="63">
        <f>J61-L61/8</f>
        <v>108.375</v>
      </c>
      <c r="X61">
        <f>1.25*L61/(2*$Q$2)</f>
        <v>-117.61953341216164</v>
      </c>
      <c r="Y61" s="63">
        <f>(($Q$2*W61)/V61-$R$2)*X61</f>
        <v>154.25195074451</v>
      </c>
      <c r="Z61" s="63">
        <f>IF(Y61&gt;U61,Y61,U61)</f>
        <v>154.25195074451</v>
      </c>
      <c r="AA61" s="64">
        <f>(Z61-W61)/V61</f>
        <v>0.24631919862824159</v>
      </c>
      <c r="AB61" s="64">
        <f>$Q$2*AA61+$R$2</f>
        <v>0.65572420783196483</v>
      </c>
      <c r="AC61" s="63">
        <f>Z61*AB61*365</f>
        <v>36918.559446094863</v>
      </c>
      <c r="AD61" s="65">
        <f>AC61*(1-$T$1)</f>
        <v>25842.991612266404</v>
      </c>
      <c r="AE61" s="63">
        <f>G61</f>
        <v>15178.8</v>
      </c>
      <c r="AF61" s="63">
        <f>AD61-AE61</f>
        <v>10664.191612266404</v>
      </c>
      <c r="AH61" s="66">
        <f>AB61*(365/$AG$23)*$AG$21</f>
        <v>7977.9778619555727</v>
      </c>
      <c r="AI61" s="66">
        <f>-$AG$7-$AG$13-AH61</f>
        <v>-41577.977861955573</v>
      </c>
      <c r="AJ61" s="66">
        <f>-$AG$13-AH61-$AG$18</f>
        <v>-17577.977861955573</v>
      </c>
      <c r="AK61" s="67">
        <f>-($AG$7/$AG$9)-$AG$13-AH61</f>
        <v>-17577.977861955573</v>
      </c>
      <c r="AL61" s="67">
        <f>-($AG$7/$AG$9)-$AG$13-AH61-$AG$18</f>
        <v>-23577.977861955573</v>
      </c>
      <c r="AM61" s="68">
        <f>AF61+AI61</f>
        <v>-30913.786249689168</v>
      </c>
      <c r="AN61" s="68">
        <f>AF61+AJ61</f>
        <v>-6913.7862496891685</v>
      </c>
      <c r="AO61" s="68">
        <f>AF61+AK61</f>
        <v>-6913.7862496891685</v>
      </c>
      <c r="AP61" s="68">
        <f>AF61+AL61</f>
        <v>-12913.786249689168</v>
      </c>
    </row>
    <row r="62" spans="1:42">
      <c r="A62" t="s">
        <v>173</v>
      </c>
      <c r="B62" t="s">
        <v>170</v>
      </c>
      <c r="C62" t="s">
        <v>107</v>
      </c>
      <c r="D62">
        <v>1</v>
      </c>
      <c r="E62">
        <v>1400</v>
      </c>
      <c r="F62">
        <f>F$2</f>
        <v>0.97299999999999998</v>
      </c>
      <c r="G62" s="60">
        <f>E62*12*F62</f>
        <v>16346.4</v>
      </c>
      <c r="H62">
        <v>244</v>
      </c>
      <c r="I62" s="61">
        <v>0.90410000000000001</v>
      </c>
      <c r="J62">
        <v>222</v>
      </c>
      <c r="K62">
        <v>381</v>
      </c>
      <c r="L62">
        <f>K62-J62</f>
        <v>159</v>
      </c>
      <c r="M62">
        <f>H62-J62</f>
        <v>22</v>
      </c>
      <c r="N62" s="62">
        <f>0.8*M62/L62+0.1</f>
        <v>0.21069182389937108</v>
      </c>
      <c r="O62" s="61">
        <v>0.90410000000000001</v>
      </c>
      <c r="P62" s="63">
        <v>100</v>
      </c>
      <c r="Q62" s="64">
        <f>0.1+0.8*(P62-J62)/(K62-J62)</f>
        <v>-0.51383647798742149</v>
      </c>
      <c r="R62" s="64">
        <f>$Q$2*Q62+$R$2</f>
        <v>1.2575757483985601</v>
      </c>
      <c r="S62" s="63">
        <f>365*P62*R62</f>
        <v>45901.514816547446</v>
      </c>
      <c r="T62" s="65">
        <f>S62*(1-$T$1)</f>
        <v>32131.060371583211</v>
      </c>
      <c r="U62" s="60">
        <f>J62</f>
        <v>222</v>
      </c>
      <c r="V62" s="63">
        <f>1.25*L62</f>
        <v>198.75</v>
      </c>
      <c r="W62" s="63">
        <f>J62-L62/8</f>
        <v>202.125</v>
      </c>
      <c r="X62">
        <f>1.25*L62/(2*$Q$2)</f>
        <v>-125.51346182908524</v>
      </c>
      <c r="Y62" s="63">
        <f>(($Q$2*W62)/V62-$R$2)*X62</f>
        <v>207.84268569380598</v>
      </c>
      <c r="Z62" s="63">
        <f>IF(Y62&gt;U62,Y62,U62)</f>
        <v>222</v>
      </c>
      <c r="AA62" s="64">
        <f>(Z62-W62)/V62</f>
        <v>0.1</v>
      </c>
      <c r="AB62" s="64">
        <f>$Q$2*AA62+$R$2</f>
        <v>0.77157210296437406</v>
      </c>
      <c r="AC62" s="63">
        <f>Z62*AB62*365</f>
        <v>62520.487503203229</v>
      </c>
      <c r="AD62" s="65">
        <f>AC62*(1-$T$1)</f>
        <v>43764.341252242259</v>
      </c>
      <c r="AE62" s="63">
        <f>G62</f>
        <v>16346.4</v>
      </c>
      <c r="AF62" s="63">
        <f>AD62-AE62</f>
        <v>27417.941252242257</v>
      </c>
      <c r="AH62" s="66">
        <f>AB62*(365/$AG$23)*$AG$21</f>
        <v>9387.4605860665506</v>
      </c>
      <c r="AI62" s="66">
        <f>-$AG$7-$AG$13-AH62</f>
        <v>-42987.460586066547</v>
      </c>
      <c r="AJ62" s="66">
        <f>-$AG$13-AH62-$AG$18</f>
        <v>-18987.460586066551</v>
      </c>
      <c r="AK62" s="67">
        <f>-($AG$7/$AG$9)-$AG$13-AH62</f>
        <v>-18987.460586066551</v>
      </c>
      <c r="AL62" s="67">
        <f>-($AG$7/$AG$9)-$AG$13-AH62-$AG$18</f>
        <v>-24987.460586066551</v>
      </c>
      <c r="AM62" s="68">
        <f>AF62+AI62</f>
        <v>-15569.51933382429</v>
      </c>
      <c r="AN62" s="68">
        <f>AF62+AJ62</f>
        <v>8430.4806661757066</v>
      </c>
      <c r="AO62" s="68">
        <f>AF62+AK62</f>
        <v>8430.4806661757066</v>
      </c>
      <c r="AP62" s="68">
        <f>AF62+AL62</f>
        <v>2430.4806661757066</v>
      </c>
    </row>
    <row r="63" spans="1:42">
      <c r="A63" t="s">
        <v>174</v>
      </c>
      <c r="B63" t="s">
        <v>170</v>
      </c>
      <c r="C63" t="s">
        <v>107</v>
      </c>
      <c r="D63">
        <v>2</v>
      </c>
      <c r="E63">
        <v>1900</v>
      </c>
      <c r="F63">
        <f>F$2</f>
        <v>0.97299999999999998</v>
      </c>
      <c r="G63" s="60">
        <f>E63*12*F63</f>
        <v>22184.399999999998</v>
      </c>
      <c r="H63">
        <v>536</v>
      </c>
      <c r="I63" s="61">
        <v>0.54249999999999998</v>
      </c>
      <c r="J63">
        <v>386</v>
      </c>
      <c r="K63">
        <v>773</v>
      </c>
      <c r="L63">
        <f>K63-J63</f>
        <v>387</v>
      </c>
      <c r="M63">
        <f>H63-J63</f>
        <v>150</v>
      </c>
      <c r="N63" s="62">
        <f>0.8*M63/L63+0.1</f>
        <v>0.41007751937984493</v>
      </c>
      <c r="O63" s="61">
        <v>0.54249999999999998</v>
      </c>
      <c r="P63" s="63">
        <v>100</v>
      </c>
      <c r="Q63" s="64">
        <f>0.1+0.8*(P63-J63)/(K63-J63)</f>
        <v>-0.49121447028423781</v>
      </c>
      <c r="R63" s="64">
        <f>$Q$2*Q63+$R$2</f>
        <v>1.239664824878937</v>
      </c>
      <c r="S63" s="63">
        <f>365*P63*R63</f>
        <v>45247.766108081203</v>
      </c>
      <c r="T63" s="65">
        <f>S63*(1-$T$1)</f>
        <v>31673.436275656841</v>
      </c>
      <c r="U63" s="60">
        <f>J63</f>
        <v>386</v>
      </c>
      <c r="V63" s="63">
        <f>1.25*L63</f>
        <v>483.75</v>
      </c>
      <c r="W63" s="63">
        <f>J63-L63/8</f>
        <v>337.625</v>
      </c>
      <c r="X63">
        <f>1.25*L63/(2*$Q$2)</f>
        <v>-305.49502973494333</v>
      </c>
      <c r="Y63" s="63">
        <f>(($Q$2*W63)/V63-$R$2)*X63</f>
        <v>428.71144253775424</v>
      </c>
      <c r="Z63" s="63">
        <f>IF(Y63&gt;U63,Y63,U63)</f>
        <v>428.71144253775424</v>
      </c>
      <c r="AA63" s="64">
        <f>(Z63-W63)/V63</f>
        <v>0.18829238767494416</v>
      </c>
      <c r="AB63" s="64">
        <f>$Q$2*AA63+$R$2</f>
        <v>0.70166680438257389</v>
      </c>
      <c r="AC63" s="63">
        <f>Z63*AB63*365</f>
        <v>109796.59457901395</v>
      </c>
      <c r="AD63" s="65">
        <f>AC63*(1-$T$1)</f>
        <v>76857.616205309765</v>
      </c>
      <c r="AE63" s="63">
        <f>G63</f>
        <v>22184.399999999998</v>
      </c>
      <c r="AF63" s="63">
        <f>AD63-AE63</f>
        <v>54673.216205309771</v>
      </c>
      <c r="AH63" s="66">
        <f>AB63*(365/$AG$23)*$AG$21</f>
        <v>8536.9461199879825</v>
      </c>
      <c r="AI63" s="66">
        <f>-$AG$7-$AG$13-AH63</f>
        <v>-42136.946119987981</v>
      </c>
      <c r="AJ63" s="66">
        <f>-$AG$13-AH63-$AG$18</f>
        <v>-18136.946119987981</v>
      </c>
      <c r="AK63" s="67">
        <f>-($AG$7/$AG$9)-$AG$13-AH63</f>
        <v>-18136.946119987981</v>
      </c>
      <c r="AL63" s="67">
        <f>-($AG$7/$AG$9)-$AG$13-AH63-$AG$18</f>
        <v>-24136.946119987981</v>
      </c>
      <c r="AM63" s="68">
        <f>AF63+AI63</f>
        <v>12536.27008532179</v>
      </c>
      <c r="AN63" s="68">
        <f>AF63+AJ63</f>
        <v>36536.27008532179</v>
      </c>
      <c r="AO63" s="68">
        <f>AF63+AK63</f>
        <v>36536.27008532179</v>
      </c>
      <c r="AP63" s="68">
        <f>AF63+AL63</f>
        <v>30536.27008532179</v>
      </c>
    </row>
    <row r="64" spans="1:42">
      <c r="A64" t="s">
        <v>175</v>
      </c>
      <c r="B64" t="s">
        <v>176</v>
      </c>
      <c r="C64" t="s">
        <v>98</v>
      </c>
      <c r="D64">
        <v>1</v>
      </c>
      <c r="E64">
        <v>1700</v>
      </c>
      <c r="F64">
        <f>F$2</f>
        <v>0.97299999999999998</v>
      </c>
      <c r="G64" s="60">
        <f>E64*12*F64</f>
        <v>19849.2</v>
      </c>
      <c r="H64">
        <v>476</v>
      </c>
      <c r="I64" s="61">
        <v>7.9500000000000001E-2</v>
      </c>
      <c r="J64">
        <v>136</v>
      </c>
      <c r="K64">
        <v>476</v>
      </c>
      <c r="L64">
        <f>K64-J64</f>
        <v>340</v>
      </c>
      <c r="M64">
        <f>H64-J64</f>
        <v>340</v>
      </c>
      <c r="N64" s="62">
        <f>0.8*M64/L64+0.1</f>
        <v>0.9</v>
      </c>
      <c r="O64" s="61">
        <v>7.9500000000000001E-2</v>
      </c>
      <c r="P64" s="63">
        <v>100</v>
      </c>
      <c r="Q64" s="64">
        <f>0.1+0.8*(P64-J64)/(K64-J64)</f>
        <v>1.5294117647058833E-2</v>
      </c>
      <c r="R64" s="64">
        <f>$Q$2*Q64+$R$2</f>
        <v>0.83863779405562955</v>
      </c>
      <c r="S64" s="63">
        <f>365*P64*R64</f>
        <v>30610.279483030477</v>
      </c>
      <c r="T64" s="65">
        <f>S64*(1-$T$1)</f>
        <v>21427.195638121331</v>
      </c>
      <c r="U64" s="60">
        <f>J64</f>
        <v>136</v>
      </c>
      <c r="V64" s="63">
        <f>1.25*L64</f>
        <v>425</v>
      </c>
      <c r="W64" s="63">
        <f>J64-L64/8</f>
        <v>93.5</v>
      </c>
      <c r="X64">
        <f>1.25*L64/(2*$Q$2)</f>
        <v>-268.39356617540244</v>
      </c>
      <c r="Y64" s="63">
        <f>(($Q$2*W64)/V64-$R$2)*X64</f>
        <v>275.08498827606314</v>
      </c>
      <c r="Z64" s="63">
        <f>IF(Y64&gt;U64,Y64,U64)</f>
        <v>275.08498827606314</v>
      </c>
      <c r="AA64" s="64">
        <f>(Z64-W64)/V64</f>
        <v>0.42725879594367799</v>
      </c>
      <c r="AB64" s="64">
        <f>$Q$2*AA64+$R$2</f>
        <v>0.51246569021011412</v>
      </c>
      <c r="AC64" s="63">
        <f>Z64*AB64*365</f>
        <v>51454.640709916857</v>
      </c>
      <c r="AD64" s="65">
        <f>AC64*(1-$T$1)</f>
        <v>36018.2484969418</v>
      </c>
      <c r="AE64" s="63">
        <f>G64</f>
        <v>19849.2</v>
      </c>
      <c r="AF64" s="63">
        <f>AD64-AE64</f>
        <v>16169.048496941799</v>
      </c>
      <c r="AH64" s="66">
        <f>AB64*(365/$AG$23)*$AG$21</f>
        <v>6234.9992308897217</v>
      </c>
      <c r="AI64" s="66">
        <f>-$AG$7-$AG$13-AH64</f>
        <v>-39834.99923088972</v>
      </c>
      <c r="AJ64" s="66">
        <f>-$AG$13-AH64-$AG$18</f>
        <v>-15834.999230889722</v>
      </c>
      <c r="AK64" s="67">
        <f>-($AG$7/$AG$9)-$AG$13-AH64</f>
        <v>-15834.999230889722</v>
      </c>
      <c r="AL64" s="67">
        <f>-($AG$7/$AG$9)-$AG$13-AH64-$AG$18</f>
        <v>-21834.99923088972</v>
      </c>
      <c r="AM64" s="68">
        <f>AF64+AI64</f>
        <v>-23665.950733947921</v>
      </c>
      <c r="AN64" s="68">
        <f>AF64+AJ64</f>
        <v>334.04926605207766</v>
      </c>
      <c r="AO64" s="68">
        <f>AF64+AK64</f>
        <v>334.04926605207766</v>
      </c>
      <c r="AP64" s="68">
        <f>AF64+AL64</f>
        <v>-5665.9507339479205</v>
      </c>
    </row>
    <row r="65" spans="1:42">
      <c r="A65" t="s">
        <v>177</v>
      </c>
      <c r="B65" t="s">
        <v>176</v>
      </c>
      <c r="C65" t="s">
        <v>98</v>
      </c>
      <c r="D65">
        <v>2</v>
      </c>
      <c r="E65">
        <v>2400</v>
      </c>
      <c r="F65">
        <f>F$2</f>
        <v>0.97299999999999998</v>
      </c>
      <c r="G65" s="60">
        <f>E65*12*F65</f>
        <v>28022.399999999998</v>
      </c>
      <c r="H65">
        <v>360</v>
      </c>
      <c r="I65" s="61">
        <v>0.55069999999999997</v>
      </c>
      <c r="J65">
        <v>173</v>
      </c>
      <c r="K65">
        <v>690</v>
      </c>
      <c r="L65">
        <f>K65-J65</f>
        <v>517</v>
      </c>
      <c r="M65">
        <f>H65-J65</f>
        <v>187</v>
      </c>
      <c r="N65" s="62">
        <f>0.8*M65/L65+0.1</f>
        <v>0.38936170212765953</v>
      </c>
      <c r="O65" s="61">
        <v>0.55069999999999997</v>
      </c>
      <c r="P65" s="63">
        <v>100</v>
      </c>
      <c r="Q65" s="64">
        <f>0.1+0.8*(P65-J65)/(K65-J65)</f>
        <v>-1.2959381044487434E-2</v>
      </c>
      <c r="R65" s="64">
        <f>$Q$2*Q65+$R$2</f>
        <v>0.86100743784966116</v>
      </c>
      <c r="S65" s="63">
        <f>365*P65*R65</f>
        <v>31426.771481512631</v>
      </c>
      <c r="T65" s="65">
        <f>S65*(1-$T$1)</f>
        <v>21998.74003705884</v>
      </c>
      <c r="U65" s="60">
        <f>J65</f>
        <v>173</v>
      </c>
      <c r="V65" s="63">
        <f>1.25*L65</f>
        <v>646.25</v>
      </c>
      <c r="W65" s="63">
        <f>J65-L65/8</f>
        <v>108.375</v>
      </c>
      <c r="X65">
        <f>1.25*L65/(2*$Q$2)</f>
        <v>-408.11609915495012</v>
      </c>
      <c r="Y65" s="63">
        <f>(($Q$2*W65)/V65-$R$2)*X65</f>
        <v>401.39099687860187</v>
      </c>
      <c r="Z65" s="63">
        <f>IF(Y65&gt;U65,Y65,U65)</f>
        <v>401.39099687860187</v>
      </c>
      <c r="AA65" s="64">
        <f>(Z65-W65)/V65</f>
        <v>0.45340966634986751</v>
      </c>
      <c r="AB65" s="64">
        <f>$Q$2*AA65+$R$2</f>
        <v>0.49176079761338332</v>
      </c>
      <c r="AC65" s="63">
        <f>Z65*AB65*365</f>
        <v>72046.750224646094</v>
      </c>
      <c r="AD65" s="65">
        <f>AC65*(1-$T$1)</f>
        <v>50432.725157252265</v>
      </c>
      <c r="AE65" s="63">
        <f>G65</f>
        <v>28022.399999999998</v>
      </c>
      <c r="AF65" s="63">
        <f>AD65-AE65</f>
        <v>22410.325157252268</v>
      </c>
      <c r="AH65" s="66">
        <f>AB65*(365/$AG$23)*$AG$21</f>
        <v>5983.0897042961642</v>
      </c>
      <c r="AI65" s="66">
        <f>-$AG$7-$AG$13-AH65</f>
        <v>-39583.089704296166</v>
      </c>
      <c r="AJ65" s="66">
        <f>-$AG$13-AH65-$AG$18</f>
        <v>-15583.089704296164</v>
      </c>
      <c r="AK65" s="67">
        <f>-($AG$7/$AG$9)-$AG$13-AH65</f>
        <v>-15583.089704296164</v>
      </c>
      <c r="AL65" s="67">
        <f>-($AG$7/$AG$9)-$AG$13-AH65-$AG$18</f>
        <v>-21583.089704296166</v>
      </c>
      <c r="AM65" s="68">
        <f>AF65+AI65</f>
        <v>-17172.764547043898</v>
      </c>
      <c r="AN65" s="68">
        <f>AF65+AJ65</f>
        <v>6827.2354529561035</v>
      </c>
      <c r="AO65" s="68">
        <f>AF65+AK65</f>
        <v>6827.2354529561035</v>
      </c>
      <c r="AP65" s="68">
        <f>AF65+AL65</f>
        <v>827.23545295610165</v>
      </c>
    </row>
    <row r="66" spans="1:42">
      <c r="A66" t="s">
        <v>178</v>
      </c>
      <c r="B66" t="s">
        <v>176</v>
      </c>
      <c r="C66" t="s">
        <v>107</v>
      </c>
      <c r="D66">
        <v>1</v>
      </c>
      <c r="E66">
        <v>2100</v>
      </c>
      <c r="F66">
        <f>F$2</f>
        <v>0.97299999999999998</v>
      </c>
      <c r="G66" s="60">
        <f>E66*12*F66</f>
        <v>24519.599999999999</v>
      </c>
      <c r="H66">
        <v>1477</v>
      </c>
      <c r="I66" s="61">
        <v>0.69320000000000004</v>
      </c>
      <c r="J66">
        <v>448</v>
      </c>
      <c r="K66">
        <v>2128</v>
      </c>
      <c r="L66">
        <f>K66-J66</f>
        <v>1680</v>
      </c>
      <c r="M66">
        <f>H66-J66</f>
        <v>1029</v>
      </c>
      <c r="N66" s="62">
        <f>0.8*M66/L66+0.1</f>
        <v>0.59000000000000008</v>
      </c>
      <c r="O66" s="61">
        <v>0.69320000000000004</v>
      </c>
      <c r="P66" s="63">
        <v>100</v>
      </c>
      <c r="Q66" s="64">
        <f>0.1+0.8*(P66-J66)/(K66-J66)</f>
        <v>-6.5714285714285725E-2</v>
      </c>
      <c r="R66" s="64">
        <f>$Q$2*Q66+$R$2</f>
        <v>0.9027760145040129</v>
      </c>
      <c r="S66" s="63">
        <f>365*P66*R66</f>
        <v>32951.324529396472</v>
      </c>
      <c r="T66" s="65">
        <f>S66*(1-$T$1)</f>
        <v>23065.927170577528</v>
      </c>
      <c r="U66" s="60">
        <f>J66</f>
        <v>448</v>
      </c>
      <c r="V66" s="63">
        <f>1.25*L66</f>
        <v>2100</v>
      </c>
      <c r="W66" s="63">
        <f>J66-L66/8</f>
        <v>238</v>
      </c>
      <c r="X66">
        <f>1.25*L66/(2*$Q$2)</f>
        <v>-1326.179974043165</v>
      </c>
      <c r="Y66" s="63">
        <f>(($Q$2*W66)/V66-$R$2)*X66</f>
        <v>1247.2434714817236</v>
      </c>
      <c r="Z66" s="63">
        <f>IF(Y66&gt;U66,Y66,U66)</f>
        <v>1247.2434714817236</v>
      </c>
      <c r="AA66" s="64">
        <f>(Z66-W66)/V66</f>
        <v>0.48059212927701128</v>
      </c>
      <c r="AB66" s="64">
        <f>$Q$2*AA66+$R$2</f>
        <v>0.4702391439674718</v>
      </c>
      <c r="AC66" s="63">
        <f>Z66*AB66*365</f>
        <v>214073.48635723299</v>
      </c>
      <c r="AD66" s="65">
        <f>AC66*(1-$T$1)</f>
        <v>149851.44045006309</v>
      </c>
      <c r="AE66" s="63">
        <f>G66</f>
        <v>24519.599999999999</v>
      </c>
      <c r="AF66" s="63">
        <f>AD66-AE66</f>
        <v>125331.84045006309</v>
      </c>
      <c r="AH66" s="66">
        <f>AB66*(365/$AG$23)*$AG$21</f>
        <v>5721.2429182709075</v>
      </c>
      <c r="AI66" s="66">
        <f>-$AG$7-$AG$13-AH66</f>
        <v>-39321.242918270909</v>
      </c>
      <c r="AJ66" s="66">
        <f>-$AG$13-AH66-$AG$18</f>
        <v>-15321.242918270907</v>
      </c>
      <c r="AK66" s="67">
        <f>-($AG$7/$AG$9)-$AG$13-AH66</f>
        <v>-15321.242918270907</v>
      </c>
      <c r="AL66" s="67">
        <f>-($AG$7/$AG$9)-$AG$13-AH66-$AG$18</f>
        <v>-21321.242918270909</v>
      </c>
      <c r="AM66" s="68">
        <f>AF66+AI66</f>
        <v>86010.597531792184</v>
      </c>
      <c r="AN66" s="68">
        <f>AF66+AJ66</f>
        <v>110010.59753179218</v>
      </c>
      <c r="AO66" s="68">
        <f>AF66+AK66</f>
        <v>110010.59753179218</v>
      </c>
      <c r="AP66" s="68">
        <f>AF66+AL66</f>
        <v>104010.59753179218</v>
      </c>
    </row>
    <row r="67" spans="1:42">
      <c r="A67" t="s">
        <v>179</v>
      </c>
      <c r="B67" t="s">
        <v>176</v>
      </c>
      <c r="C67" t="s">
        <v>107</v>
      </c>
      <c r="D67">
        <v>2</v>
      </c>
      <c r="E67">
        <v>3200</v>
      </c>
      <c r="F67">
        <f>F$2</f>
        <v>0.97299999999999998</v>
      </c>
      <c r="G67" s="60">
        <f>E67*12*F67</f>
        <v>37363.199999999997</v>
      </c>
      <c r="H67">
        <v>1265</v>
      </c>
      <c r="I67" s="61">
        <v>0.71509999999999996</v>
      </c>
      <c r="J67">
        <v>450</v>
      </c>
      <c r="K67">
        <v>2699</v>
      </c>
      <c r="L67">
        <f>K67-J67</f>
        <v>2249</v>
      </c>
      <c r="M67">
        <f>H67-J67</f>
        <v>815</v>
      </c>
      <c r="N67" s="62">
        <f>0.8*M67/L67+0.1</f>
        <v>0.38990662516674079</v>
      </c>
      <c r="O67" s="61">
        <v>0.71509999999999996</v>
      </c>
      <c r="P67" s="63">
        <v>100</v>
      </c>
      <c r="Q67" s="64">
        <f>0.1+0.8*(P67-J67)/(K67-J67)</f>
        <v>-2.4499777678968424E-2</v>
      </c>
      <c r="R67" s="64">
        <f>$Q$2*Q67+$R$2</f>
        <v>0.8701445208273676</v>
      </c>
      <c r="S67" s="63">
        <f>365*P67*R67</f>
        <v>31760.275010198919</v>
      </c>
      <c r="T67" s="65">
        <f>S67*(1-$T$1)</f>
        <v>22232.192507139243</v>
      </c>
      <c r="U67" s="60">
        <f>J67</f>
        <v>450</v>
      </c>
      <c r="V67" s="63">
        <f>1.25*L67</f>
        <v>2811.25</v>
      </c>
      <c r="W67" s="63">
        <f>J67-L67/8</f>
        <v>168.875</v>
      </c>
      <c r="X67">
        <f>1.25*L67/(2*$Q$2)</f>
        <v>-1775.3445009661177</v>
      </c>
      <c r="Y67" s="63">
        <f>(($Q$2*W67)/V67-$R$2)*X67</f>
        <v>1594.8062900966645</v>
      </c>
      <c r="Z67" s="63">
        <f>IF(Y67&gt;U67,Y67,U67)</f>
        <v>1594.8062900966645</v>
      </c>
      <c r="AA67" s="64">
        <f>(Z67-W67)/V67</f>
        <v>0.50722322457862679</v>
      </c>
      <c r="AB67" s="64">
        <f>$Q$2*AA67+$R$2</f>
        <v>0.44915403439411145</v>
      </c>
      <c r="AC67" s="63">
        <f>Z67*AB67*365</f>
        <v>261454.49293501824</v>
      </c>
      <c r="AD67" s="65">
        <f>AC67*(1-$T$1)</f>
        <v>183018.14505451274</v>
      </c>
      <c r="AE67" s="63">
        <f>G67</f>
        <v>37363.199999999997</v>
      </c>
      <c r="AF67" s="63">
        <f>AD67-AE67</f>
        <v>145654.94505451276</v>
      </c>
      <c r="AH67" s="66">
        <f>AB67*(365/$AG$23)*$AG$21</f>
        <v>5464.7074184616895</v>
      </c>
      <c r="AI67" s="66">
        <f>-$AG$7-$AG$13-AH67</f>
        <v>-39064.707418461687</v>
      </c>
      <c r="AJ67" s="66">
        <f>-$AG$13-AH67-$AG$18</f>
        <v>-15064.70741846169</v>
      </c>
      <c r="AK67" s="67">
        <f>-($AG$7/$AG$9)-$AG$13-AH67</f>
        <v>-15064.70741846169</v>
      </c>
      <c r="AL67" s="67">
        <f>-($AG$7/$AG$9)-$AG$13-AH67-$AG$18</f>
        <v>-21064.70741846169</v>
      </c>
      <c r="AM67" s="68">
        <f>AF67+AI67</f>
        <v>106590.23763605108</v>
      </c>
      <c r="AN67" s="68">
        <f>AF67+AJ67</f>
        <v>130590.23763605107</v>
      </c>
      <c r="AO67" s="68">
        <f>AF67+AK67</f>
        <v>130590.23763605107</v>
      </c>
      <c r="AP67" s="68">
        <f>AF67+AL67</f>
        <v>124590.23763605107</v>
      </c>
    </row>
    <row r="68" spans="1:42">
      <c r="A68" t="s">
        <v>180</v>
      </c>
      <c r="B68" t="s">
        <v>181</v>
      </c>
      <c r="C68" t="s">
        <v>98</v>
      </c>
      <c r="D68">
        <v>1</v>
      </c>
      <c r="E68">
        <v>1300</v>
      </c>
      <c r="F68">
        <f>F$2</f>
        <v>0.97299999999999998</v>
      </c>
      <c r="G68" s="60">
        <f>E68*12*F68</f>
        <v>15178.8</v>
      </c>
      <c r="H68">
        <v>328</v>
      </c>
      <c r="I68" s="61">
        <v>0.52049999999999996</v>
      </c>
      <c r="J68">
        <v>291</v>
      </c>
      <c r="K68">
        <v>387</v>
      </c>
      <c r="L68">
        <f>K68-J68</f>
        <v>96</v>
      </c>
      <c r="M68">
        <f>H68-J68</f>
        <v>37</v>
      </c>
      <c r="N68" s="62">
        <f>0.8*M68/L68+0.1</f>
        <v>0.40833333333333333</v>
      </c>
      <c r="O68" s="61">
        <v>0.52049999999999996</v>
      </c>
      <c r="P68" s="63">
        <v>100</v>
      </c>
      <c r="Q68" s="64">
        <f>0.1+0.8*(P68-J68)/(K68-J68)</f>
        <v>-1.4916666666666667</v>
      </c>
      <c r="R68" s="64">
        <f>$Q$2*Q68+$R$2</f>
        <v>2.031770592393233</v>
      </c>
      <c r="S68" s="63">
        <f>365*P68*R68</f>
        <v>74159.626622353011</v>
      </c>
      <c r="T68" s="65">
        <f>S68*(1-$T$1)</f>
        <v>51911.738635647103</v>
      </c>
      <c r="U68" s="60">
        <f>J68</f>
        <v>291</v>
      </c>
      <c r="V68" s="63">
        <f>1.25*L68</f>
        <v>120</v>
      </c>
      <c r="W68" s="63">
        <f>J68-L68/8</f>
        <v>279</v>
      </c>
      <c r="X68">
        <f>1.25*L68/(2*$Q$2)</f>
        <v>-75.781712802466558</v>
      </c>
      <c r="Y68" s="63">
        <f>(($Q$2*W68)/V68-$R$2)*X68</f>
        <v>203.97105551324137</v>
      </c>
      <c r="Z68" s="63">
        <f>IF(Y68&gt;U68,Y68,U68)</f>
        <v>291</v>
      </c>
      <c r="AA68" s="64">
        <f>(Z68-W68)/V68</f>
        <v>0.1</v>
      </c>
      <c r="AB68" s="64">
        <f>$Q$2*AA68+$R$2</f>
        <v>0.77157210296437406</v>
      </c>
      <c r="AC68" s="63">
        <f>Z68*AB68*365</f>
        <v>81952.530916360993</v>
      </c>
      <c r="AD68" s="65">
        <f>AC68*(1-$T$1)</f>
        <v>57366.771641452695</v>
      </c>
      <c r="AE68" s="63">
        <f>G68</f>
        <v>15178.8</v>
      </c>
      <c r="AF68" s="63">
        <f>AD68-AE68</f>
        <v>42187.971641452692</v>
      </c>
      <c r="AH68" s="66">
        <f>AB68*(365/$AG$23)*$AG$21</f>
        <v>9387.4605860665506</v>
      </c>
      <c r="AI68" s="66">
        <f>-$AG$7-$AG$13-AH68</f>
        <v>-42987.460586066547</v>
      </c>
      <c r="AJ68" s="66">
        <f>-$AG$13-AH68-$AG$18</f>
        <v>-18987.460586066551</v>
      </c>
      <c r="AK68" s="67">
        <f>-($AG$7/$AG$9)-$AG$13-AH68</f>
        <v>-18987.460586066551</v>
      </c>
      <c r="AL68" s="67">
        <f>-($AG$7/$AG$9)-$AG$13-AH68-$AG$18</f>
        <v>-24987.460586066551</v>
      </c>
      <c r="AM68" s="68">
        <f>AF68+AI68</f>
        <v>-799.48894461385498</v>
      </c>
      <c r="AN68" s="68">
        <f>AF68+AJ68</f>
        <v>23200.511055386141</v>
      </c>
      <c r="AO68" s="68">
        <f>AF68+AK68</f>
        <v>23200.511055386141</v>
      </c>
      <c r="AP68" s="68">
        <f>AF68+AL68</f>
        <v>17200.511055386141</v>
      </c>
    </row>
    <row r="69" spans="1:42">
      <c r="A69" t="s">
        <v>182</v>
      </c>
      <c r="B69" t="s">
        <v>181</v>
      </c>
      <c r="C69" t="s">
        <v>98</v>
      </c>
      <c r="D69">
        <v>2</v>
      </c>
      <c r="E69">
        <v>1700</v>
      </c>
      <c r="F69">
        <f>F$2</f>
        <v>0.97299999999999998</v>
      </c>
      <c r="G69" s="60">
        <f>E69*12*F69</f>
        <v>19849.2</v>
      </c>
      <c r="H69">
        <v>246</v>
      </c>
      <c r="I69" s="61">
        <v>0.15890000000000001</v>
      </c>
      <c r="J69">
        <v>203</v>
      </c>
      <c r="K69">
        <v>318</v>
      </c>
      <c r="L69">
        <f>K69-J69</f>
        <v>115</v>
      </c>
      <c r="M69">
        <f>H69-J69</f>
        <v>43</v>
      </c>
      <c r="N69" s="62">
        <f>0.8*M69/L69+0.1</f>
        <v>0.39913043478260868</v>
      </c>
      <c r="O69" s="61">
        <v>0.15890000000000001</v>
      </c>
      <c r="P69" s="63">
        <v>100</v>
      </c>
      <c r="Q69" s="64">
        <f>0.1+0.8*(P69-J69)/(K69-J69)</f>
        <v>-0.61652173913043484</v>
      </c>
      <c r="R69" s="64">
        <f>$Q$2*Q69+$R$2</f>
        <v>1.3388765720503089</v>
      </c>
      <c r="S69" s="63">
        <f>365*P69*R69</f>
        <v>48868.994879836275</v>
      </c>
      <c r="T69" s="65">
        <f>S69*(1-$T$1)</f>
        <v>34208.296415885394</v>
      </c>
      <c r="U69" s="60">
        <f>J69</f>
        <v>203</v>
      </c>
      <c r="V69" s="63">
        <f>1.25*L69</f>
        <v>143.75</v>
      </c>
      <c r="W69" s="63">
        <f>J69-L69/8</f>
        <v>188.625</v>
      </c>
      <c r="X69">
        <f>1.25*L69/(2*$Q$2)</f>
        <v>-90.780176794621411</v>
      </c>
      <c r="Y69" s="63">
        <f>(($Q$2*W69)/V69-$R$2)*X69</f>
        <v>171.54345191690371</v>
      </c>
      <c r="Z69" s="63">
        <f>IF(Y69&gt;U69,Y69,U69)</f>
        <v>203</v>
      </c>
      <c r="AA69" s="64">
        <f>(Z69-W69)/V69</f>
        <v>0.1</v>
      </c>
      <c r="AB69" s="64">
        <f>$Q$2*AA69+$R$2</f>
        <v>0.77157210296437406</v>
      </c>
      <c r="AC69" s="63">
        <f>Z69*AB69*365</f>
        <v>57169.6349691453</v>
      </c>
      <c r="AD69" s="65">
        <f>AC69*(1-$T$1)</f>
        <v>40018.744478401706</v>
      </c>
      <c r="AE69" s="63">
        <f>G69</f>
        <v>19849.2</v>
      </c>
      <c r="AF69" s="63">
        <f>AD69-AE69</f>
        <v>20169.544478401705</v>
      </c>
      <c r="AH69" s="66">
        <f>AB69*(365/$AG$23)*$AG$21</f>
        <v>9387.4605860665506</v>
      </c>
      <c r="AI69" s="66">
        <f>-$AG$7-$AG$13-AH69</f>
        <v>-42987.460586066547</v>
      </c>
      <c r="AJ69" s="66">
        <f>-$AG$13-AH69-$AG$18</f>
        <v>-18987.460586066551</v>
      </c>
      <c r="AK69" s="67">
        <f>-($AG$7/$AG$9)-$AG$13-AH69</f>
        <v>-18987.460586066551</v>
      </c>
      <c r="AL69" s="67">
        <f>-($AG$7/$AG$9)-$AG$13-AH69-$AG$18</f>
        <v>-24987.460586066551</v>
      </c>
      <c r="AM69" s="68">
        <f>AF69+AI69</f>
        <v>-22817.916107664842</v>
      </c>
      <c r="AN69" s="68">
        <f>AF69+AJ69</f>
        <v>1182.0838923351548</v>
      </c>
      <c r="AO69" s="68">
        <f>AF69+AK69</f>
        <v>1182.0838923351548</v>
      </c>
      <c r="AP69" s="68">
        <f>AF69+AL69</f>
        <v>-4817.9161076648452</v>
      </c>
    </row>
    <row r="70" spans="1:42">
      <c r="A70" t="s">
        <v>183</v>
      </c>
      <c r="B70" t="s">
        <v>181</v>
      </c>
      <c r="C70" t="s">
        <v>107</v>
      </c>
      <c r="D70">
        <v>1</v>
      </c>
      <c r="E70">
        <v>1400</v>
      </c>
      <c r="F70">
        <f>F$2</f>
        <v>0.97299999999999998</v>
      </c>
      <c r="G70" s="60">
        <f>E70*12*F70</f>
        <v>16346.4</v>
      </c>
      <c r="H70">
        <v>325</v>
      </c>
      <c r="I70" s="61">
        <v>0.54520000000000002</v>
      </c>
      <c r="J70">
        <v>287</v>
      </c>
      <c r="K70">
        <v>395</v>
      </c>
      <c r="L70">
        <f>K70-J70</f>
        <v>108</v>
      </c>
      <c r="M70">
        <f>H70-J70</f>
        <v>38</v>
      </c>
      <c r="N70" s="62">
        <f>0.8*M70/L70+0.1</f>
        <v>0.38148148148148153</v>
      </c>
      <c r="O70" s="61">
        <v>0.54520000000000002</v>
      </c>
      <c r="P70" s="63">
        <v>100</v>
      </c>
      <c r="Q70" s="64">
        <f>0.1+0.8*(P70-J70)/(K70-J70)</f>
        <v>-1.285185185185185</v>
      </c>
      <c r="R70" s="64">
        <f>$Q$2*Q70+$R$2</f>
        <v>1.8682893456552252</v>
      </c>
      <c r="S70" s="63">
        <f>365*P70*R70</f>
        <v>68192.561116415716</v>
      </c>
      <c r="T70" s="65">
        <f>S70*(1-$T$1)</f>
        <v>47734.792781491</v>
      </c>
      <c r="U70" s="60">
        <f>J70</f>
        <v>287</v>
      </c>
      <c r="V70" s="63">
        <f>1.25*L70</f>
        <v>135</v>
      </c>
      <c r="W70" s="63">
        <f>J70-L70/8</f>
        <v>273.5</v>
      </c>
      <c r="X70">
        <f>1.25*L70/(2*$Q$2)</f>
        <v>-85.254426902774881</v>
      </c>
      <c r="Y70" s="63">
        <f>(($Q$2*W70)/V70-$R$2)*X70</f>
        <v>209.27993745239652</v>
      </c>
      <c r="Z70" s="63">
        <f>IF(Y70&gt;U70,Y70,U70)</f>
        <v>287</v>
      </c>
      <c r="AA70" s="64">
        <f>(Z70-W70)/V70</f>
        <v>0.1</v>
      </c>
      <c r="AB70" s="64">
        <f>$Q$2*AA70+$R$2</f>
        <v>0.77157210296437406</v>
      </c>
      <c r="AC70" s="63">
        <f>Z70*AB70*365</f>
        <v>80826.035646033008</v>
      </c>
      <c r="AD70" s="65">
        <f>AC70*(1-$T$1)</f>
        <v>56578.2249522231</v>
      </c>
      <c r="AE70" s="63">
        <f>G70</f>
        <v>16346.4</v>
      </c>
      <c r="AF70" s="63">
        <f>AD70-AE70</f>
        <v>40231.824952223098</v>
      </c>
      <c r="AH70" s="66">
        <f>AB70*(365/$AG$23)*$AG$21</f>
        <v>9387.4605860665506</v>
      </c>
      <c r="AI70" s="66">
        <f>-$AG$7-$AG$13-AH70</f>
        <v>-42987.460586066547</v>
      </c>
      <c r="AJ70" s="66">
        <f>-$AG$13-AH70-$AG$18</f>
        <v>-18987.460586066551</v>
      </c>
      <c r="AK70" s="67">
        <f>-($AG$7/$AG$9)-$AG$13-AH70</f>
        <v>-18987.460586066551</v>
      </c>
      <c r="AL70" s="67">
        <f>-($AG$7/$AG$9)-$AG$13-AH70-$AG$18</f>
        <v>-24987.460586066551</v>
      </c>
      <c r="AM70" s="68">
        <f>AF70+AI70</f>
        <v>-2755.6356338434489</v>
      </c>
      <c r="AN70" s="68">
        <f>AF70+AJ70</f>
        <v>21244.364366156547</v>
      </c>
      <c r="AO70" s="68">
        <f>AF70+AK70</f>
        <v>21244.364366156547</v>
      </c>
      <c r="AP70" s="68">
        <f>AF70+AL70</f>
        <v>15244.364366156547</v>
      </c>
    </row>
    <row r="71" spans="1:42">
      <c r="A71" t="s">
        <v>184</v>
      </c>
      <c r="B71" t="s">
        <v>144</v>
      </c>
      <c r="C71" t="s">
        <v>98</v>
      </c>
      <c r="D71">
        <v>1</v>
      </c>
      <c r="E71">
        <v>750</v>
      </c>
      <c r="F71">
        <f>F$2</f>
        <v>0.97299999999999998</v>
      </c>
      <c r="G71" s="60">
        <f>E71*12*F71</f>
        <v>8757</v>
      </c>
      <c r="H71">
        <v>94</v>
      </c>
      <c r="I71" s="61">
        <v>0.47949999999999998</v>
      </c>
      <c r="J71">
        <v>51</v>
      </c>
      <c r="K71">
        <v>179</v>
      </c>
      <c r="L71">
        <f>K71-J71</f>
        <v>128</v>
      </c>
      <c r="M71">
        <f>H71-J71</f>
        <v>43</v>
      </c>
      <c r="N71" s="62">
        <f>0.8*M71/L71+0.1</f>
        <v>0.36875000000000002</v>
      </c>
      <c r="O71" s="61">
        <v>0.47949999999999998</v>
      </c>
      <c r="P71" s="63">
        <v>100</v>
      </c>
      <c r="Q71" s="64">
        <f>0.1+0.8*(P71-J71)/(K71-J71)</f>
        <v>0.40625</v>
      </c>
      <c r="R71" s="64">
        <f>$Q$2*Q71+$R$2</f>
        <v>0.52909935696170085</v>
      </c>
      <c r="S71" s="63">
        <f>365*P71*R71</f>
        <v>19312.126529102083</v>
      </c>
      <c r="T71" s="65">
        <f>S71*(1-$T$1)</f>
        <v>13518.488570371457</v>
      </c>
      <c r="U71" s="60">
        <f>J71</f>
        <v>51</v>
      </c>
      <c r="V71" s="63">
        <f>1.25*L71</f>
        <v>160</v>
      </c>
      <c r="W71" s="63">
        <f>J71-L71/8</f>
        <v>35</v>
      </c>
      <c r="X71">
        <f>1.25*L71/(2*$Q$2)</f>
        <v>-101.04228373662208</v>
      </c>
      <c r="Y71" s="63">
        <f>(($Q$2*W71)/V71-$R$2)*X71</f>
        <v>103.46140735098845</v>
      </c>
      <c r="Z71" s="63">
        <f>IF(Y71&gt;U71,Y71,U71)</f>
        <v>103.46140735098845</v>
      </c>
      <c r="AA71" s="64">
        <f>(Z71-W71)/V71</f>
        <v>0.42788379594367781</v>
      </c>
      <c r="AB71" s="64">
        <f>$Q$2*AA71+$R$2</f>
        <v>0.5119708478713334</v>
      </c>
      <c r="AC71" s="63">
        <f>Z71*AB71*365</f>
        <v>19333.76692185814</v>
      </c>
      <c r="AD71" s="65">
        <f>AC71*(1-$T$1)</f>
        <v>13533.636845300696</v>
      </c>
      <c r="AE71" s="63">
        <f>G71</f>
        <v>8757</v>
      </c>
      <c r="AF71" s="63">
        <f>AD71-AE71</f>
        <v>4776.6368453006962</v>
      </c>
      <c r="AH71" s="66">
        <f>AB71*(365/$AG$23)*$AG$21</f>
        <v>6228.9786491012228</v>
      </c>
      <c r="AI71" s="66">
        <f>-$AG$7-$AG$13-AH71</f>
        <v>-39828.97864910122</v>
      </c>
      <c r="AJ71" s="66">
        <f>-$AG$13-AH71-$AG$18</f>
        <v>-15828.978649101224</v>
      </c>
      <c r="AK71" s="67">
        <f>-($AG$7/$AG$9)-$AG$13-AH71</f>
        <v>-15828.978649101224</v>
      </c>
      <c r="AL71" s="67">
        <f>-($AG$7/$AG$9)-$AG$13-AH71-$AG$18</f>
        <v>-21828.978649101224</v>
      </c>
      <c r="AM71" s="68">
        <f>AF71+AI71</f>
        <v>-35052.341803800526</v>
      </c>
      <c r="AN71" s="68">
        <f>AF71+AJ71</f>
        <v>-11052.341803800527</v>
      </c>
      <c r="AO71" s="68">
        <f>AF71+AK71</f>
        <v>-11052.341803800527</v>
      </c>
      <c r="AP71" s="68">
        <f>AF71+AL71</f>
        <v>-17052.341803800526</v>
      </c>
    </row>
    <row r="72" spans="1:42">
      <c r="A72" t="s">
        <v>185</v>
      </c>
      <c r="B72" t="s">
        <v>181</v>
      </c>
      <c r="C72" t="s">
        <v>107</v>
      </c>
      <c r="D72">
        <v>2</v>
      </c>
      <c r="E72">
        <v>1900</v>
      </c>
      <c r="F72">
        <f>F$2</f>
        <v>0.97299999999999998</v>
      </c>
      <c r="G72" s="60">
        <f>E72*12*F72</f>
        <v>22184.399999999998</v>
      </c>
      <c r="H72">
        <v>428</v>
      </c>
      <c r="I72" s="61">
        <v>0.58630000000000004</v>
      </c>
      <c r="J72">
        <v>376</v>
      </c>
      <c r="K72">
        <v>502</v>
      </c>
      <c r="L72">
        <f>K72-J72</f>
        <v>126</v>
      </c>
      <c r="M72">
        <f>H72-J72</f>
        <v>52</v>
      </c>
      <c r="N72" s="62">
        <f>0.8*M72/L72+0.1</f>
        <v>0.43015873015873018</v>
      </c>
      <c r="O72" s="61">
        <v>0.58630000000000004</v>
      </c>
      <c r="P72" s="63">
        <v>100</v>
      </c>
      <c r="Q72" s="64">
        <f>0.1+0.8*(P72-J72)/(K72-J72)</f>
        <v>-1.6523809523809523</v>
      </c>
      <c r="R72" s="64">
        <f>$Q$2*Q72+$R$2</f>
        <v>2.1590157652226241</v>
      </c>
      <c r="S72" s="63">
        <f>365*P72*R72</f>
        <v>78804.075430625773</v>
      </c>
      <c r="T72" s="65">
        <f>S72*(1-$T$1)</f>
        <v>55162.852801438035</v>
      </c>
      <c r="U72" s="60">
        <f>J72</f>
        <v>376</v>
      </c>
      <c r="V72" s="63">
        <f>1.25*L72</f>
        <v>157.5</v>
      </c>
      <c r="W72" s="63">
        <f>J72-L72/8</f>
        <v>360.25</v>
      </c>
      <c r="X72">
        <f>1.25*L72/(2*$Q$2)</f>
        <v>-99.463498053237359</v>
      </c>
      <c r="Y72" s="63">
        <f>(($Q$2*W72)/V72-$R$2)*X72</f>
        <v>264.74326036112927</v>
      </c>
      <c r="Z72" s="63">
        <f>IF(Y72&gt;U72,Y72,U72)</f>
        <v>376</v>
      </c>
      <c r="AA72" s="64">
        <f>(Z72-W72)/V72</f>
        <v>0.1</v>
      </c>
      <c r="AB72" s="64">
        <f>$Q$2*AA72+$R$2</f>
        <v>0.77157210296437406</v>
      </c>
      <c r="AC72" s="63">
        <f>Z72*AB72*365</f>
        <v>105890.5554108307</v>
      </c>
      <c r="AD72" s="65">
        <f>AC72*(1-$T$1)</f>
        <v>74123.388787581483</v>
      </c>
      <c r="AE72" s="63">
        <f>G72</f>
        <v>22184.399999999998</v>
      </c>
      <c r="AF72" s="63">
        <f>AD72-AE72</f>
        <v>51938.988787581489</v>
      </c>
      <c r="AH72" s="66">
        <f>AB72*(365/$AG$23)*$AG$21</f>
        <v>9387.4605860665506</v>
      </c>
      <c r="AI72" s="66">
        <f>-$AG$7-$AG$13-AH72</f>
        <v>-42987.460586066547</v>
      </c>
      <c r="AJ72" s="66">
        <f>-$AG$13-AH72-$AG$18</f>
        <v>-18987.460586066551</v>
      </c>
      <c r="AK72" s="67">
        <f>-($AG$7/$AG$9)-$AG$13-AH72</f>
        <v>-18987.460586066551</v>
      </c>
      <c r="AL72" s="67">
        <f>-($AG$7/$AG$9)-$AG$13-AH72-$AG$18</f>
        <v>-24987.460586066551</v>
      </c>
      <c r="AM72" s="68">
        <f>AF72+AI72</f>
        <v>8951.5282015149423</v>
      </c>
      <c r="AN72" s="68">
        <f>AF72+AJ72</f>
        <v>32951.528201514942</v>
      </c>
      <c r="AO72" s="68">
        <f>AF72+AK72</f>
        <v>32951.528201514942</v>
      </c>
      <c r="AP72" s="68">
        <f>AF72+AL72</f>
        <v>26951.528201514939</v>
      </c>
    </row>
    <row r="73" spans="1:42">
      <c r="A73" t="s">
        <v>186</v>
      </c>
      <c r="B73" t="s">
        <v>187</v>
      </c>
      <c r="C73" t="s">
        <v>98</v>
      </c>
      <c r="D73">
        <v>1</v>
      </c>
      <c r="E73">
        <v>1600</v>
      </c>
      <c r="F73">
        <f>F$2</f>
        <v>0.97299999999999998</v>
      </c>
      <c r="G73" s="60">
        <f>E73*12*F73</f>
        <v>18681.599999999999</v>
      </c>
      <c r="H73">
        <v>188</v>
      </c>
      <c r="I73" s="61">
        <v>0.67949999999999999</v>
      </c>
      <c r="J73">
        <v>126</v>
      </c>
      <c r="K73">
        <v>352</v>
      </c>
      <c r="L73">
        <f>K73-J73</f>
        <v>226</v>
      </c>
      <c r="M73">
        <f>H73-J73</f>
        <v>62</v>
      </c>
      <c r="N73" s="62">
        <f>0.8*M73/L73+0.1</f>
        <v>0.3194690265486726</v>
      </c>
      <c r="O73" s="61">
        <v>0.67949999999999999</v>
      </c>
      <c r="P73" s="63">
        <v>100</v>
      </c>
      <c r="Q73" s="64">
        <f>0.1+0.8*(P73-J73)/(K73-J73)</f>
        <v>7.9646017699115113E-3</v>
      </c>
      <c r="R73" s="64">
        <f>$Q$2*Q73+$R$2</f>
        <v>0.84444092170167728</v>
      </c>
      <c r="S73" s="63">
        <f>365*P73*R73</f>
        <v>30822.09364211122</v>
      </c>
      <c r="T73" s="65">
        <f>S73*(1-$T$1)</f>
        <v>21575.465549477853</v>
      </c>
      <c r="U73" s="60">
        <f>J73</f>
        <v>126</v>
      </c>
      <c r="V73" s="63">
        <f>1.25*L73</f>
        <v>282.5</v>
      </c>
      <c r="W73" s="63">
        <f>J73-L73/8</f>
        <v>97.75</v>
      </c>
      <c r="X73">
        <f>1.25*L73/(2*$Q$2)</f>
        <v>-178.40278222247338</v>
      </c>
      <c r="Y73" s="63">
        <f>(($Q$2*W73)/V73-$R$2)*X73</f>
        <v>200.650609854089</v>
      </c>
      <c r="Z73" s="63">
        <f>IF(Y73&gt;U73,Y73,U73)</f>
        <v>200.650609854089</v>
      </c>
      <c r="AA73" s="64">
        <f>(Z73-W73)/V73</f>
        <v>0.36424994638615577</v>
      </c>
      <c r="AB73" s="64">
        <f>$Q$2*AA73+$R$2</f>
        <v>0.56235280457642189</v>
      </c>
      <c r="AC73" s="63">
        <f>Z73*AB73*365</f>
        <v>41185.298114866979</v>
      </c>
      <c r="AD73" s="65">
        <f>AC73*(1-$T$1)</f>
        <v>28829.708680406882</v>
      </c>
      <c r="AE73" s="63">
        <f>G73</f>
        <v>18681.599999999999</v>
      </c>
      <c r="AF73" s="63">
        <f>AD73-AE73</f>
        <v>10148.108680406884</v>
      </c>
      <c r="AH73" s="66">
        <f>AB73*(365/$AG$23)*$AG$21</f>
        <v>6841.9591223464668</v>
      </c>
      <c r="AI73" s="66">
        <f>-$AG$7-$AG$13-AH73</f>
        <v>-40441.959122346467</v>
      </c>
      <c r="AJ73" s="66">
        <f>-$AG$13-AH73-$AG$18</f>
        <v>-16441.959122346467</v>
      </c>
      <c r="AK73" s="67">
        <f>-($AG$7/$AG$9)-$AG$13-AH73</f>
        <v>-16441.959122346467</v>
      </c>
      <c r="AL73" s="67">
        <f>-($AG$7/$AG$9)-$AG$13-AH73-$AG$18</f>
        <v>-22441.959122346467</v>
      </c>
      <c r="AM73" s="68">
        <f>AF73+AI73</f>
        <v>-30293.850441939583</v>
      </c>
      <c r="AN73" s="68">
        <f>AF73+AJ73</f>
        <v>-6293.8504419395831</v>
      </c>
      <c r="AO73" s="68">
        <f>AF73+AK73</f>
        <v>-6293.8504419395831</v>
      </c>
      <c r="AP73" s="68">
        <f>AF73+AL73</f>
        <v>-12293.850441939583</v>
      </c>
    </row>
    <row r="74" spans="1:42">
      <c r="A74" t="s">
        <v>188</v>
      </c>
      <c r="B74" t="s">
        <v>187</v>
      </c>
      <c r="C74" t="s">
        <v>98</v>
      </c>
      <c r="D74">
        <v>2</v>
      </c>
      <c r="E74">
        <v>2200</v>
      </c>
      <c r="F74">
        <f>F$2</f>
        <v>0.97299999999999998</v>
      </c>
      <c r="G74" s="60">
        <f>E74*12*F74</f>
        <v>25687.200000000001</v>
      </c>
      <c r="H74">
        <v>274</v>
      </c>
      <c r="I74" s="61">
        <v>0.57809999999999995</v>
      </c>
      <c r="J74">
        <v>119</v>
      </c>
      <c r="K74">
        <v>505</v>
      </c>
      <c r="L74">
        <f>K74-J74</f>
        <v>386</v>
      </c>
      <c r="M74">
        <f>H74-J74</f>
        <v>155</v>
      </c>
      <c r="N74" s="62">
        <f>0.8*M74/L74+0.1</f>
        <v>0.42124352331606219</v>
      </c>
      <c r="O74" s="61">
        <v>0.57809999999999995</v>
      </c>
      <c r="P74" s="63">
        <v>100</v>
      </c>
      <c r="Q74" s="64">
        <f>0.1+0.8*(P74-J74)/(K74-J74)</f>
        <v>6.0621761658031091E-2</v>
      </c>
      <c r="R74" s="64">
        <f>$Q$2*Q74+$R$2</f>
        <v>0.80274973425751672</v>
      </c>
      <c r="S74" s="63">
        <f>365*P74*R74</f>
        <v>29300.36530039936</v>
      </c>
      <c r="T74" s="65">
        <f>S74*(1-$T$1)</f>
        <v>20510.255710279551</v>
      </c>
      <c r="U74" s="60">
        <f>J74</f>
        <v>119</v>
      </c>
      <c r="V74" s="63">
        <f>1.25*L74</f>
        <v>482.5</v>
      </c>
      <c r="W74" s="63">
        <f>J74-L74/8</f>
        <v>70.75</v>
      </c>
      <c r="X74">
        <f>1.25*L74/(2*$Q$2)</f>
        <v>-304.70563689325098</v>
      </c>
      <c r="Y74" s="63">
        <f>(($Q$2*W74)/V74-$R$2)*X74</f>
        <v>294.60236904282459</v>
      </c>
      <c r="Z74" s="63">
        <f>IF(Y74&gt;U74,Y74,U74)</f>
        <v>294.60236904282459</v>
      </c>
      <c r="AA74" s="64">
        <f>(Z74-W74)/V74</f>
        <v>0.46394273376751211</v>
      </c>
      <c r="AB74" s="64">
        <f>$Q$2*AA74+$R$2</f>
        <v>0.48342126526860763</v>
      </c>
      <c r="AC74" s="63">
        <f>Z74*AB74*365</f>
        <v>51982.223247741218</v>
      </c>
      <c r="AD74" s="65">
        <f>AC74*(1-$T$1)</f>
        <v>36387.55627341885</v>
      </c>
      <c r="AE74" s="63">
        <f>G74</f>
        <v>25687.200000000001</v>
      </c>
      <c r="AF74" s="63">
        <f>AD74-AE74</f>
        <v>10700.356273418849</v>
      </c>
      <c r="AH74" s="66">
        <f>AB74*(365/$AG$23)*$AG$21</f>
        <v>5881.6253941013929</v>
      </c>
      <c r="AI74" s="66">
        <f>-$AG$7-$AG$13-AH74</f>
        <v>-39481.625394101393</v>
      </c>
      <c r="AJ74" s="66">
        <f>-$AG$13-AH74-$AG$18</f>
        <v>-15481.625394101393</v>
      </c>
      <c r="AK74" s="67">
        <f>-($AG$7/$AG$9)-$AG$13-AH74</f>
        <v>-15481.625394101393</v>
      </c>
      <c r="AL74" s="67">
        <f>-($AG$7/$AG$9)-$AG$13-AH74-$AG$18</f>
        <v>-21481.625394101393</v>
      </c>
      <c r="AM74" s="68">
        <f>AF74+AI74</f>
        <v>-28781.269120682544</v>
      </c>
      <c r="AN74" s="68">
        <f>AF74+AJ74</f>
        <v>-4781.2691206825439</v>
      </c>
      <c r="AO74" s="68">
        <f>AF74+AK74</f>
        <v>-4781.2691206825439</v>
      </c>
      <c r="AP74" s="68">
        <f>AF74+AL74</f>
        <v>-10781.269120682544</v>
      </c>
    </row>
    <row r="75" spans="1:42">
      <c r="A75" t="s">
        <v>189</v>
      </c>
      <c r="B75" t="s">
        <v>187</v>
      </c>
      <c r="C75" t="s">
        <v>107</v>
      </c>
      <c r="D75">
        <v>1</v>
      </c>
      <c r="E75">
        <v>1500</v>
      </c>
      <c r="F75">
        <f>F$2</f>
        <v>0.97299999999999998</v>
      </c>
      <c r="G75" s="60">
        <f>E75*12*F75</f>
        <v>17514</v>
      </c>
      <c r="H75">
        <v>860</v>
      </c>
      <c r="I75" s="61">
        <v>0.41099999999999998</v>
      </c>
      <c r="J75">
        <v>486</v>
      </c>
      <c r="K75">
        <v>1215</v>
      </c>
      <c r="L75">
        <f>K75-J75</f>
        <v>729</v>
      </c>
      <c r="M75">
        <f>H75-J75</f>
        <v>374</v>
      </c>
      <c r="N75" s="62">
        <f>0.8*M75/L75+0.1</f>
        <v>0.51042524005486967</v>
      </c>
      <c r="O75" s="61">
        <v>0.41099999999999998</v>
      </c>
      <c r="P75" s="63">
        <v>100</v>
      </c>
      <c r="Q75" s="64">
        <f>0.1+0.8*(P75-J75)/(K75-J75)</f>
        <v>-0.32359396433470511</v>
      </c>
      <c r="R75" s="64">
        <f>$Q$2*Q75+$R$2</f>
        <v>1.1069516677721922</v>
      </c>
      <c r="S75" s="63">
        <f>365*P75*R75</f>
        <v>40403.735873685015</v>
      </c>
      <c r="T75" s="65">
        <f>S75*(1-$T$1)</f>
        <v>28282.615111579507</v>
      </c>
      <c r="U75" s="60">
        <f>J75</f>
        <v>486</v>
      </c>
      <c r="V75" s="63">
        <f>1.25*L75</f>
        <v>911.25</v>
      </c>
      <c r="W75" s="63">
        <f>J75-L75/8</f>
        <v>394.875</v>
      </c>
      <c r="X75">
        <f>1.25*L75/(2*$Q$2)</f>
        <v>-575.46738159373047</v>
      </c>
      <c r="Y75" s="63">
        <f>(($Q$2*W75)/V75-$R$2)*X75</f>
        <v>687.0145778036765</v>
      </c>
      <c r="Z75" s="63">
        <f>IF(Y75&gt;U75,Y75,U75)</f>
        <v>687.0145778036765</v>
      </c>
      <c r="AA75" s="64">
        <f>(Z75-W75)/V75</f>
        <v>0.32059212927701125</v>
      </c>
      <c r="AB75" s="64">
        <f>$Q$2*AA75+$R$2</f>
        <v>0.596918782695399</v>
      </c>
      <c r="AC75" s="63">
        <f>Z75*AB75*365</f>
        <v>149683.5454989459</v>
      </c>
      <c r="AD75" s="65">
        <f>AC75*(1-$T$1)</f>
        <v>104778.48184926213</v>
      </c>
      <c r="AE75" s="63">
        <f>G75</f>
        <v>17514</v>
      </c>
      <c r="AF75" s="63">
        <f>AD75-AE75</f>
        <v>87264.481849262127</v>
      </c>
      <c r="AH75" s="66">
        <f>AB75*(365/$AG$23)*$AG$21</f>
        <v>7262.5118561273557</v>
      </c>
      <c r="AI75" s="66">
        <f>-$AG$7-$AG$13-AH75</f>
        <v>-40862.511856127356</v>
      </c>
      <c r="AJ75" s="66">
        <f>-$AG$13-AH75-$AG$18</f>
        <v>-16862.511856127356</v>
      </c>
      <c r="AK75" s="67">
        <f>-($AG$7/$AG$9)-$AG$13-AH75</f>
        <v>-16862.511856127356</v>
      </c>
      <c r="AL75" s="67">
        <f>-($AG$7/$AG$9)-$AG$13-AH75-$AG$18</f>
        <v>-22862.511856127356</v>
      </c>
      <c r="AM75" s="68">
        <f>AF75+AI75</f>
        <v>46401.969993134771</v>
      </c>
      <c r="AN75" s="68">
        <f>AF75+AJ75</f>
        <v>70401.969993134771</v>
      </c>
      <c r="AO75" s="68">
        <f>AF75+AK75</f>
        <v>70401.969993134771</v>
      </c>
      <c r="AP75" s="68">
        <f>AF75+AL75</f>
        <v>64401.969993134771</v>
      </c>
    </row>
    <row r="76" spans="1:42">
      <c r="A76" t="s">
        <v>190</v>
      </c>
      <c r="B76" t="s">
        <v>187</v>
      </c>
      <c r="C76" t="s">
        <v>107</v>
      </c>
      <c r="D76">
        <v>2</v>
      </c>
      <c r="E76">
        <v>2400</v>
      </c>
      <c r="F76">
        <f>F$2</f>
        <v>0.97299999999999998</v>
      </c>
      <c r="G76" s="60">
        <f>E76*12*F76</f>
        <v>28022.399999999998</v>
      </c>
      <c r="H76">
        <v>729</v>
      </c>
      <c r="I76" s="61">
        <v>0.68220000000000003</v>
      </c>
      <c r="J76">
        <v>516</v>
      </c>
      <c r="K76">
        <v>1650</v>
      </c>
      <c r="L76">
        <f>K76-J76</f>
        <v>1134</v>
      </c>
      <c r="M76">
        <f>H76-J76</f>
        <v>213</v>
      </c>
      <c r="N76" s="62">
        <f>0.8*M76/L76+0.1</f>
        <v>0.2502645502645503</v>
      </c>
      <c r="O76" s="61">
        <v>0.68220000000000003</v>
      </c>
      <c r="P76" s="63">
        <v>100</v>
      </c>
      <c r="Q76" s="64">
        <f>0.1+0.8*(P76-J76)/(K76-J76)</f>
        <v>-0.19347442680776014</v>
      </c>
      <c r="R76" s="64">
        <f>$Q$2*Q76+$R$2</f>
        <v>1.0039298177387026</v>
      </c>
      <c r="S76" s="63">
        <f>365*P76*R76</f>
        <v>36643.438347462645</v>
      </c>
      <c r="T76" s="65">
        <f>S76*(1-$T$1)</f>
        <v>25650.406843223849</v>
      </c>
      <c r="U76" s="60">
        <f>J76</f>
        <v>516</v>
      </c>
      <c r="V76" s="63">
        <f>1.25*L76</f>
        <v>1417.5</v>
      </c>
      <c r="W76" s="63">
        <f>J76-L76/8</f>
        <v>374.25</v>
      </c>
      <c r="X76">
        <f>1.25*L76/(2*$Q$2)</f>
        <v>-895.17148247913633</v>
      </c>
      <c r="Y76" s="63">
        <f>(($Q$2*W76)/V76-$R$2)*X76</f>
        <v>948.68934325016357</v>
      </c>
      <c r="Z76" s="63">
        <f>IF(Y76&gt;U76,Y76,U76)</f>
        <v>948.68934325016357</v>
      </c>
      <c r="AA76" s="64">
        <f>(Z76-W76)/V76</f>
        <v>0.40524821393309601</v>
      </c>
      <c r="AB76" s="64">
        <f>$Q$2*AA76+$R$2</f>
        <v>0.52989251881818877</v>
      </c>
      <c r="AC76" s="63">
        <f>Z76*AB76*365</f>
        <v>183486.7357698429</v>
      </c>
      <c r="AD76" s="65">
        <f>AC76*(1-$T$1)</f>
        <v>128440.71503889002</v>
      </c>
      <c r="AE76" s="63">
        <f>G76</f>
        <v>28022.399999999998</v>
      </c>
      <c r="AF76" s="63">
        <f>AD76-AE76</f>
        <v>100418.31503889002</v>
      </c>
      <c r="AH76" s="66">
        <f>AB76*(365/$AG$23)*$AG$21</f>
        <v>6447.0256456212965</v>
      </c>
      <c r="AI76" s="66">
        <f>-$AG$7-$AG$13-AH76</f>
        <v>-40047.025645621296</v>
      </c>
      <c r="AJ76" s="66">
        <f>-$AG$13-AH76-$AG$18</f>
        <v>-16047.025645621296</v>
      </c>
      <c r="AK76" s="67">
        <f>-($AG$7/$AG$9)-$AG$13-AH76</f>
        <v>-16047.025645621296</v>
      </c>
      <c r="AL76" s="67">
        <f>-($AG$7/$AG$9)-$AG$13-AH76-$AG$18</f>
        <v>-22047.025645621296</v>
      </c>
      <c r="AM76" s="68">
        <f>AF76+AI76</f>
        <v>60371.289393268729</v>
      </c>
      <c r="AN76" s="68">
        <f>AF76+AJ76</f>
        <v>84371.289393268729</v>
      </c>
      <c r="AO76" s="68">
        <f>AF76+AK76</f>
        <v>84371.289393268729</v>
      </c>
      <c r="AP76" s="68">
        <f>AF76+AL76</f>
        <v>78371.289393268729</v>
      </c>
    </row>
    <row r="77" spans="1:42">
      <c r="A77" t="s">
        <v>191</v>
      </c>
      <c r="B77" t="s">
        <v>192</v>
      </c>
      <c r="C77" t="s">
        <v>98</v>
      </c>
      <c r="D77">
        <v>1</v>
      </c>
      <c r="E77">
        <v>1600</v>
      </c>
      <c r="F77">
        <f>F$2</f>
        <v>0.97299999999999998</v>
      </c>
      <c r="G77" s="60">
        <f>E77*12*F77</f>
        <v>18681.599999999999</v>
      </c>
      <c r="H77">
        <v>174</v>
      </c>
      <c r="I77" s="61">
        <v>0.82469999999999999</v>
      </c>
      <c r="J77">
        <v>160</v>
      </c>
      <c r="K77">
        <v>321</v>
      </c>
      <c r="L77">
        <f>K77-J77</f>
        <v>161</v>
      </c>
      <c r="M77">
        <f>H77-J77</f>
        <v>14</v>
      </c>
      <c r="N77" s="62">
        <f>0.8*M77/L77+0.1</f>
        <v>0.16956521739130437</v>
      </c>
      <c r="O77" s="61">
        <v>0.82469999999999999</v>
      </c>
      <c r="P77" s="63">
        <v>100</v>
      </c>
      <c r="Q77" s="64">
        <f>0.1+0.8*(P77-J77)/(K77-J77)</f>
        <v>-0.19813664596273292</v>
      </c>
      <c r="R77" s="64">
        <f>$Q$2*Q77+$R$2</f>
        <v>1.0076211192275923</v>
      </c>
      <c r="S77" s="63">
        <f>365*P77*R77</f>
        <v>36778.170851807117</v>
      </c>
      <c r="T77" s="65">
        <f>S77*(1-$T$1)</f>
        <v>25744.719596264982</v>
      </c>
      <c r="U77" s="60">
        <f>J77</f>
        <v>160</v>
      </c>
      <c r="V77" s="63">
        <f>1.25*L77</f>
        <v>201.25</v>
      </c>
      <c r="W77" s="63">
        <f>J77-L77/8</f>
        <v>139.875</v>
      </c>
      <c r="X77">
        <f>1.25*L77/(2*$Q$2)</f>
        <v>-127.09224751246997</v>
      </c>
      <c r="Y77" s="63">
        <f>(($Q$2*W77)/V77-$R$2)*X77</f>
        <v>178.06083268366518</v>
      </c>
      <c r="Z77" s="63">
        <f>IF(Y77&gt;U77,Y77,U77)</f>
        <v>178.06083268366518</v>
      </c>
      <c r="AA77" s="64">
        <f>(Z77-W77)/V77</f>
        <v>0.18974326799336735</v>
      </c>
      <c r="AB77" s="64">
        <f>$Q$2*AA77+$R$2</f>
        <v>0.70051807316647818</v>
      </c>
      <c r="AC77" s="63">
        <f>Z77*AB77*365</f>
        <v>45528.213467562622</v>
      </c>
      <c r="AD77" s="65">
        <f>AC77*(1-$T$1)</f>
        <v>31869.749427293835</v>
      </c>
      <c r="AE77" s="63">
        <f>G77</f>
        <v>18681.599999999999</v>
      </c>
      <c r="AF77" s="63">
        <f>AD77-AE77</f>
        <v>13188.149427293836</v>
      </c>
      <c r="AH77" s="66">
        <f>AB77*(365/$AG$23)*$AG$21</f>
        <v>8522.9698901921511</v>
      </c>
      <c r="AI77" s="66">
        <f>-$AG$7-$AG$13-AH77</f>
        <v>-42122.969890192151</v>
      </c>
      <c r="AJ77" s="66">
        <f>-$AG$13-AH77-$AG$18</f>
        <v>-18122.969890192151</v>
      </c>
      <c r="AK77" s="67">
        <f>-($AG$7/$AG$9)-$AG$13-AH77</f>
        <v>-18122.969890192151</v>
      </c>
      <c r="AL77" s="67">
        <f>-($AG$7/$AG$9)-$AG$13-AH77-$AG$18</f>
        <v>-24122.969890192151</v>
      </c>
      <c r="AM77" s="68">
        <f>AF77+AI77</f>
        <v>-28934.820462898315</v>
      </c>
      <c r="AN77" s="68">
        <f>AF77+AJ77</f>
        <v>-4934.8204628983149</v>
      </c>
      <c r="AO77" s="68">
        <f>AF77+AK77</f>
        <v>-4934.8204628983149</v>
      </c>
      <c r="AP77" s="68">
        <f>AF77+AL77</f>
        <v>-10934.820462898315</v>
      </c>
    </row>
    <row r="78" spans="1:42">
      <c r="A78" t="s">
        <v>193</v>
      </c>
      <c r="B78" t="s">
        <v>192</v>
      </c>
      <c r="C78" t="s">
        <v>98</v>
      </c>
      <c r="D78">
        <v>2</v>
      </c>
      <c r="E78">
        <v>1900</v>
      </c>
      <c r="F78">
        <f>F$2</f>
        <v>0.97299999999999998</v>
      </c>
      <c r="G78" s="60">
        <f>E78*12*F78</f>
        <v>22184.399999999998</v>
      </c>
      <c r="H78">
        <v>308</v>
      </c>
      <c r="I78" s="61">
        <v>0.21640000000000001</v>
      </c>
      <c r="J78">
        <v>168</v>
      </c>
      <c r="K78">
        <v>364</v>
      </c>
      <c r="L78">
        <f>K78-J78</f>
        <v>196</v>
      </c>
      <c r="M78">
        <f>H78-J78</f>
        <v>140</v>
      </c>
      <c r="N78" s="62">
        <f>0.8*M78/L78+0.1</f>
        <v>0.67142857142857137</v>
      </c>
      <c r="O78" s="61">
        <v>0.21640000000000001</v>
      </c>
      <c r="P78" s="63">
        <v>100</v>
      </c>
      <c r="Q78" s="64">
        <f>0.1+0.8*(P78-J78)/(K78-J78)</f>
        <v>-0.17755102040816331</v>
      </c>
      <c r="R78" s="64">
        <f>$Q$2*Q78+$R$2</f>
        <v>0.99132249667608452</v>
      </c>
      <c r="S78" s="63">
        <f>365*P78*R78</f>
        <v>36183.271128677086</v>
      </c>
      <c r="T78" s="65">
        <f>S78*(1-$T$1)</f>
        <v>25328.289790073959</v>
      </c>
      <c r="U78" s="60">
        <f>J78</f>
        <v>168</v>
      </c>
      <c r="V78" s="63">
        <f>1.25*L78</f>
        <v>245</v>
      </c>
      <c r="W78" s="63">
        <f>J78-L78/8</f>
        <v>143.5</v>
      </c>
      <c r="X78">
        <f>1.25*L78/(2*$Q$2)</f>
        <v>-154.72099697170256</v>
      </c>
      <c r="Y78" s="63">
        <f>(($Q$2*W78)/V78-$R$2)*X78</f>
        <v>203.37840500620106</v>
      </c>
      <c r="Z78" s="63">
        <f>IF(Y78&gt;U78,Y78,U78)</f>
        <v>203.37840500620106</v>
      </c>
      <c r="AA78" s="64">
        <f>(Z78-W78)/V78</f>
        <v>0.24440165308653494</v>
      </c>
      <c r="AB78" s="64">
        <f>$Q$2*AA78+$R$2</f>
        <v>0.65724242018488832</v>
      </c>
      <c r="AC78" s="63">
        <f>Z78*AB78*365</f>
        <v>48789.154018660571</v>
      </c>
      <c r="AD78" s="65">
        <f>AC78*(1-$T$1)</f>
        <v>34152.407813062397</v>
      </c>
      <c r="AE78" s="63">
        <f>G78</f>
        <v>22184.399999999998</v>
      </c>
      <c r="AF78" s="63">
        <f>AD78-AE78</f>
        <v>11968.007813062399</v>
      </c>
      <c r="AH78" s="66">
        <f>AB78*(365/$AG$23)*$AG$21</f>
        <v>7996.4494455828089</v>
      </c>
      <c r="AI78" s="66">
        <f>-$AG$7-$AG$13-AH78</f>
        <v>-41596.44944558281</v>
      </c>
      <c r="AJ78" s="66">
        <f>-$AG$13-AH78-$AG$18</f>
        <v>-17596.44944558281</v>
      </c>
      <c r="AK78" s="67">
        <f>-($AG$7/$AG$9)-$AG$13-AH78</f>
        <v>-17596.44944558281</v>
      </c>
      <c r="AL78" s="67">
        <f>-($AG$7/$AG$9)-$AG$13-AH78-$AG$18</f>
        <v>-23596.44944558281</v>
      </c>
      <c r="AM78" s="68">
        <f>AF78+AI78</f>
        <v>-29628.441632520411</v>
      </c>
      <c r="AN78" s="68">
        <f>AF78+AJ78</f>
        <v>-5628.4416325204111</v>
      </c>
      <c r="AO78" s="68">
        <f>AF78+AK78</f>
        <v>-5628.4416325204111</v>
      </c>
      <c r="AP78" s="68">
        <f>AF78+AL78</f>
        <v>-11628.441632520411</v>
      </c>
    </row>
    <row r="79" spans="1:42">
      <c r="A79" t="s">
        <v>194</v>
      </c>
      <c r="B79" t="s">
        <v>192</v>
      </c>
      <c r="C79" t="s">
        <v>107</v>
      </c>
      <c r="D79">
        <v>1</v>
      </c>
      <c r="E79">
        <v>1400</v>
      </c>
      <c r="F79">
        <f>F$2</f>
        <v>0.97299999999999998</v>
      </c>
      <c r="G79" s="60">
        <f>E79*12*F79</f>
        <v>16346.4</v>
      </c>
      <c r="H79">
        <v>308</v>
      </c>
      <c r="I79" s="61">
        <v>0.6</v>
      </c>
      <c r="J79">
        <v>226</v>
      </c>
      <c r="K79">
        <v>368</v>
      </c>
      <c r="L79">
        <f>K79-J79</f>
        <v>142</v>
      </c>
      <c r="M79">
        <f>H79-J79</f>
        <v>82</v>
      </c>
      <c r="N79" s="62">
        <f>0.8*M79/L79+0.1</f>
        <v>0.56197183098591552</v>
      </c>
      <c r="O79" s="61">
        <v>0.6</v>
      </c>
      <c r="P79" s="63">
        <v>100</v>
      </c>
      <c r="Q79" s="64">
        <f>0.1+0.8*(P79-J79)/(K79-J79)</f>
        <v>-0.60985915492957754</v>
      </c>
      <c r="R79" s="64">
        <f>$Q$2*Q79+$R$2</f>
        <v>1.3336014860530652</v>
      </c>
      <c r="S79" s="63">
        <f>365*P79*R79</f>
        <v>48676.454240936881</v>
      </c>
      <c r="T79" s="65">
        <f>S79*(1-$T$1)</f>
        <v>34073.517968655811</v>
      </c>
      <c r="U79" s="60">
        <f>J79</f>
        <v>226</v>
      </c>
      <c r="V79" s="63">
        <f>1.25*L79</f>
        <v>177.5</v>
      </c>
      <c r="W79" s="63">
        <f>J79-L79/8</f>
        <v>208.25</v>
      </c>
      <c r="X79">
        <f>1.25*L79/(2*$Q$2)</f>
        <v>-112.09378352031513</v>
      </c>
      <c r="Y79" s="63">
        <f>(($Q$2*W79)/V79-$R$2)*X79</f>
        <v>199.48843628000284</v>
      </c>
      <c r="Z79" s="63">
        <f>IF(Y79&gt;U79,Y79,U79)</f>
        <v>226</v>
      </c>
      <c r="AA79" s="64">
        <f>(Z79-W79)/V79</f>
        <v>0.1</v>
      </c>
      <c r="AB79" s="64">
        <f>$Q$2*AA79+$R$2</f>
        <v>0.77157210296437406</v>
      </c>
      <c r="AC79" s="63">
        <f>Z79*AB79*365</f>
        <v>63646.982773531214</v>
      </c>
      <c r="AD79" s="65">
        <f>AC79*(1-$T$1)</f>
        <v>44552.887941471847</v>
      </c>
      <c r="AE79" s="63">
        <f>G79</f>
        <v>16346.4</v>
      </c>
      <c r="AF79" s="63">
        <f>AD79-AE79</f>
        <v>28206.487941471845</v>
      </c>
      <c r="AH79" s="66">
        <f>AB79*(365/$AG$23)*$AG$21</f>
        <v>9387.4605860665506</v>
      </c>
      <c r="AI79" s="66">
        <f>-$AG$7-$AG$13-AH79</f>
        <v>-42987.460586066547</v>
      </c>
      <c r="AJ79" s="66">
        <f>-$AG$13-AH79-$AG$18</f>
        <v>-18987.460586066551</v>
      </c>
      <c r="AK79" s="67">
        <f>-($AG$7/$AG$9)-$AG$13-AH79</f>
        <v>-18987.460586066551</v>
      </c>
      <c r="AL79" s="67">
        <f>-($AG$7/$AG$9)-$AG$13-AH79-$AG$18</f>
        <v>-24987.460586066551</v>
      </c>
      <c r="AM79" s="68">
        <f>AF79+AI79</f>
        <v>-14780.972644594702</v>
      </c>
      <c r="AN79" s="68">
        <f>AF79+AJ79</f>
        <v>9219.0273554052947</v>
      </c>
      <c r="AO79" s="68">
        <f>AF79+AK79</f>
        <v>9219.0273554052947</v>
      </c>
      <c r="AP79" s="68">
        <f>AF79+AL79</f>
        <v>3219.0273554052947</v>
      </c>
    </row>
    <row r="80" spans="1:42">
      <c r="A80" t="s">
        <v>195</v>
      </c>
      <c r="B80" t="s">
        <v>192</v>
      </c>
      <c r="C80" t="s">
        <v>107</v>
      </c>
      <c r="D80">
        <v>2</v>
      </c>
      <c r="E80">
        <v>2000</v>
      </c>
      <c r="F80">
        <f>F$2</f>
        <v>0.97299999999999998</v>
      </c>
      <c r="G80" s="60">
        <f>E80*12*F80</f>
        <v>23352</v>
      </c>
      <c r="H80">
        <v>342</v>
      </c>
      <c r="I80" s="61">
        <v>0.39179999999999998</v>
      </c>
      <c r="J80">
        <v>285</v>
      </c>
      <c r="K80">
        <v>428</v>
      </c>
      <c r="L80">
        <f>K80-J80</f>
        <v>143</v>
      </c>
      <c r="M80">
        <f>H80-J80</f>
        <v>57</v>
      </c>
      <c r="N80" s="62">
        <f>0.8*M80/L80+0.1</f>
        <v>0.4188811188811189</v>
      </c>
      <c r="O80" s="61">
        <v>0.39179999999999998</v>
      </c>
      <c r="P80" s="63">
        <v>100</v>
      </c>
      <c r="Q80" s="64">
        <f>0.1+0.8*(P80-J80)/(K80-J80)</f>
        <v>-0.93496503496503502</v>
      </c>
      <c r="R80" s="64">
        <f>$Q$2*Q80+$R$2</f>
        <v>1.5910033324981689</v>
      </c>
      <c r="S80" s="63">
        <f>365*P80*R80</f>
        <v>58071.621636183168</v>
      </c>
      <c r="T80" s="65">
        <f>S80*(1-$T$1)</f>
        <v>40650.135145328219</v>
      </c>
      <c r="U80" s="60">
        <f>J80</f>
        <v>285</v>
      </c>
      <c r="V80" s="63">
        <f>1.25*L80</f>
        <v>178.75</v>
      </c>
      <c r="W80" s="63">
        <f>J80-L80/8</f>
        <v>267.125</v>
      </c>
      <c r="X80">
        <f>1.25*L80/(2*$Q$2)</f>
        <v>-112.88317636200749</v>
      </c>
      <c r="Y80" s="63">
        <f>(($Q$2*W80)/V80-$R$2)*X80</f>
        <v>229.59750977493246</v>
      </c>
      <c r="Z80" s="63">
        <f>IF(Y80&gt;U80,Y80,U80)</f>
        <v>285</v>
      </c>
      <c r="AA80" s="64">
        <f>(Z80-W80)/V80</f>
        <v>0.1</v>
      </c>
      <c r="AB80" s="64">
        <f>$Q$2*AA80+$R$2</f>
        <v>0.77157210296437406</v>
      </c>
      <c r="AC80" s="63">
        <f>Z80*AB80*365</f>
        <v>80262.788010869015</v>
      </c>
      <c r="AD80" s="65">
        <f>AC80*(1-$T$1)</f>
        <v>56183.951607608309</v>
      </c>
      <c r="AE80" s="63">
        <f>G80</f>
        <v>23352</v>
      </c>
      <c r="AF80" s="63">
        <f>AD80-AE80</f>
        <v>32831.951607608309</v>
      </c>
      <c r="AH80" s="66">
        <f>AB80*(365/$AG$23)*$AG$21</f>
        <v>9387.4605860665506</v>
      </c>
      <c r="AI80" s="66">
        <f>-$AG$7-$AG$13-AH80</f>
        <v>-42987.460586066547</v>
      </c>
      <c r="AJ80" s="66">
        <f>-$AG$13-AH80-$AG$18</f>
        <v>-18987.460586066551</v>
      </c>
      <c r="AK80" s="67">
        <f>-($AG$7/$AG$9)-$AG$13-AH80</f>
        <v>-18987.460586066551</v>
      </c>
      <c r="AL80" s="67">
        <f>-($AG$7/$AG$9)-$AG$13-AH80-$AG$18</f>
        <v>-24987.460586066551</v>
      </c>
      <c r="AM80" s="68">
        <f>AF80+AI80</f>
        <v>-10155.508978458238</v>
      </c>
      <c r="AN80" s="68">
        <f>AF80+AJ80</f>
        <v>13844.491021541759</v>
      </c>
      <c r="AO80" s="68">
        <f>AF80+AK80</f>
        <v>13844.491021541759</v>
      </c>
      <c r="AP80" s="68">
        <f>AF80+AL80</f>
        <v>7844.4910215417585</v>
      </c>
    </row>
    <row r="81" spans="1:42">
      <c r="A81" t="s">
        <v>196</v>
      </c>
      <c r="B81" t="s">
        <v>197</v>
      </c>
      <c r="C81" t="s">
        <v>98</v>
      </c>
      <c r="D81">
        <v>1</v>
      </c>
      <c r="E81">
        <v>1000</v>
      </c>
      <c r="F81">
        <f>F$2</f>
        <v>0.97299999999999998</v>
      </c>
      <c r="G81" s="60">
        <f>E81*12*F81</f>
        <v>11676</v>
      </c>
      <c r="H81">
        <v>229</v>
      </c>
      <c r="I81" s="61">
        <v>0.58899999999999997</v>
      </c>
      <c r="J81">
        <v>91</v>
      </c>
      <c r="K81">
        <v>342</v>
      </c>
      <c r="L81">
        <f>K81-J81</f>
        <v>251</v>
      </c>
      <c r="M81">
        <f>H81-J81</f>
        <v>138</v>
      </c>
      <c r="N81" s="62">
        <f>0.8*M81/L81+0.1</f>
        <v>0.53984063745019928</v>
      </c>
      <c r="O81" s="61">
        <v>0.58899999999999997</v>
      </c>
      <c r="P81" s="63">
        <v>100</v>
      </c>
      <c r="Q81" s="64">
        <f>0.1+0.8*(P81-J81)/(K81-J81)</f>
        <v>0.12868525896414343</v>
      </c>
      <c r="R81" s="64">
        <f>$Q$2*Q81+$R$2</f>
        <v>0.74886061394940695</v>
      </c>
      <c r="S81" s="63">
        <f>365*P81*R81</f>
        <v>27333.412409153352</v>
      </c>
      <c r="T81" s="65">
        <f>S81*(1-$T$1)</f>
        <v>19133.388686407347</v>
      </c>
      <c r="U81" s="60">
        <f>J81</f>
        <v>91</v>
      </c>
      <c r="V81" s="63">
        <f>1.25*L81</f>
        <v>313.75</v>
      </c>
      <c r="W81" s="63">
        <f>J81-L81/8</f>
        <v>59.625</v>
      </c>
      <c r="X81">
        <f>1.25*L81/(2*$Q$2)</f>
        <v>-198.13760326478237</v>
      </c>
      <c r="Y81" s="63">
        <f>(($Q$2*W81)/V81-$R$2)*X81</f>
        <v>198.37744722732893</v>
      </c>
      <c r="Z81" s="63">
        <f>IF(Y81&gt;U81,Y81,U81)</f>
        <v>198.37744722732893</v>
      </c>
      <c r="AA81" s="64">
        <f>(Z81-W81)/V81</f>
        <v>0.44223887562495279</v>
      </c>
      <c r="AB81" s="64">
        <f>$Q$2*AA81+$R$2</f>
        <v>0.50060524594674249</v>
      </c>
      <c r="AC81" s="63">
        <f>Z81*AB81*365</f>
        <v>36247.708627226231</v>
      </c>
      <c r="AD81" s="65">
        <f>AC81*(1-$T$1)</f>
        <v>25373.39603905836</v>
      </c>
      <c r="AE81" s="63">
        <f>G81</f>
        <v>11676</v>
      </c>
      <c r="AF81" s="63">
        <f>AD81-AE81</f>
        <v>13697.39603905836</v>
      </c>
      <c r="AH81" s="66">
        <f>AB81*(365/$AG$23)*$AG$21</f>
        <v>6090.6971590187004</v>
      </c>
      <c r="AI81" s="66">
        <f>-$AG$7-$AG$13-AH81</f>
        <v>-39690.697159018702</v>
      </c>
      <c r="AJ81" s="66">
        <f>-$AG$13-AH81-$AG$18</f>
        <v>-15690.6971590187</v>
      </c>
      <c r="AK81" s="67">
        <f>-($AG$7/$AG$9)-$AG$13-AH81</f>
        <v>-15690.6971590187</v>
      </c>
      <c r="AL81" s="67">
        <f>-($AG$7/$AG$9)-$AG$13-AH81-$AG$18</f>
        <v>-21690.697159018702</v>
      </c>
      <c r="AM81" s="68">
        <f>AF81+AI81</f>
        <v>-25993.301119960342</v>
      </c>
      <c r="AN81" s="68">
        <f>AF81+AJ81</f>
        <v>-1993.3011199603407</v>
      </c>
      <c r="AO81" s="68">
        <f>AF81+AK81</f>
        <v>-1993.3011199603407</v>
      </c>
      <c r="AP81" s="68">
        <f>AF81+AL81</f>
        <v>-7993.3011199603425</v>
      </c>
    </row>
    <row r="82" spans="1:42">
      <c r="A82" t="s">
        <v>198</v>
      </c>
      <c r="B82" t="s">
        <v>199</v>
      </c>
      <c r="C82" t="s">
        <v>98</v>
      </c>
      <c r="D82">
        <v>2</v>
      </c>
      <c r="E82">
        <v>2500</v>
      </c>
      <c r="F82">
        <f>F$2</f>
        <v>0.97299999999999998</v>
      </c>
      <c r="G82" s="60">
        <f>E82*12*F82</f>
        <v>29190</v>
      </c>
      <c r="H82">
        <v>392</v>
      </c>
      <c r="I82" s="61">
        <v>0.29320000000000002</v>
      </c>
      <c r="J82">
        <v>173</v>
      </c>
      <c r="K82">
        <v>581</v>
      </c>
      <c r="L82">
        <f>K82-J82</f>
        <v>408</v>
      </c>
      <c r="M82">
        <f>H82-J82</f>
        <v>219</v>
      </c>
      <c r="N82" s="62">
        <f>0.8*M82/L82+0.1</f>
        <v>0.52941176470588236</v>
      </c>
      <c r="O82" s="61">
        <v>0.29320000000000002</v>
      </c>
      <c r="P82" s="63">
        <v>100</v>
      </c>
      <c r="Q82" s="64">
        <f>0.1+0.8*(P82-J82)/(K82-J82)</f>
        <v>-4.3137254901960798E-2</v>
      </c>
      <c r="R82" s="64">
        <f>$Q$2*Q82+$R$2</f>
        <v>0.8849007013361716</v>
      </c>
      <c r="S82" s="63">
        <f>365*P82*R82</f>
        <v>32298.875598770264</v>
      </c>
      <c r="T82" s="65">
        <f>S82*(1-$T$1)</f>
        <v>22609.212919139183</v>
      </c>
      <c r="U82" s="60">
        <f>J82</f>
        <v>173</v>
      </c>
      <c r="V82" s="63">
        <f>1.25*L82</f>
        <v>510</v>
      </c>
      <c r="W82" s="63">
        <f>J82-L82/8</f>
        <v>122</v>
      </c>
      <c r="X82">
        <f>1.25*L82/(2*$Q$2)</f>
        <v>-322.07227941048291</v>
      </c>
      <c r="Y82" s="63">
        <f>(($Q$2*W82)/V82-$R$2)*X82</f>
        <v>335.00198593127578</v>
      </c>
      <c r="Z82" s="63">
        <f>IF(Y82&gt;U82,Y82,U82)</f>
        <v>335.00198593127578</v>
      </c>
      <c r="AA82" s="64">
        <f>(Z82-W82)/V82</f>
        <v>0.41765095280642311</v>
      </c>
      <c r="AB82" s="64">
        <f>$Q$2*AA82+$R$2</f>
        <v>0.52007267832000192</v>
      </c>
      <c r="AC82" s="63">
        <f>Z82*AB82*365</f>
        <v>63592.263724016339</v>
      </c>
      <c r="AD82" s="65">
        <f>AC82*(1-$T$1)</f>
        <v>44514.584606811433</v>
      </c>
      <c r="AE82" s="63">
        <f>G82</f>
        <v>29190</v>
      </c>
      <c r="AF82" s="63">
        <f>AD82-AE82</f>
        <v>15324.584606811433</v>
      </c>
      <c r="AH82" s="66">
        <f>AB82*(365/$AG$23)*$AG$21</f>
        <v>6327.5509195600234</v>
      </c>
      <c r="AI82" s="66">
        <f>-$AG$7-$AG$13-AH82</f>
        <v>-39927.550919560024</v>
      </c>
      <c r="AJ82" s="66">
        <f>-$AG$13-AH82-$AG$18</f>
        <v>-15927.550919560024</v>
      </c>
      <c r="AK82" s="67">
        <f>-($AG$7/$AG$9)-$AG$13-AH82</f>
        <v>-15927.550919560024</v>
      </c>
      <c r="AL82" s="67">
        <f>-($AG$7/$AG$9)-$AG$13-AH82-$AG$18</f>
        <v>-21927.550919560024</v>
      </c>
      <c r="AM82" s="68">
        <f>AF82+AI82</f>
        <v>-24602.966312748591</v>
      </c>
      <c r="AN82" s="68">
        <f>AF82+AJ82</f>
        <v>-602.96631274859101</v>
      </c>
      <c r="AO82" s="68">
        <f>AF82+AK82</f>
        <v>-602.96631274859101</v>
      </c>
      <c r="AP82" s="68">
        <f>AF82+AL82</f>
        <v>-6602.966312748591</v>
      </c>
    </row>
    <row r="83" spans="1:42">
      <c r="A83" t="s">
        <v>200</v>
      </c>
      <c r="B83" t="s">
        <v>197</v>
      </c>
      <c r="C83" t="s">
        <v>98</v>
      </c>
      <c r="D83">
        <v>2</v>
      </c>
      <c r="E83">
        <v>1400</v>
      </c>
      <c r="F83">
        <f>F$2</f>
        <v>0.97299999999999998</v>
      </c>
      <c r="G83" s="60">
        <f>E83*12*F83</f>
        <v>16346.4</v>
      </c>
      <c r="H83">
        <v>322</v>
      </c>
      <c r="I83" s="61">
        <v>0.2712</v>
      </c>
      <c r="J83">
        <v>168</v>
      </c>
      <c r="K83">
        <v>392</v>
      </c>
      <c r="L83">
        <f>K83-J83</f>
        <v>224</v>
      </c>
      <c r="M83">
        <f>H83-J83</f>
        <v>154</v>
      </c>
      <c r="N83" s="62">
        <f>0.8*M83/L83+0.1</f>
        <v>0.65</v>
      </c>
      <c r="O83" s="61">
        <v>0.2712</v>
      </c>
      <c r="P83" s="63">
        <v>100</v>
      </c>
      <c r="Q83" s="64">
        <f>0.1+0.8*(P83-J83)/(K83-J83)</f>
        <v>-0.14285714285714288</v>
      </c>
      <c r="R83" s="64">
        <f>$Q$2*Q83+$R$2</f>
        <v>0.96385369746212068</v>
      </c>
      <c r="S83" s="63">
        <f>365*P83*R83</f>
        <v>35180.659957367403</v>
      </c>
      <c r="T83" s="65">
        <f>S83*(1-$T$1)</f>
        <v>24626.461970157179</v>
      </c>
      <c r="U83" s="60">
        <f>J83</f>
        <v>168</v>
      </c>
      <c r="V83" s="63">
        <f>1.25*L83</f>
        <v>280</v>
      </c>
      <c r="W83" s="63">
        <f>J83-L83/8</f>
        <v>140</v>
      </c>
      <c r="X83">
        <f>1.25*L83/(2*$Q$2)</f>
        <v>-176.82399653908865</v>
      </c>
      <c r="Y83" s="63">
        <f>(($Q$2*W83)/V83-$R$2)*X83</f>
        <v>220.43246286422982</v>
      </c>
      <c r="Z83" s="63">
        <f>IF(Y83&gt;U83,Y83,U83)</f>
        <v>220.43246286422982</v>
      </c>
      <c r="AA83" s="64">
        <f>(Z83-W83)/V83</f>
        <v>0.28725879594367792</v>
      </c>
      <c r="AB83" s="64">
        <f>$Q$2*AA83+$R$2</f>
        <v>0.62331037409705048</v>
      </c>
      <c r="AC83" s="63">
        <f>Z83*AB83*365</f>
        <v>50150.211925228607</v>
      </c>
      <c r="AD83" s="65">
        <f>AC83*(1-$T$1)</f>
        <v>35105.148347660019</v>
      </c>
      <c r="AE83" s="63">
        <f>G83</f>
        <v>16346.4</v>
      </c>
      <c r="AF83" s="63">
        <f>AD83-AE83</f>
        <v>18758.748347660017</v>
      </c>
      <c r="AH83" s="66">
        <f>AB83*(365/$AG$23)*$AG$21</f>
        <v>7583.6095515141142</v>
      </c>
      <c r="AI83" s="66">
        <f>-$AG$7-$AG$13-AH83</f>
        <v>-41183.609551514113</v>
      </c>
      <c r="AJ83" s="66">
        <f>-$AG$13-AH83-$AG$18</f>
        <v>-17183.609551514113</v>
      </c>
      <c r="AK83" s="67">
        <f>-($AG$7/$AG$9)-$AG$13-AH83</f>
        <v>-17183.609551514113</v>
      </c>
      <c r="AL83" s="67">
        <f>-($AG$7/$AG$9)-$AG$13-AH83-$AG$18</f>
        <v>-23183.609551514113</v>
      </c>
      <c r="AM83" s="68">
        <f>AF83+AI83</f>
        <v>-22424.861203854096</v>
      </c>
      <c r="AN83" s="68">
        <f>AF83+AJ83</f>
        <v>1575.1387961459041</v>
      </c>
      <c r="AO83" s="68">
        <f>AF83+AK83</f>
        <v>1575.1387961459041</v>
      </c>
      <c r="AP83" s="68">
        <f>AF83+AL83</f>
        <v>-4424.8612038540959</v>
      </c>
    </row>
    <row r="84" spans="1:42">
      <c r="A84" t="s">
        <v>201</v>
      </c>
      <c r="B84" t="s">
        <v>197</v>
      </c>
      <c r="C84" t="s">
        <v>107</v>
      </c>
      <c r="D84">
        <v>1</v>
      </c>
      <c r="E84">
        <v>1300</v>
      </c>
      <c r="F84">
        <f>F$2</f>
        <v>0.97299999999999998</v>
      </c>
      <c r="G84" s="60">
        <f>E84*12*F84</f>
        <v>15178.8</v>
      </c>
      <c r="H84">
        <v>257</v>
      </c>
      <c r="I84" s="61">
        <v>0.55069999999999997</v>
      </c>
      <c r="J84">
        <v>155</v>
      </c>
      <c r="K84">
        <v>494</v>
      </c>
      <c r="L84">
        <f>K84-J84</f>
        <v>339</v>
      </c>
      <c r="M84">
        <f>H84-J84</f>
        <v>102</v>
      </c>
      <c r="N84" s="62">
        <f>0.8*M84/L84+0.1</f>
        <v>0.34070796460176994</v>
      </c>
      <c r="O84" s="61">
        <v>0.55069999999999997</v>
      </c>
      <c r="P84" s="63">
        <v>100</v>
      </c>
      <c r="Q84" s="64">
        <f>0.1+0.8*(P84-J84)/(K84-J84)</f>
        <v>-2.9793510324483768E-2</v>
      </c>
      <c r="R84" s="64">
        <f>$Q$2*Q84+$R$2</f>
        <v>0.87433582169646828</v>
      </c>
      <c r="S84" s="63">
        <f>365*P84*R84</f>
        <v>31913.257491921093</v>
      </c>
      <c r="T84" s="65">
        <f>S84*(1-$T$1)</f>
        <v>22339.280244344765</v>
      </c>
      <c r="U84" s="60">
        <f>J84</f>
        <v>155</v>
      </c>
      <c r="V84" s="63">
        <f>1.25*L84</f>
        <v>423.75</v>
      </c>
      <c r="W84" s="63">
        <f>J84-L84/8</f>
        <v>112.625</v>
      </c>
      <c r="X84">
        <f>1.25*L84/(2*$Q$2)</f>
        <v>-267.60417333371004</v>
      </c>
      <c r="Y84" s="63">
        <f>(($Q$2*W84)/V84-$R$2)*X84</f>
        <v>283.9759147811335</v>
      </c>
      <c r="Z84" s="63">
        <f>IF(Y84&gt;U84,Y84,U84)</f>
        <v>283.9759147811335</v>
      </c>
      <c r="AA84" s="64">
        <f>(Z84-W84)/V84</f>
        <v>0.40436794048645075</v>
      </c>
      <c r="AB84" s="64">
        <f>$Q$2*AA84+$R$2</f>
        <v>0.53058947333195627</v>
      </c>
      <c r="AC84" s="63">
        <f>Z84*AB84*365</f>
        <v>54996.240337878975</v>
      </c>
      <c r="AD84" s="65">
        <f>AC84*(1-$T$1)</f>
        <v>38497.368236515278</v>
      </c>
      <c r="AE84" s="63">
        <f>G84</f>
        <v>15178.8</v>
      </c>
      <c r="AF84" s="63">
        <f>AD84-AE84</f>
        <v>23318.568236515279</v>
      </c>
      <c r="AH84" s="66">
        <f>AB84*(365/$AG$23)*$AG$21</f>
        <v>6455.5052588721355</v>
      </c>
      <c r="AI84" s="66">
        <f>-$AG$7-$AG$13-AH84</f>
        <v>-40055.505258872137</v>
      </c>
      <c r="AJ84" s="66">
        <f>-$AG$13-AH84-$AG$18</f>
        <v>-16055.505258872136</v>
      </c>
      <c r="AK84" s="67">
        <f>-($AG$7/$AG$9)-$AG$13-AH84</f>
        <v>-16055.505258872136</v>
      </c>
      <c r="AL84" s="67">
        <f>-($AG$7/$AG$9)-$AG$13-AH84-$AG$18</f>
        <v>-22055.505258872137</v>
      </c>
      <c r="AM84" s="68">
        <f>AF84+AI84</f>
        <v>-16736.937022356859</v>
      </c>
      <c r="AN84" s="68">
        <f>AF84+AJ84</f>
        <v>7263.0629776431433</v>
      </c>
      <c r="AO84" s="68">
        <f>AF84+AK84</f>
        <v>7263.0629776431433</v>
      </c>
      <c r="AP84" s="68">
        <f>AF84+AL84</f>
        <v>1263.0629776431415</v>
      </c>
    </row>
    <row r="85" spans="1:42">
      <c r="A85" t="s">
        <v>202</v>
      </c>
      <c r="B85" t="s">
        <v>197</v>
      </c>
      <c r="C85" t="s">
        <v>107</v>
      </c>
      <c r="D85">
        <v>2</v>
      </c>
      <c r="E85">
        <v>1800</v>
      </c>
      <c r="F85">
        <f>F$2</f>
        <v>0.97299999999999998</v>
      </c>
      <c r="G85" s="60">
        <f>E85*12*F85</f>
        <v>21016.799999999999</v>
      </c>
      <c r="H85">
        <v>286</v>
      </c>
      <c r="I85" s="61">
        <v>0.4521</v>
      </c>
      <c r="J85">
        <v>151</v>
      </c>
      <c r="K85">
        <v>391</v>
      </c>
      <c r="L85">
        <f>K85-J85</f>
        <v>240</v>
      </c>
      <c r="M85">
        <f>H85-J85</f>
        <v>135</v>
      </c>
      <c r="N85" s="62">
        <f>0.8*M85/L85+0.1</f>
        <v>0.55000000000000004</v>
      </c>
      <c r="O85" s="61">
        <v>0.4521</v>
      </c>
      <c r="P85" s="63">
        <v>100</v>
      </c>
      <c r="Q85" s="64">
        <f>0.1+0.8*(P85-J85)/(K85-J85)</f>
        <v>-7.0000000000000007E-2</v>
      </c>
      <c r="R85" s="64">
        <f>$Q$2*Q85+$R$2</f>
        <v>0.90616921911279669</v>
      </c>
      <c r="S85" s="63">
        <f>365*P85*R85</f>
        <v>33075.176497617082</v>
      </c>
      <c r="T85" s="65">
        <f>S85*(1-$T$1)</f>
        <v>23152.623548331954</v>
      </c>
      <c r="U85" s="60">
        <f>J85</f>
        <v>151</v>
      </c>
      <c r="V85" s="63">
        <f>1.25*L85</f>
        <v>300</v>
      </c>
      <c r="W85" s="63">
        <f>J85-L85/8</f>
        <v>121</v>
      </c>
      <c r="X85">
        <f>1.25*L85/(2*$Q$2)</f>
        <v>-189.45428200616641</v>
      </c>
      <c r="Y85" s="63">
        <f>(($Q$2*W85)/V85-$R$2)*X85</f>
        <v>221.67763878310336</v>
      </c>
      <c r="Z85" s="63">
        <f>IF(Y85&gt;U85,Y85,U85)</f>
        <v>221.67763878310336</v>
      </c>
      <c r="AA85" s="64">
        <f>(Z85-W85)/V85</f>
        <v>0.33559212927701121</v>
      </c>
      <c r="AB85" s="64">
        <f>$Q$2*AA85+$R$2</f>
        <v>0.58504256656465592</v>
      </c>
      <c r="AC85" s="63">
        <f>Z85*AB85*365</f>
        <v>47337.161981435711</v>
      </c>
      <c r="AD85" s="65">
        <f>AC85*(1-$T$1)</f>
        <v>33136.013387004998</v>
      </c>
      <c r="AE85" s="63">
        <f>G85</f>
        <v>21016.799999999999</v>
      </c>
      <c r="AF85" s="63">
        <f>AD85-AE85</f>
        <v>12119.213387004998</v>
      </c>
      <c r="AH85" s="66">
        <f>AB85*(365/$AG$23)*$AG$21</f>
        <v>7118.0178932033141</v>
      </c>
      <c r="AI85" s="66">
        <f>-$AG$7-$AG$13-AH85</f>
        <v>-40718.017893203316</v>
      </c>
      <c r="AJ85" s="66">
        <f>-$AG$13-AH85-$AG$18</f>
        <v>-16718.017893203316</v>
      </c>
      <c r="AK85" s="67">
        <f>-($AG$7/$AG$9)-$AG$13-AH85</f>
        <v>-16718.017893203316</v>
      </c>
      <c r="AL85" s="67">
        <f>-($AG$7/$AG$9)-$AG$13-AH85-$AG$18</f>
        <v>-22718.017893203316</v>
      </c>
      <c r="AM85" s="68">
        <f>AF85+AI85</f>
        <v>-28598.804506198318</v>
      </c>
      <c r="AN85" s="68">
        <f>AF85+AJ85</f>
        <v>-4598.8045061983175</v>
      </c>
      <c r="AO85" s="68">
        <f>AF85+AK85</f>
        <v>-4598.8045061983175</v>
      </c>
      <c r="AP85" s="68">
        <f>AF85+AL85</f>
        <v>-10598.804506198318</v>
      </c>
    </row>
    <row r="86" spans="1:42">
      <c r="A86" t="s">
        <v>203</v>
      </c>
      <c r="B86" t="s">
        <v>204</v>
      </c>
      <c r="C86" t="s">
        <v>98</v>
      </c>
      <c r="D86">
        <v>1</v>
      </c>
      <c r="E86">
        <v>700</v>
      </c>
      <c r="F86">
        <f>F$2</f>
        <v>0.97299999999999998</v>
      </c>
      <c r="G86" s="60">
        <f>E86*12*F86</f>
        <v>8173.2</v>
      </c>
      <c r="H86">
        <v>180</v>
      </c>
      <c r="I86" s="61">
        <v>0.51780000000000004</v>
      </c>
      <c r="J86">
        <v>99</v>
      </c>
      <c r="K86">
        <v>265</v>
      </c>
      <c r="L86">
        <f>K86-J86</f>
        <v>166</v>
      </c>
      <c r="M86">
        <f>H86-J86</f>
        <v>81</v>
      </c>
      <c r="N86" s="62">
        <f>0.8*M86/L86+0.1</f>
        <v>0.49036144578313257</v>
      </c>
      <c r="O86" s="61">
        <v>0.51780000000000004</v>
      </c>
      <c r="P86" s="63">
        <v>100</v>
      </c>
      <c r="Q86" s="64">
        <f>0.1+0.8*(P86-J86)/(K86-J86)</f>
        <v>0.10481927710843374</v>
      </c>
      <c r="R86" s="64">
        <f>$Q$2*Q86+$R$2</f>
        <v>0.76775645119546054</v>
      </c>
      <c r="S86" s="63">
        <f>365*P86*R86</f>
        <v>28023.11046863431</v>
      </c>
      <c r="T86" s="65">
        <f>S86*(1-$T$1)</f>
        <v>19616.177328044014</v>
      </c>
      <c r="U86" s="60">
        <f>J86</f>
        <v>99</v>
      </c>
      <c r="V86" s="63">
        <f>1.25*L86</f>
        <v>207.5</v>
      </c>
      <c r="W86" s="63">
        <f>J86-L86/8</f>
        <v>78.25</v>
      </c>
      <c r="X86">
        <f>1.25*L86/(2*$Q$2)</f>
        <v>-131.03921172093177</v>
      </c>
      <c r="Y86" s="63">
        <f>(($Q$2*W86)/V86-$R$2)*X86</f>
        <v>150.60620015831319</v>
      </c>
      <c r="Z86" s="63">
        <f>IF(Y86&gt;U86,Y86,U86)</f>
        <v>150.60620015831319</v>
      </c>
      <c r="AA86" s="64">
        <f>(Z86-W86)/V86</f>
        <v>0.34870457907620811</v>
      </c>
      <c r="AB86" s="64">
        <f>$Q$2*AA86+$R$2</f>
        <v>0.57466081404340374</v>
      </c>
      <c r="AC86" s="63">
        <f>Z86*AB86*365</f>
        <v>31589.830777780422</v>
      </c>
      <c r="AD86" s="65">
        <f>AC86*(1-$T$1)</f>
        <v>22112.881544446293</v>
      </c>
      <c r="AE86" s="63">
        <f>G86</f>
        <v>8173.2</v>
      </c>
      <c r="AF86" s="63">
        <f>AD86-AE86</f>
        <v>13939.681544446292</v>
      </c>
      <c r="AH86" s="66">
        <f>AB86*(365/$AG$23)*$AG$21</f>
        <v>6991.7065708614136</v>
      </c>
      <c r="AI86" s="66">
        <f>-$AG$7-$AG$13-AH86</f>
        <v>-40591.70657086141</v>
      </c>
      <c r="AJ86" s="66">
        <f>-$AG$13-AH86-$AG$18</f>
        <v>-16591.706570861414</v>
      </c>
      <c r="AK86" s="67">
        <f>-($AG$7/$AG$9)-$AG$13-AH86</f>
        <v>-16591.706570861414</v>
      </c>
      <c r="AL86" s="67">
        <f>-($AG$7/$AG$9)-$AG$13-AH86-$AG$18</f>
        <v>-22591.706570861414</v>
      </c>
      <c r="AM86" s="68">
        <f>AF86+AI86</f>
        <v>-26652.025026415118</v>
      </c>
      <c r="AN86" s="68">
        <f>AF86+AJ86</f>
        <v>-2652.0250264151218</v>
      </c>
      <c r="AO86" s="68">
        <f>AF86+AK86</f>
        <v>-2652.0250264151218</v>
      </c>
      <c r="AP86" s="68">
        <f>AF86+AL86</f>
        <v>-8652.0250264151218</v>
      </c>
    </row>
    <row r="87" spans="1:42">
      <c r="A87" t="s">
        <v>205</v>
      </c>
      <c r="B87" t="s">
        <v>204</v>
      </c>
      <c r="C87" t="s">
        <v>98</v>
      </c>
      <c r="D87">
        <v>2</v>
      </c>
      <c r="E87">
        <v>900</v>
      </c>
      <c r="F87">
        <f>F$2</f>
        <v>0.97299999999999998</v>
      </c>
      <c r="G87" s="60">
        <f>E87*12*F87</f>
        <v>10508.4</v>
      </c>
      <c r="H87">
        <v>230</v>
      </c>
      <c r="I87" s="61">
        <v>0.52049999999999996</v>
      </c>
      <c r="J87">
        <v>154</v>
      </c>
      <c r="K87">
        <v>286</v>
      </c>
      <c r="L87">
        <f>K87-J87</f>
        <v>132</v>
      </c>
      <c r="M87">
        <f>H87-J87</f>
        <v>76</v>
      </c>
      <c r="N87" s="62">
        <f>0.8*M87/L87+0.1</f>
        <v>0.56060606060606066</v>
      </c>
      <c r="O87" s="61">
        <v>0.52049999999999996</v>
      </c>
      <c r="P87" s="63">
        <v>100</v>
      </c>
      <c r="Q87" s="64">
        <f>0.1+0.8*(P87-J87)/(K87-J87)</f>
        <v>-0.22727272727272727</v>
      </c>
      <c r="R87" s="64">
        <f>$Q$2*Q87+$R$2</f>
        <v>1.0306895458169523</v>
      </c>
      <c r="S87" s="63">
        <f>365*P87*R87</f>
        <v>37620.168422318755</v>
      </c>
      <c r="T87" s="65">
        <f>S87*(1-$T$1)</f>
        <v>26334.117895623127</v>
      </c>
      <c r="U87" s="60">
        <f>J87</f>
        <v>154</v>
      </c>
      <c r="V87" s="63">
        <f>1.25*L87</f>
        <v>165</v>
      </c>
      <c r="W87" s="63">
        <f>J87-L87/8</f>
        <v>137.5</v>
      </c>
      <c r="X87">
        <f>1.25*L87/(2*$Q$2)</f>
        <v>-104.19985510339153</v>
      </c>
      <c r="Y87" s="63">
        <f>(($Q$2*W87)/V87-$R$2)*X87</f>
        <v>157.39770133070687</v>
      </c>
      <c r="Z87" s="63">
        <f>IF(Y87&gt;U87,Y87,U87)</f>
        <v>157.39770133070687</v>
      </c>
      <c r="AA87" s="64">
        <f>(Z87-W87)/V87</f>
        <v>0.12059212927701131</v>
      </c>
      <c r="AB87" s="64">
        <f>$Q$2*AA87+$R$2</f>
        <v>0.755268331105308</v>
      </c>
      <c r="AC87" s="63">
        <f>Z87*AB87*365</f>
        <v>43390.287209406961</v>
      </c>
      <c r="AD87" s="65">
        <f>AC87*(1-$T$1)</f>
        <v>30373.201046584869</v>
      </c>
      <c r="AE87" s="63">
        <f>G87</f>
        <v>10508.4</v>
      </c>
      <c r="AF87" s="63">
        <f>AD87-AE87</f>
        <v>19864.801046584871</v>
      </c>
      <c r="AH87" s="66">
        <f>AB87*(365/$AG$23)*$AG$21</f>
        <v>9189.0980284479137</v>
      </c>
      <c r="AI87" s="66">
        <f>-$AG$7-$AG$13-AH87</f>
        <v>-42789.098028447916</v>
      </c>
      <c r="AJ87" s="66">
        <f>-$AG$13-AH87-$AG$18</f>
        <v>-18789.098028447916</v>
      </c>
      <c r="AK87" s="67">
        <f>-($AG$7/$AG$9)-$AG$13-AH87</f>
        <v>-18789.098028447916</v>
      </c>
      <c r="AL87" s="67">
        <f>-($AG$7/$AG$9)-$AG$13-AH87-$AG$18</f>
        <v>-24789.098028447916</v>
      </c>
      <c r="AM87" s="68">
        <f>AF87+AI87</f>
        <v>-22924.296981863044</v>
      </c>
      <c r="AN87" s="68">
        <f>AF87+AJ87</f>
        <v>1075.7030181369555</v>
      </c>
      <c r="AO87" s="68">
        <f>AF87+AK87</f>
        <v>1075.7030181369555</v>
      </c>
      <c r="AP87" s="68">
        <f>AF87+AL87</f>
        <v>-4924.2969818630445</v>
      </c>
    </row>
    <row r="88" spans="1:42">
      <c r="A88" t="s">
        <v>206</v>
      </c>
      <c r="B88" t="s">
        <v>204</v>
      </c>
      <c r="C88" t="s">
        <v>107</v>
      </c>
      <c r="D88">
        <v>1</v>
      </c>
      <c r="E88">
        <v>1000</v>
      </c>
      <c r="F88">
        <f>F$2</f>
        <v>0.97299999999999998</v>
      </c>
      <c r="G88" s="60">
        <f>E88*12*F88</f>
        <v>11676</v>
      </c>
      <c r="H88">
        <v>221</v>
      </c>
      <c r="I88" s="61">
        <v>0.63009999999999999</v>
      </c>
      <c r="J88">
        <v>190</v>
      </c>
      <c r="K88">
        <v>462</v>
      </c>
      <c r="L88">
        <f>K88-J88</f>
        <v>272</v>
      </c>
      <c r="M88">
        <f>H88-J88</f>
        <v>31</v>
      </c>
      <c r="N88" s="62">
        <f>0.8*M88/L88+0.1</f>
        <v>0.19117647058823531</v>
      </c>
      <c r="O88" s="61">
        <v>0.63009999999999999</v>
      </c>
      <c r="P88" s="63">
        <v>100</v>
      </c>
      <c r="Q88" s="64">
        <f>0.1+0.8*(P88-J88)/(K88-J88)</f>
        <v>-0.16470588235294117</v>
      </c>
      <c r="R88" s="64">
        <f>$Q$2*Q88+$R$2</f>
        <v>0.98115238762454771</v>
      </c>
      <c r="S88" s="63">
        <f>365*P88*R88</f>
        <v>35812.06214829599</v>
      </c>
      <c r="T88" s="65">
        <f>S88*(1-$T$1)</f>
        <v>25068.443503807193</v>
      </c>
      <c r="U88" s="60">
        <f>J88</f>
        <v>190</v>
      </c>
      <c r="V88" s="63">
        <f>1.25*L88</f>
        <v>340</v>
      </c>
      <c r="W88" s="63">
        <f>J88-L88/8</f>
        <v>156</v>
      </c>
      <c r="X88">
        <f>1.25*L88/(2*$Q$2)</f>
        <v>-214.71485294032192</v>
      </c>
      <c r="Y88" s="63">
        <f>(($Q$2*W88)/V88-$R$2)*X88</f>
        <v>260.66799062085045</v>
      </c>
      <c r="Z88" s="63">
        <f>IF(Y88&gt;U88,Y88,U88)</f>
        <v>260.66799062085045</v>
      </c>
      <c r="AA88" s="64">
        <f>(Z88-W88)/V88</f>
        <v>0.30784703123779544</v>
      </c>
      <c r="AB88" s="64">
        <f>$Q$2*AA88+$R$2</f>
        <v>0.6070096852901482</v>
      </c>
      <c r="AC88" s="63">
        <f>Z88*AB88*365</f>
        <v>57753.218157471871</v>
      </c>
      <c r="AD88" s="65">
        <f>AC88*(1-$T$1)</f>
        <v>40427.252710230307</v>
      </c>
      <c r="AE88" s="63">
        <f>G88</f>
        <v>11676</v>
      </c>
      <c r="AF88" s="63">
        <f>AD88-AE88</f>
        <v>28751.252710230307</v>
      </c>
      <c r="AH88" s="66">
        <f>AB88*(365/$AG$23)*$AG$21</f>
        <v>7385.2845043634698</v>
      </c>
      <c r="AI88" s="66">
        <f>-$AG$7-$AG$13-AH88</f>
        <v>-40985.284504363473</v>
      </c>
      <c r="AJ88" s="66">
        <f>-$AG$13-AH88-$AG$18</f>
        <v>-16985.28450436347</v>
      </c>
      <c r="AK88" s="67">
        <f>-($AG$7/$AG$9)-$AG$13-AH88</f>
        <v>-16985.28450436347</v>
      </c>
      <c r="AL88" s="67">
        <f>-($AG$7/$AG$9)-$AG$13-AH88-$AG$18</f>
        <v>-22985.28450436347</v>
      </c>
      <c r="AM88" s="68">
        <f>AF88+AI88</f>
        <v>-12234.031794133167</v>
      </c>
      <c r="AN88" s="68">
        <f>AF88+AJ88</f>
        <v>11765.968205866837</v>
      </c>
      <c r="AO88" s="68">
        <f>AF88+AK88</f>
        <v>11765.968205866837</v>
      </c>
      <c r="AP88" s="68">
        <f>AF88+AL88</f>
        <v>5765.9682058668368</v>
      </c>
    </row>
    <row r="89" spans="1:42">
      <c r="A89" t="s">
        <v>207</v>
      </c>
      <c r="B89" t="s">
        <v>204</v>
      </c>
      <c r="C89" t="s">
        <v>107</v>
      </c>
      <c r="D89">
        <v>2</v>
      </c>
      <c r="E89">
        <v>1200</v>
      </c>
      <c r="F89">
        <f>F$2</f>
        <v>0.97299999999999998</v>
      </c>
      <c r="G89" s="60">
        <f>E89*12*F89</f>
        <v>14011.199999999999</v>
      </c>
      <c r="H89">
        <v>316</v>
      </c>
      <c r="I89" s="61">
        <v>0.36990000000000001</v>
      </c>
      <c r="J89">
        <v>205</v>
      </c>
      <c r="K89">
        <v>411</v>
      </c>
      <c r="L89">
        <f>K89-J89</f>
        <v>206</v>
      </c>
      <c r="M89">
        <f>H89-J89</f>
        <v>111</v>
      </c>
      <c r="N89" s="62">
        <f>0.8*M89/L89+0.1</f>
        <v>0.53106796116504862</v>
      </c>
      <c r="O89" s="61">
        <v>0.36990000000000001</v>
      </c>
      <c r="P89" s="63">
        <v>100</v>
      </c>
      <c r="Q89" s="64">
        <f>0.1+0.8*(P89-J89)/(K89-J89)</f>
        <v>-0.30776699029126209</v>
      </c>
      <c r="R89" s="64">
        <f>$Q$2*Q89+$R$2</f>
        <v>1.0944206968098196</v>
      </c>
      <c r="S89" s="63">
        <f>365*P89*R89</f>
        <v>39946.355433558412</v>
      </c>
      <c r="T89" s="65">
        <f>S89*(1-$T$1)</f>
        <v>27962.448803490886</v>
      </c>
      <c r="U89" s="60">
        <f>J89</f>
        <v>205</v>
      </c>
      <c r="V89" s="63">
        <f>1.25*L89</f>
        <v>257.5</v>
      </c>
      <c r="W89" s="63">
        <f>J89-L89/8</f>
        <v>179.25</v>
      </c>
      <c r="X89">
        <f>1.25*L89/(2*$Q$2)</f>
        <v>-162.61492538862618</v>
      </c>
      <c r="Y89" s="63">
        <f>(($Q$2*W89)/V89-$R$2)*X89</f>
        <v>227.9691399554971</v>
      </c>
      <c r="Z89" s="63">
        <f>IF(Y89&gt;U89,Y89,U89)</f>
        <v>227.9691399554971</v>
      </c>
      <c r="AA89" s="64">
        <f>(Z89-W89)/V89</f>
        <v>0.1892005435164936</v>
      </c>
      <c r="AB89" s="64">
        <f>$Q$2*AA89+$R$2</f>
        <v>0.70094777404559805</v>
      </c>
      <c r="AC89" s="63">
        <f>Z89*AB89*365</f>
        <v>58324.97833905671</v>
      </c>
      <c r="AD89" s="65">
        <f>AC89*(1-$T$1)</f>
        <v>40827.484837339696</v>
      </c>
      <c r="AE89" s="63">
        <f>G89</f>
        <v>14011.199999999999</v>
      </c>
      <c r="AF89" s="63">
        <f>AD89-AE89</f>
        <v>26816.284837339699</v>
      </c>
      <c r="AH89" s="66">
        <f>AB89*(365/$AG$23)*$AG$21</f>
        <v>8528.1979175547767</v>
      </c>
      <c r="AI89" s="66">
        <f>-$AG$7-$AG$13-AH89</f>
        <v>-42128.197917554775</v>
      </c>
      <c r="AJ89" s="66">
        <f>-$AG$13-AH89-$AG$18</f>
        <v>-18128.197917554775</v>
      </c>
      <c r="AK89" s="67">
        <f>-($AG$7/$AG$9)-$AG$13-AH89</f>
        <v>-18128.197917554775</v>
      </c>
      <c r="AL89" s="67">
        <f>-($AG$7/$AG$9)-$AG$13-AH89-$AG$18</f>
        <v>-24128.197917554775</v>
      </c>
      <c r="AM89" s="68">
        <f>AF89+AI89</f>
        <v>-15311.913080215076</v>
      </c>
      <c r="AN89" s="68">
        <f>AF89+AJ89</f>
        <v>8688.0869197849242</v>
      </c>
      <c r="AO89" s="68">
        <f>AF89+AK89</f>
        <v>8688.0869197849242</v>
      </c>
      <c r="AP89" s="68">
        <f>AF89+AL89</f>
        <v>2688.0869197849242</v>
      </c>
    </row>
    <row r="90" spans="1:42">
      <c r="A90" t="s">
        <v>208</v>
      </c>
      <c r="B90" t="s">
        <v>209</v>
      </c>
      <c r="C90" t="s">
        <v>98</v>
      </c>
      <c r="D90">
        <v>1</v>
      </c>
      <c r="E90">
        <v>700</v>
      </c>
      <c r="F90">
        <f>F$2</f>
        <v>0.97299999999999998</v>
      </c>
      <c r="G90" s="60">
        <f>E90*12*F90</f>
        <v>8173.2</v>
      </c>
      <c r="H90">
        <v>245</v>
      </c>
      <c r="I90" s="61">
        <v>0.56989999999999996</v>
      </c>
      <c r="J90">
        <v>192</v>
      </c>
      <c r="K90">
        <v>313</v>
      </c>
      <c r="L90">
        <f>K90-J90</f>
        <v>121</v>
      </c>
      <c r="M90">
        <f>H90-J90</f>
        <v>53</v>
      </c>
      <c r="N90" s="62">
        <f>0.8*M90/L90+0.1</f>
        <v>0.45041322314049592</v>
      </c>
      <c r="O90" s="61">
        <v>0.56989999999999996</v>
      </c>
      <c r="P90" s="63">
        <v>100</v>
      </c>
      <c r="Q90" s="64">
        <f>0.1+0.8*(P90-J90)/(K90-J90)</f>
        <v>-0.50826446280991744</v>
      </c>
      <c r="R90" s="64">
        <f>$Q$2*Q90+$R$2</f>
        <v>1.2531641179631055</v>
      </c>
      <c r="S90" s="63">
        <f>365*P90*R90</f>
        <v>45740.490305653351</v>
      </c>
      <c r="T90" s="65">
        <f>S90*(1-$T$1)</f>
        <v>32018.343213957345</v>
      </c>
      <c r="U90" s="60">
        <f>J90</f>
        <v>192</v>
      </c>
      <c r="V90" s="63">
        <f>1.25*L90</f>
        <v>151.25</v>
      </c>
      <c r="W90" s="63">
        <f>J90-L90/8</f>
        <v>176.875</v>
      </c>
      <c r="X90">
        <f>1.25*L90/(2*$Q$2)</f>
        <v>-95.516533844775566</v>
      </c>
      <c r="Y90" s="63">
        <f>(($Q$2*W90)/V90-$R$2)*X90</f>
        <v>169.6978928864813</v>
      </c>
      <c r="Z90" s="63">
        <f>IF(Y90&gt;U90,Y90,U90)</f>
        <v>192</v>
      </c>
      <c r="AA90" s="64">
        <f>(Z90-W90)/V90</f>
        <v>0.1</v>
      </c>
      <c r="AB90" s="64">
        <f>$Q$2*AA90+$R$2</f>
        <v>0.77157210296437406</v>
      </c>
      <c r="AC90" s="63">
        <f>Z90*AB90*365</f>
        <v>54071.772975743341</v>
      </c>
      <c r="AD90" s="65">
        <f>AC90*(1-$T$1)</f>
        <v>37850.241083020337</v>
      </c>
      <c r="AE90" s="63">
        <f>G90</f>
        <v>8173.2</v>
      </c>
      <c r="AF90" s="63">
        <f>AD90-AE90</f>
        <v>29677.041083020336</v>
      </c>
      <c r="AH90" s="66">
        <f>AB90*(365/$AG$23)*$AG$21</f>
        <v>9387.4605860665506</v>
      </c>
      <c r="AI90" s="66">
        <f>-$AG$7-$AG$13-AH90</f>
        <v>-42987.460586066547</v>
      </c>
      <c r="AJ90" s="66">
        <f>-$AG$13-AH90-$AG$18</f>
        <v>-18987.460586066551</v>
      </c>
      <c r="AK90" s="67">
        <f>-($AG$7/$AG$9)-$AG$13-AH90</f>
        <v>-18987.460586066551</v>
      </c>
      <c r="AL90" s="67">
        <f>-($AG$7/$AG$9)-$AG$13-AH90-$AG$18</f>
        <v>-24987.460586066551</v>
      </c>
      <c r="AM90" s="68">
        <f>AF90+AI90</f>
        <v>-13310.419503046211</v>
      </c>
      <c r="AN90" s="68">
        <f>AF90+AJ90</f>
        <v>10689.580496953786</v>
      </c>
      <c r="AO90" s="68">
        <f>AF90+AK90</f>
        <v>10689.580496953786</v>
      </c>
      <c r="AP90" s="68">
        <f>AF90+AL90</f>
        <v>4689.5804969537858</v>
      </c>
    </row>
    <row r="91" spans="1:42">
      <c r="A91" t="s">
        <v>210</v>
      </c>
      <c r="B91" t="s">
        <v>209</v>
      </c>
      <c r="C91" t="s">
        <v>98</v>
      </c>
      <c r="D91">
        <v>2</v>
      </c>
      <c r="E91">
        <v>1000</v>
      </c>
      <c r="F91">
        <f>F$2</f>
        <v>0.97299999999999998</v>
      </c>
      <c r="G91" s="60">
        <f>E91*12*F91</f>
        <v>11676</v>
      </c>
      <c r="H91">
        <v>266</v>
      </c>
      <c r="I91" s="61">
        <v>0.41920000000000002</v>
      </c>
      <c r="J91">
        <v>192</v>
      </c>
      <c r="K91">
        <v>357</v>
      </c>
      <c r="L91">
        <f>K91-J91</f>
        <v>165</v>
      </c>
      <c r="M91">
        <f>H91-J91</f>
        <v>74</v>
      </c>
      <c r="N91" s="62">
        <f>0.8*M91/L91+0.1</f>
        <v>0.45878787878787886</v>
      </c>
      <c r="O91" s="61">
        <v>0.41920000000000002</v>
      </c>
      <c r="P91" s="63">
        <v>100</v>
      </c>
      <c r="Q91" s="64">
        <f>0.1+0.8*(P91-J91)/(K91-J91)</f>
        <v>-0.34606060606060607</v>
      </c>
      <c r="R91" s="64">
        <f>$Q$2*Q91+$R$2</f>
        <v>1.1247395806301106</v>
      </c>
      <c r="S91" s="63">
        <f>365*P91*R91</f>
        <v>41052.99469299904</v>
      </c>
      <c r="T91" s="65">
        <f>S91*(1-$T$1)</f>
        <v>28737.096285099327</v>
      </c>
      <c r="U91" s="60">
        <f>J91</f>
        <v>192</v>
      </c>
      <c r="V91" s="63">
        <f>1.25*L91</f>
        <v>206.25</v>
      </c>
      <c r="W91" s="63">
        <f>J91-L91/8</f>
        <v>171.375</v>
      </c>
      <c r="X91">
        <f>1.25*L91/(2*$Q$2)</f>
        <v>-130.2498188792394</v>
      </c>
      <c r="Y91" s="63">
        <f>(($Q$2*W91)/V91-$R$2)*X91</f>
        <v>196.49712666338357</v>
      </c>
      <c r="Z91" s="63">
        <f>IF(Y91&gt;U91,Y91,U91)</f>
        <v>196.49712666338357</v>
      </c>
      <c r="AA91" s="64">
        <f>(Z91-W91)/V91</f>
        <v>0.12180425048913245</v>
      </c>
      <c r="AB91" s="64">
        <f>$Q$2*AA91+$R$2</f>
        <v>0.7543086368725207</v>
      </c>
      <c r="AC91" s="63">
        <f>Z91*AB91*365</f>
        <v>54100.110113430725</v>
      </c>
      <c r="AD91" s="65">
        <f>AC91*(1-$T$1)</f>
        <v>37870.077079401504</v>
      </c>
      <c r="AE91" s="63">
        <f>G91</f>
        <v>11676</v>
      </c>
      <c r="AF91" s="63">
        <f>AD91-AE91</f>
        <v>26194.077079401504</v>
      </c>
      <c r="AH91" s="66">
        <f>AB91*(365/$AG$23)*$AG$21</f>
        <v>9177.4217486156685</v>
      </c>
      <c r="AI91" s="66">
        <f>-$AG$7-$AG$13-AH91</f>
        <v>-42777.42174861567</v>
      </c>
      <c r="AJ91" s="66">
        <f>-$AG$13-AH91-$AG$18</f>
        <v>-18777.42174861567</v>
      </c>
      <c r="AK91" s="67">
        <f>-($AG$7/$AG$9)-$AG$13-AH91</f>
        <v>-18777.42174861567</v>
      </c>
      <c r="AL91" s="67">
        <f>-($AG$7/$AG$9)-$AG$13-AH91-$AG$18</f>
        <v>-24777.42174861567</v>
      </c>
      <c r="AM91" s="68">
        <f>AF91+AI91</f>
        <v>-16583.344669214166</v>
      </c>
      <c r="AN91" s="68">
        <f>AF91+AJ91</f>
        <v>7416.6553307858339</v>
      </c>
      <c r="AO91" s="68">
        <f>AF91+AK91</f>
        <v>7416.6553307858339</v>
      </c>
      <c r="AP91" s="68">
        <f>AF91+AL91</f>
        <v>1416.6553307858339</v>
      </c>
    </row>
    <row r="92" spans="1:42">
      <c r="A92" t="s">
        <v>211</v>
      </c>
      <c r="B92" t="s">
        <v>209</v>
      </c>
      <c r="C92" t="s">
        <v>107</v>
      </c>
      <c r="D92">
        <v>1</v>
      </c>
      <c r="E92">
        <v>800</v>
      </c>
      <c r="F92">
        <f>F$2</f>
        <v>0.97299999999999998</v>
      </c>
      <c r="G92" s="60">
        <f>E92*12*F92</f>
        <v>9340.7999999999993</v>
      </c>
      <c r="H92">
        <v>325</v>
      </c>
      <c r="I92" s="61">
        <v>0.45479999999999998</v>
      </c>
      <c r="J92">
        <v>186</v>
      </c>
      <c r="K92">
        <v>465</v>
      </c>
      <c r="L92">
        <f>K92-J92</f>
        <v>279</v>
      </c>
      <c r="M92">
        <f>H92-J92</f>
        <v>139</v>
      </c>
      <c r="N92" s="62">
        <f>0.8*M92/L92+0.1</f>
        <v>0.49856630824372761</v>
      </c>
      <c r="O92" s="61">
        <v>0.45479999999999998</v>
      </c>
      <c r="P92" s="63">
        <v>100</v>
      </c>
      <c r="Q92" s="64">
        <f>0.1+0.8*(P92-J92)/(K92-J92)</f>
        <v>-0.14659498207885302</v>
      </c>
      <c r="R92" s="64">
        <f>$Q$2*Q92+$R$2</f>
        <v>0.96681312322605395</v>
      </c>
      <c r="S92" s="63">
        <f>365*P92*R92</f>
        <v>35288.678997750969</v>
      </c>
      <c r="T92" s="65">
        <f>S92*(1-$T$1)</f>
        <v>24702.075298425676</v>
      </c>
      <c r="U92" s="60">
        <f>J92</f>
        <v>186</v>
      </c>
      <c r="V92" s="63">
        <f>1.25*L92</f>
        <v>348.75</v>
      </c>
      <c r="W92" s="63">
        <f>J92-L92/8</f>
        <v>151.125</v>
      </c>
      <c r="X92">
        <f>1.25*L92/(2*$Q$2)</f>
        <v>-220.24060283216846</v>
      </c>
      <c r="Y92" s="63">
        <f>(($Q$2*W92)/V92-$R$2)*X92</f>
        <v>262.93150508535768</v>
      </c>
      <c r="Z92" s="63">
        <f>IF(Y92&gt;U92,Y92,U92)</f>
        <v>262.93150508535768</v>
      </c>
      <c r="AA92" s="64">
        <f>(Z92-W92)/V92</f>
        <v>0.32059212927701131</v>
      </c>
      <c r="AB92" s="64">
        <f>$Q$2*AA92+$R$2</f>
        <v>0.596918782695399</v>
      </c>
      <c r="AC92" s="63">
        <f>Z92*AB92*365</f>
        <v>57286.295190954595</v>
      </c>
      <c r="AD92" s="65">
        <f>AC92*(1-$T$1)</f>
        <v>40100.406633668215</v>
      </c>
      <c r="AE92" s="63">
        <f>G92</f>
        <v>9340.7999999999993</v>
      </c>
      <c r="AF92" s="63">
        <f>AD92-AE92</f>
        <v>30759.606633668216</v>
      </c>
      <c r="AH92" s="66">
        <f>AB92*(365/$AG$23)*$AG$21</f>
        <v>7262.5118561273557</v>
      </c>
      <c r="AI92" s="66">
        <f>-$AG$7-$AG$13-AH92</f>
        <v>-40862.511856127356</v>
      </c>
      <c r="AJ92" s="66">
        <f>-$AG$13-AH92-$AG$18</f>
        <v>-16862.511856127356</v>
      </c>
      <c r="AK92" s="67">
        <f>-($AG$7/$AG$9)-$AG$13-AH92</f>
        <v>-16862.511856127356</v>
      </c>
      <c r="AL92" s="67">
        <f>-($AG$7/$AG$9)-$AG$13-AH92-$AG$18</f>
        <v>-22862.511856127356</v>
      </c>
      <c r="AM92" s="68">
        <f>AF92+AI92</f>
        <v>-10102.90522245914</v>
      </c>
      <c r="AN92" s="68">
        <f>AF92+AJ92</f>
        <v>13897.09477754086</v>
      </c>
      <c r="AO92" s="68">
        <f>AF92+AK92</f>
        <v>13897.09477754086</v>
      </c>
      <c r="AP92" s="68">
        <f>AF92+AL92</f>
        <v>7897.0947775408604</v>
      </c>
    </row>
    <row r="93" spans="1:42">
      <c r="A93" t="s">
        <v>212</v>
      </c>
      <c r="B93" t="s">
        <v>199</v>
      </c>
      <c r="C93" t="s">
        <v>107</v>
      </c>
      <c r="D93">
        <v>1</v>
      </c>
      <c r="E93">
        <v>2500</v>
      </c>
      <c r="F93">
        <f>F$2</f>
        <v>0.97299999999999998</v>
      </c>
      <c r="G93" s="60">
        <f>E93*12*F93</f>
        <v>29190</v>
      </c>
      <c r="H93">
        <v>393</v>
      </c>
      <c r="I93" s="61">
        <v>0.62190000000000001</v>
      </c>
      <c r="J93">
        <v>189</v>
      </c>
      <c r="K93">
        <v>588</v>
      </c>
      <c r="L93">
        <f>K93-J93</f>
        <v>399</v>
      </c>
      <c r="M93">
        <f>H93-J93</f>
        <v>204</v>
      </c>
      <c r="N93" s="62">
        <f>0.8*M93/L93+0.1</f>
        <v>0.50902255639097749</v>
      </c>
      <c r="O93" s="61">
        <v>0.62190000000000001</v>
      </c>
      <c r="P93" s="63">
        <v>100</v>
      </c>
      <c r="Q93" s="64">
        <f>0.1+0.8*(P93-J93)/(K93-J93)</f>
        <v>-7.8446115288220541E-2</v>
      </c>
      <c r="R93" s="64">
        <f>$Q$2*Q93+$R$2</f>
        <v>0.91285641182133537</v>
      </c>
      <c r="S93" s="63">
        <f>365*P93*R93</f>
        <v>33319.259031478738</v>
      </c>
      <c r="T93" s="65">
        <f>S93*(1-$T$1)</f>
        <v>23323.481322035113</v>
      </c>
      <c r="U93" s="60">
        <f>J93</f>
        <v>189</v>
      </c>
      <c r="V93" s="63">
        <f>1.25*L93</f>
        <v>498.75</v>
      </c>
      <c r="W93" s="63">
        <f>J93-L93/8</f>
        <v>139.125</v>
      </c>
      <c r="X93">
        <f>1.25*L93/(2*$Q$2)</f>
        <v>-314.96774383525167</v>
      </c>
      <c r="Y93" s="63">
        <f>(($Q$2*W93)/V93-$R$2)*X93</f>
        <v>337.52032447690937</v>
      </c>
      <c r="Z93" s="63">
        <f>IF(Y93&gt;U93,Y93,U93)</f>
        <v>337.52032447690937</v>
      </c>
      <c r="AA93" s="64">
        <f>(Z93-W93)/V93</f>
        <v>0.39778511173315162</v>
      </c>
      <c r="AB93" s="64">
        <f>$Q$2*AA93+$R$2</f>
        <v>0.53580141313367968</v>
      </c>
      <c r="AC93" s="63">
        <f>Z93*AB93*365</f>
        <v>66008.011387864142</v>
      </c>
      <c r="AD93" s="65">
        <f>AC93*(1-$T$1)</f>
        <v>46205.607971504898</v>
      </c>
      <c r="AE93" s="63">
        <f>G93</f>
        <v>29190</v>
      </c>
      <c r="AF93" s="63">
        <f>AD93-AE93</f>
        <v>17015.607971504898</v>
      </c>
      <c r="AH93" s="66">
        <f>AB93*(365/$AG$23)*$AG$21</f>
        <v>6518.9171931264373</v>
      </c>
      <c r="AI93" s="66">
        <f>-$AG$7-$AG$13-AH93</f>
        <v>-40118.917193126435</v>
      </c>
      <c r="AJ93" s="66">
        <f>-$AG$13-AH93-$AG$18</f>
        <v>-16118.917193126437</v>
      </c>
      <c r="AK93" s="67">
        <f>-($AG$7/$AG$9)-$AG$13-AH93</f>
        <v>-16118.917193126437</v>
      </c>
      <c r="AL93" s="67">
        <f>-($AG$7/$AG$9)-$AG$13-AH93-$AG$18</f>
        <v>-22118.917193126435</v>
      </c>
      <c r="AM93" s="68">
        <f>AF93+AI93</f>
        <v>-23103.309221621537</v>
      </c>
      <c r="AN93" s="68">
        <f>AF93+AJ93</f>
        <v>896.69077837846089</v>
      </c>
      <c r="AO93" s="68">
        <f>AF93+AK93</f>
        <v>896.69077837846089</v>
      </c>
      <c r="AP93" s="68">
        <f>AF93+AL93</f>
        <v>-5103.3092216215373</v>
      </c>
    </row>
    <row r="94" spans="1:42">
      <c r="A94" t="s">
        <v>213</v>
      </c>
      <c r="B94" t="s">
        <v>209</v>
      </c>
      <c r="C94" t="s">
        <v>107</v>
      </c>
      <c r="D94">
        <v>2</v>
      </c>
      <c r="E94">
        <v>900</v>
      </c>
      <c r="F94">
        <f>F$2</f>
        <v>0.97299999999999998</v>
      </c>
      <c r="G94" s="60">
        <f>E94*12*F94</f>
        <v>10508.4</v>
      </c>
      <c r="H94">
        <v>256</v>
      </c>
      <c r="I94" s="61">
        <v>0.70960000000000001</v>
      </c>
      <c r="J94">
        <v>209</v>
      </c>
      <c r="K94">
        <v>358</v>
      </c>
      <c r="L94">
        <f>K94-J94</f>
        <v>149</v>
      </c>
      <c r="M94">
        <f>H94-J94</f>
        <v>47</v>
      </c>
      <c r="N94" s="62">
        <f>0.8*M94/L94+0.1</f>
        <v>0.3523489932885906</v>
      </c>
      <c r="O94" s="61">
        <v>0.70960000000000001</v>
      </c>
      <c r="P94" s="63">
        <v>100</v>
      </c>
      <c r="Q94" s="64">
        <f>0.1+0.8*(P94-J94)/(K94-J94)</f>
        <v>-0.4852348993288591</v>
      </c>
      <c r="R94" s="64">
        <f>$Q$2*Q94+$R$2</f>
        <v>1.2349305130765909</v>
      </c>
      <c r="S94" s="63">
        <f>365*P94*R94</f>
        <v>45074.963727295566</v>
      </c>
      <c r="T94" s="65">
        <f>S94*(1-$T$1)</f>
        <v>31552.474609106896</v>
      </c>
      <c r="U94" s="60">
        <f>J94</f>
        <v>209</v>
      </c>
      <c r="V94" s="63">
        <f>1.25*L94</f>
        <v>186.25</v>
      </c>
      <c r="W94" s="63">
        <f>J94-L94/8</f>
        <v>190.375</v>
      </c>
      <c r="X94">
        <f>1.25*L94/(2*$Q$2)</f>
        <v>-117.61953341216164</v>
      </c>
      <c r="Y94" s="63">
        <f>(($Q$2*W94)/V94-$R$2)*X94</f>
        <v>195.25195074451003</v>
      </c>
      <c r="Z94" s="63">
        <f>IF(Y94&gt;U94,Y94,U94)</f>
        <v>209</v>
      </c>
      <c r="AA94" s="64">
        <f>(Z94-W94)/V94</f>
        <v>0.1</v>
      </c>
      <c r="AB94" s="64">
        <f>$Q$2*AA94+$R$2</f>
        <v>0.77157210296437406</v>
      </c>
      <c r="AC94" s="63">
        <f>Z94*AB94*365</f>
        <v>58859.377874637277</v>
      </c>
      <c r="AD94" s="65">
        <f>AC94*(1-$T$1)</f>
        <v>41201.564512246092</v>
      </c>
      <c r="AE94" s="63">
        <f>G94</f>
        <v>10508.4</v>
      </c>
      <c r="AF94" s="63">
        <f>AD94-AE94</f>
        <v>30693.16451224609</v>
      </c>
      <c r="AH94" s="66">
        <f>AB94*(365/$AG$23)*$AG$21</f>
        <v>9387.4605860665506</v>
      </c>
      <c r="AI94" s="66">
        <f>-$AG$7-$AG$13-AH94</f>
        <v>-42987.460586066547</v>
      </c>
      <c r="AJ94" s="66">
        <f>-$AG$13-AH94-$AG$18</f>
        <v>-18987.460586066551</v>
      </c>
      <c r="AK94" s="67">
        <f>-($AG$7/$AG$9)-$AG$13-AH94</f>
        <v>-18987.460586066551</v>
      </c>
      <c r="AL94" s="67">
        <f>-($AG$7/$AG$9)-$AG$13-AH94-$AG$18</f>
        <v>-24987.460586066551</v>
      </c>
      <c r="AM94" s="68">
        <f>AF94+AI94</f>
        <v>-12294.296073820457</v>
      </c>
      <c r="AN94" s="68">
        <f>AF94+AJ94</f>
        <v>11705.70392617954</v>
      </c>
      <c r="AO94" s="68">
        <f>AF94+AK94</f>
        <v>11705.70392617954</v>
      </c>
      <c r="AP94" s="68">
        <f>AF94+AL94</f>
        <v>5705.7039261795398</v>
      </c>
    </row>
    <row r="95" spans="1:42">
      <c r="A95" t="s">
        <v>214</v>
      </c>
      <c r="B95" t="s">
        <v>215</v>
      </c>
      <c r="C95" t="s">
        <v>98</v>
      </c>
      <c r="D95">
        <v>1</v>
      </c>
      <c r="E95">
        <v>700</v>
      </c>
      <c r="F95">
        <f>F$2</f>
        <v>0.97299999999999998</v>
      </c>
      <c r="G95" s="60">
        <f>E95*12*F95</f>
        <v>8173.2</v>
      </c>
      <c r="H95">
        <v>184</v>
      </c>
      <c r="I95" s="61">
        <v>0.30959999999999999</v>
      </c>
      <c r="J95">
        <v>42</v>
      </c>
      <c r="K95">
        <v>252</v>
      </c>
      <c r="L95">
        <f>K95-J95</f>
        <v>210</v>
      </c>
      <c r="M95">
        <f>H95-J95</f>
        <v>142</v>
      </c>
      <c r="N95" s="62">
        <f>0.8*M95/L95+0.1</f>
        <v>0.64095238095238094</v>
      </c>
      <c r="O95" s="61">
        <v>0.30959999999999999</v>
      </c>
      <c r="P95" s="63">
        <v>100</v>
      </c>
      <c r="Q95" s="64">
        <f>0.1+0.8*(P95-J95)/(K95-J95)</f>
        <v>0.32095238095238099</v>
      </c>
      <c r="R95" s="64">
        <f>$Q$2*Q95+$R$2</f>
        <v>0.59663355424485554</v>
      </c>
      <c r="S95" s="63">
        <f>365*P95*R95</f>
        <v>21777.124729937226</v>
      </c>
      <c r="T95" s="65">
        <f>S95*(1-$T$1)</f>
        <v>15243.987310956058</v>
      </c>
      <c r="U95" s="60">
        <f>J95</f>
        <v>42</v>
      </c>
      <c r="V95" s="63">
        <f>1.25*L95</f>
        <v>262.5</v>
      </c>
      <c r="W95" s="63">
        <f>J95-L95/8</f>
        <v>15.75</v>
      </c>
      <c r="X95">
        <f>1.25*L95/(2*$Q$2)</f>
        <v>-165.77249675539562</v>
      </c>
      <c r="Y95" s="63">
        <f>(($Q$2*W95)/V95-$R$2)*X95</f>
        <v>148.90543393521548</v>
      </c>
      <c r="Z95" s="63">
        <f>IF(Y95&gt;U95,Y95,U95)</f>
        <v>148.90543393521548</v>
      </c>
      <c r="AA95" s="64">
        <f>(Z95-W95)/V95</f>
        <v>0.50725879594367806</v>
      </c>
      <c r="AB95" s="64">
        <f>$Q$2*AA95+$R$2</f>
        <v>0.44912587084615052</v>
      </c>
      <c r="AC95" s="63">
        <f>Z95*AB95*365</f>
        <v>24410.208181805319</v>
      </c>
      <c r="AD95" s="65">
        <f>AC95*(1-$T$1)</f>
        <v>17087.145727263724</v>
      </c>
      <c r="AE95" s="63">
        <f>G95</f>
        <v>8173.2</v>
      </c>
      <c r="AF95" s="63">
        <f>AD95-AE95</f>
        <v>8913.9457272637228</v>
      </c>
      <c r="AH95" s="66">
        <f>AB95*(365/$AG$23)*$AG$21</f>
        <v>5464.3647619614985</v>
      </c>
      <c r="AI95" s="66">
        <f>-$AG$7-$AG$13-AH95</f>
        <v>-39064.3647619615</v>
      </c>
      <c r="AJ95" s="66">
        <f>-$AG$13-AH95-$AG$18</f>
        <v>-15064.364761961499</v>
      </c>
      <c r="AK95" s="67">
        <f>-($AG$7/$AG$9)-$AG$13-AH95</f>
        <v>-15064.364761961499</v>
      </c>
      <c r="AL95" s="67">
        <f>-($AG$7/$AG$9)-$AG$13-AH95-$AG$18</f>
        <v>-21064.3647619615</v>
      </c>
      <c r="AM95" s="68">
        <f>AF95+AI95</f>
        <v>-30150.419034697778</v>
      </c>
      <c r="AN95" s="68">
        <f>AF95+AJ95</f>
        <v>-6150.4190346977757</v>
      </c>
      <c r="AO95" s="68">
        <f>AF95+AK95</f>
        <v>-6150.4190346977757</v>
      </c>
      <c r="AP95" s="68">
        <f>AF95+AL95</f>
        <v>-12150.419034697778</v>
      </c>
    </row>
    <row r="96" spans="1:42">
      <c r="A96" t="s">
        <v>216</v>
      </c>
      <c r="B96" t="s">
        <v>215</v>
      </c>
      <c r="C96" t="s">
        <v>98</v>
      </c>
      <c r="D96">
        <v>2</v>
      </c>
      <c r="E96">
        <v>1000</v>
      </c>
      <c r="F96">
        <f>F$2</f>
        <v>0.97299999999999998</v>
      </c>
      <c r="G96" s="60">
        <f>E96*12*F96</f>
        <v>11676</v>
      </c>
      <c r="H96">
        <v>427</v>
      </c>
      <c r="I96" s="61">
        <v>0.24110000000000001</v>
      </c>
      <c r="J96">
        <v>94</v>
      </c>
      <c r="K96">
        <v>531</v>
      </c>
      <c r="L96">
        <f>K96-J96</f>
        <v>437</v>
      </c>
      <c r="M96">
        <f>H96-J96</f>
        <v>333</v>
      </c>
      <c r="N96" s="62">
        <f>0.8*M96/L96+0.1</f>
        <v>0.70961098398169342</v>
      </c>
      <c r="O96" s="61">
        <v>0.24110000000000001</v>
      </c>
      <c r="P96" s="63">
        <v>100</v>
      </c>
      <c r="Q96" s="64">
        <f>0.1+0.8*(P96-J96)/(K96-J96)</f>
        <v>0.11098398169336385</v>
      </c>
      <c r="R96" s="64">
        <f>$Q$2*Q96+$R$2</f>
        <v>0.76287556025993963</v>
      </c>
      <c r="S96" s="63">
        <f>365*P96*R96</f>
        <v>27844.957949487798</v>
      </c>
      <c r="T96" s="65">
        <f>S96*(1-$T$1)</f>
        <v>19491.470564641459</v>
      </c>
      <c r="U96" s="60">
        <f>J96</f>
        <v>94</v>
      </c>
      <c r="V96" s="63">
        <f>1.25*L96</f>
        <v>546.25</v>
      </c>
      <c r="W96" s="63">
        <f>J96-L96/8</f>
        <v>39.375</v>
      </c>
      <c r="X96">
        <f>1.25*L96/(2*$Q$2)</f>
        <v>-344.96467181956132</v>
      </c>
      <c r="Y96" s="63">
        <f>(($Q$2*W96)/V96-$R$2)*X96</f>
        <v>313.16511728423404</v>
      </c>
      <c r="Z96" s="63">
        <f>IF(Y96&gt;U96,Y96,U96)</f>
        <v>313.16511728423404</v>
      </c>
      <c r="AA96" s="64">
        <f>(Z96-W96)/V96</f>
        <v>0.50121760601232779</v>
      </c>
      <c r="AB96" s="64">
        <f>$Q$2*AA96+$R$2</f>
        <v>0.45390896933358954</v>
      </c>
      <c r="AC96" s="63">
        <f>Z96*AB96*365</f>
        <v>51884.186300467562</v>
      </c>
      <c r="AD96" s="65">
        <f>AC96*(1-$T$1)</f>
        <v>36318.930410327288</v>
      </c>
      <c r="AE96" s="63">
        <f>G96</f>
        <v>11676</v>
      </c>
      <c r="AF96" s="63">
        <f>AD96-AE96</f>
        <v>24642.930410327288</v>
      </c>
      <c r="AH96" s="66">
        <f>AB96*(365/$AG$23)*$AG$21</f>
        <v>5522.5591268920061</v>
      </c>
      <c r="AI96" s="66">
        <f>-$AG$7-$AG$13-AH96</f>
        <v>-39122.559126892003</v>
      </c>
      <c r="AJ96" s="66">
        <f>-$AG$13-AH96-$AG$18</f>
        <v>-15122.559126892007</v>
      </c>
      <c r="AK96" s="67">
        <f>-($AG$7/$AG$9)-$AG$13-AH96</f>
        <v>-15122.559126892007</v>
      </c>
      <c r="AL96" s="67">
        <f>-($AG$7/$AG$9)-$AG$13-AH96-$AG$18</f>
        <v>-21122.559126892007</v>
      </c>
      <c r="AM96" s="68">
        <f>AF96+AI96</f>
        <v>-14479.628716564715</v>
      </c>
      <c r="AN96" s="68">
        <f>AF96+AJ96</f>
        <v>9520.3712834352809</v>
      </c>
      <c r="AO96" s="68">
        <f>AF96+AK96</f>
        <v>9520.3712834352809</v>
      </c>
      <c r="AP96" s="68">
        <f>AF96+AL96</f>
        <v>3520.3712834352809</v>
      </c>
    </row>
    <row r="97" spans="1:42">
      <c r="A97" t="s">
        <v>217</v>
      </c>
      <c r="B97" t="s">
        <v>215</v>
      </c>
      <c r="C97" t="s">
        <v>107</v>
      </c>
      <c r="D97">
        <v>1</v>
      </c>
      <c r="E97">
        <v>900</v>
      </c>
      <c r="F97">
        <f>F$2</f>
        <v>0.97299999999999998</v>
      </c>
      <c r="G97" s="60">
        <f>E97*12*F97</f>
        <v>10508.4</v>
      </c>
      <c r="H97">
        <v>418</v>
      </c>
      <c r="I97" s="61">
        <v>4.6600000000000003E-2</v>
      </c>
      <c r="J97">
        <v>86</v>
      </c>
      <c r="K97">
        <v>488</v>
      </c>
      <c r="L97">
        <f>K97-J97</f>
        <v>402</v>
      </c>
      <c r="M97">
        <f>H97-J97</f>
        <v>332</v>
      </c>
      <c r="N97" s="62">
        <f>0.8*M97/L97+0.1</f>
        <v>0.76069651741293531</v>
      </c>
      <c r="O97" s="61">
        <v>4.6600000000000003E-2</v>
      </c>
      <c r="P97" s="63">
        <v>100</v>
      </c>
      <c r="Q97" s="64">
        <f>0.1+0.8*(P97-J97)/(K97-J97)</f>
        <v>0.12786069651741294</v>
      </c>
      <c r="R97" s="64">
        <f>$Q$2*Q97+$R$2</f>
        <v>0.74951345940478464</v>
      </c>
      <c r="S97" s="63">
        <f>365*P97*R97</f>
        <v>27357.24126827464</v>
      </c>
      <c r="T97" s="65">
        <f>S97*(1-$T$1)</f>
        <v>19150.068887792248</v>
      </c>
      <c r="U97" s="60">
        <f>J97</f>
        <v>86</v>
      </c>
      <c r="V97" s="63">
        <f>1.25*L97</f>
        <v>502.5</v>
      </c>
      <c r="W97" s="63">
        <f>J97-L97/8</f>
        <v>35.75</v>
      </c>
      <c r="X97">
        <f>1.25*L97/(2*$Q$2)</f>
        <v>-317.33592236032871</v>
      </c>
      <c r="Y97" s="63">
        <f>(($Q$2*W97)/V97-$R$2)*X97</f>
        <v>287.84754496169813</v>
      </c>
      <c r="Z97" s="63">
        <f>IF(Y97&gt;U97,Y97,U97)</f>
        <v>287.84754496169813</v>
      </c>
      <c r="AA97" s="64">
        <f>(Z97-W97)/V97</f>
        <v>0.50168665664019529</v>
      </c>
      <c r="AB97" s="64">
        <f>$Q$2*AA97+$R$2</f>
        <v>0.45353759955806849</v>
      </c>
      <c r="AC97" s="63">
        <f>Z97*AB97*365</f>
        <v>47650.634871923292</v>
      </c>
      <c r="AD97" s="65">
        <f>AC97*(1-$T$1)</f>
        <v>33355.444410346303</v>
      </c>
      <c r="AE97" s="63">
        <f>G97</f>
        <v>10508.4</v>
      </c>
      <c r="AF97" s="63">
        <f>AD97-AE97</f>
        <v>22847.044410346301</v>
      </c>
      <c r="AH97" s="66">
        <f>AB97*(365/$AG$23)*$AG$21</f>
        <v>5518.0407946231671</v>
      </c>
      <c r="AI97" s="66">
        <f>-$AG$7-$AG$13-AH97</f>
        <v>-39118.040794623164</v>
      </c>
      <c r="AJ97" s="66">
        <f>-$AG$13-AH97-$AG$18</f>
        <v>-15118.040794623168</v>
      </c>
      <c r="AK97" s="67">
        <f>-($AG$7/$AG$9)-$AG$13-AH97</f>
        <v>-15118.040794623168</v>
      </c>
      <c r="AL97" s="67">
        <f>-($AG$7/$AG$9)-$AG$13-AH97-$AG$18</f>
        <v>-21118.040794623168</v>
      </c>
      <c r="AM97" s="68">
        <f>AF97+AI97</f>
        <v>-16270.996384276863</v>
      </c>
      <c r="AN97" s="68">
        <f>AF97+AJ97</f>
        <v>7729.0036157231334</v>
      </c>
      <c r="AO97" s="68">
        <f>AF97+AK97</f>
        <v>7729.0036157231334</v>
      </c>
      <c r="AP97" s="68">
        <f>AF97+AL97</f>
        <v>1729.0036157231334</v>
      </c>
    </row>
    <row r="98" spans="1:42">
      <c r="A98" t="s">
        <v>218</v>
      </c>
      <c r="B98" t="s">
        <v>215</v>
      </c>
      <c r="C98" t="s">
        <v>107</v>
      </c>
      <c r="D98">
        <v>2</v>
      </c>
      <c r="E98">
        <v>1200</v>
      </c>
      <c r="F98">
        <f>F$2</f>
        <v>0.97299999999999998</v>
      </c>
      <c r="G98" s="60">
        <f>E98*12*F98</f>
        <v>14011.199999999999</v>
      </c>
      <c r="H98">
        <v>219</v>
      </c>
      <c r="I98" s="61">
        <v>0.63560000000000005</v>
      </c>
      <c r="J98">
        <v>83</v>
      </c>
      <c r="K98">
        <v>556</v>
      </c>
      <c r="L98">
        <f>K98-J98</f>
        <v>473</v>
      </c>
      <c r="M98">
        <f>H98-J98</f>
        <v>136</v>
      </c>
      <c r="N98" s="62">
        <f>0.8*M98/L98+0.1</f>
        <v>0.33002114164904867</v>
      </c>
      <c r="O98" s="61">
        <v>0.63560000000000005</v>
      </c>
      <c r="P98" s="63">
        <v>100</v>
      </c>
      <c r="Q98" s="64">
        <f>0.1+0.8*(P98-J98)/(K98-J98)</f>
        <v>0.1287526427061311</v>
      </c>
      <c r="R98" s="64">
        <f>$Q$2*Q98+$R$2</f>
        <v>0.74880726302383738</v>
      </c>
      <c r="S98" s="63">
        <f>365*P98*R98</f>
        <v>27331.465100370064</v>
      </c>
      <c r="T98" s="65">
        <f>S98*(1-$T$1)</f>
        <v>19132.025570259044</v>
      </c>
      <c r="U98" s="60">
        <f>J98</f>
        <v>83</v>
      </c>
      <c r="V98" s="63">
        <f>1.25*L98</f>
        <v>591.25</v>
      </c>
      <c r="W98" s="63">
        <f>J98-L98/8</f>
        <v>23.875</v>
      </c>
      <c r="X98">
        <f>1.25*L98/(2*$Q$2)</f>
        <v>-373.38281412048627</v>
      </c>
      <c r="Y98" s="63">
        <f>(($Q$2*W98)/V98-$R$2)*X98</f>
        <v>329.59176310169954</v>
      </c>
      <c r="Z98" s="63">
        <f>IF(Y98&gt;U98,Y98,U98)</f>
        <v>329.59176310169954</v>
      </c>
      <c r="AA98" s="64">
        <f>(Z98-W98)/V98</f>
        <v>0.51706852110224022</v>
      </c>
      <c r="AB98" s="64">
        <f>$Q$2*AA98+$R$2</f>
        <v>0.4413590431017323</v>
      </c>
      <c r="AC98" s="63">
        <f>Z98*AB98*365</f>
        <v>53095.931389524318</v>
      </c>
      <c r="AD98" s="65">
        <f>AC98*(1-$T$1)</f>
        <v>37167.151972667023</v>
      </c>
      <c r="AE98" s="63">
        <f>G98</f>
        <v>14011.199999999999</v>
      </c>
      <c r="AF98" s="63">
        <f>AD98-AE98</f>
        <v>23155.951972667026</v>
      </c>
      <c r="AH98" s="66">
        <f>AB98*(365/$AG$23)*$AG$21</f>
        <v>5369.8683577377433</v>
      </c>
      <c r="AI98" s="66">
        <f>-$AG$7-$AG$13-AH98</f>
        <v>-38969.868357737745</v>
      </c>
      <c r="AJ98" s="66">
        <f>-$AG$13-AH98-$AG$18</f>
        <v>-14969.868357737743</v>
      </c>
      <c r="AK98" s="67">
        <f>-($AG$7/$AG$9)-$AG$13-AH98</f>
        <v>-14969.868357737743</v>
      </c>
      <c r="AL98" s="67">
        <f>-($AG$7/$AG$9)-$AG$13-AH98-$AG$18</f>
        <v>-20969.868357737745</v>
      </c>
      <c r="AM98" s="68">
        <f>AF98+AI98</f>
        <v>-15813.916385070719</v>
      </c>
      <c r="AN98" s="68">
        <f>AF98+AJ98</f>
        <v>8186.0836149292827</v>
      </c>
      <c r="AO98" s="68">
        <f>AF98+AK98</f>
        <v>8186.0836149292827</v>
      </c>
      <c r="AP98" s="68">
        <f>AF98+AL98</f>
        <v>2186.0836149292809</v>
      </c>
    </row>
    <row r="99" spans="1:42">
      <c r="A99" t="s">
        <v>219</v>
      </c>
      <c r="B99" t="s">
        <v>220</v>
      </c>
      <c r="C99" t="s">
        <v>98</v>
      </c>
      <c r="D99">
        <v>1</v>
      </c>
      <c r="E99">
        <v>1100</v>
      </c>
      <c r="F99">
        <f>F$2</f>
        <v>0.97299999999999998</v>
      </c>
      <c r="G99" s="60">
        <f>E99*12*F99</f>
        <v>12843.6</v>
      </c>
      <c r="H99">
        <v>220</v>
      </c>
      <c r="I99" s="61">
        <v>0.43009999999999998</v>
      </c>
      <c r="J99">
        <v>84</v>
      </c>
      <c r="K99">
        <v>301</v>
      </c>
      <c r="L99">
        <f>K99-J99</f>
        <v>217</v>
      </c>
      <c r="M99">
        <f>H99-J99</f>
        <v>136</v>
      </c>
      <c r="N99" s="62">
        <f>0.8*M99/L99+0.1</f>
        <v>0.60138248847926268</v>
      </c>
      <c r="O99" s="61">
        <v>0.43009999999999998</v>
      </c>
      <c r="P99" s="63">
        <v>100</v>
      </c>
      <c r="Q99" s="64">
        <f>0.1+0.8*(P99-J99)/(K99-J99)</f>
        <v>0.15898617511520738</v>
      </c>
      <c r="R99" s="64">
        <f>$Q$2*Q99+$R$2</f>
        <v>0.72486993200476957</v>
      </c>
      <c r="S99" s="63">
        <f>365*P99*R99</f>
        <v>26457.752518174089</v>
      </c>
      <c r="T99" s="65">
        <f>S99*(1-$T$1)</f>
        <v>18520.426762721861</v>
      </c>
      <c r="U99" s="60">
        <f>J99</f>
        <v>84</v>
      </c>
      <c r="V99" s="63">
        <f>1.25*L99</f>
        <v>271.25</v>
      </c>
      <c r="W99" s="63">
        <f>J99-L99/8</f>
        <v>56.875</v>
      </c>
      <c r="X99">
        <f>1.25*L99/(2*$Q$2)</f>
        <v>-171.29824664724214</v>
      </c>
      <c r="Y99" s="63">
        <f>(($Q$2*W99)/V99-$R$2)*X99</f>
        <v>174.16894839972267</v>
      </c>
      <c r="Z99" s="63">
        <f>IF(Y99&gt;U99,Y99,U99)</f>
        <v>174.16894839972267</v>
      </c>
      <c r="AA99" s="64">
        <f>(Z99-W99)/V99</f>
        <v>0.43242008626625866</v>
      </c>
      <c r="AB99" s="64">
        <f>$Q$2*AA99+$R$2</f>
        <v>0.50837925025114872</v>
      </c>
      <c r="AC99" s="63">
        <f>Z99*AB99*365</f>
        <v>32318.515982635934</v>
      </c>
      <c r="AD99" s="65">
        <f>AC99*(1-$T$1)</f>
        <v>22622.961187845154</v>
      </c>
      <c r="AE99" s="63">
        <f>G99</f>
        <v>12843.6</v>
      </c>
      <c r="AF99" s="63">
        <f>AD99-AE99</f>
        <v>9779.3611878451538</v>
      </c>
      <c r="AH99" s="66">
        <f>AB99*(365/$AG$23)*$AG$21</f>
        <v>6185.2808780556434</v>
      </c>
      <c r="AI99" s="66">
        <f>-$AG$7-$AG$13-AH99</f>
        <v>-39785.280878055644</v>
      </c>
      <c r="AJ99" s="66">
        <f>-$AG$13-AH99-$AG$18</f>
        <v>-15785.280878055644</v>
      </c>
      <c r="AK99" s="67">
        <f>-($AG$7/$AG$9)-$AG$13-AH99</f>
        <v>-15785.280878055644</v>
      </c>
      <c r="AL99" s="67">
        <f>-($AG$7/$AG$9)-$AG$13-AH99-$AG$18</f>
        <v>-21785.280878055644</v>
      </c>
      <c r="AM99" s="68">
        <f>AF99+AI99</f>
        <v>-30005.919690210489</v>
      </c>
      <c r="AN99" s="68">
        <f>AF99+AJ99</f>
        <v>-6005.9196902104904</v>
      </c>
      <c r="AO99" s="68">
        <f>AF99+AK99</f>
        <v>-6005.9196902104904</v>
      </c>
      <c r="AP99" s="68">
        <f>AF99+AL99</f>
        <v>-12005.91969021049</v>
      </c>
    </row>
    <row r="100" spans="1:42">
      <c r="A100" t="s">
        <v>221</v>
      </c>
      <c r="B100" t="s">
        <v>220</v>
      </c>
      <c r="C100" t="s">
        <v>98</v>
      </c>
      <c r="D100">
        <v>2</v>
      </c>
      <c r="E100">
        <v>1400</v>
      </c>
      <c r="F100">
        <f>F$2</f>
        <v>0.97299999999999998</v>
      </c>
      <c r="G100" s="60">
        <f>E100*12*F100</f>
        <v>16346.4</v>
      </c>
      <c r="H100">
        <v>481</v>
      </c>
      <c r="I100" s="61">
        <v>0.38080000000000003</v>
      </c>
      <c r="J100">
        <v>134</v>
      </c>
      <c r="K100">
        <v>568</v>
      </c>
      <c r="L100">
        <f>K100-J100</f>
        <v>434</v>
      </c>
      <c r="M100">
        <f>H100-J100</f>
        <v>347</v>
      </c>
      <c r="N100" s="62">
        <f>0.8*M100/L100+0.1</f>
        <v>0.73963133640553003</v>
      </c>
      <c r="O100" s="61">
        <v>0.38080000000000003</v>
      </c>
      <c r="P100" s="63">
        <v>100</v>
      </c>
      <c r="Q100" s="64">
        <f>0.1+0.8*(P100-J100)/(K100-J100)</f>
        <v>3.7327188940092168E-2</v>
      </c>
      <c r="R100" s="64">
        <f>$Q$2*Q100+$R$2</f>
        <v>0.82119315960895378</v>
      </c>
      <c r="S100" s="63">
        <f>365*P100*R100</f>
        <v>29973.550325726814</v>
      </c>
      <c r="T100" s="65">
        <f>S100*(1-$T$1)</f>
        <v>20981.485228008769</v>
      </c>
      <c r="U100" s="60">
        <f>J100</f>
        <v>134</v>
      </c>
      <c r="V100" s="63">
        <f>1.25*L100</f>
        <v>542.5</v>
      </c>
      <c r="W100" s="63">
        <f>J100-L100/8</f>
        <v>79.75</v>
      </c>
      <c r="X100">
        <f>1.25*L100/(2*$Q$2)</f>
        <v>-342.59649329448428</v>
      </c>
      <c r="Y100" s="63">
        <f>(($Q$2*W100)/V100-$R$2)*X100</f>
        <v>331.33789679944528</v>
      </c>
      <c r="Z100" s="63">
        <f>IF(Y100&gt;U100,Y100,U100)</f>
        <v>331.33789679944528</v>
      </c>
      <c r="AA100" s="64">
        <f>(Z100-W100)/V100</f>
        <v>0.46375649179621248</v>
      </c>
      <c r="AB100" s="64">
        <f>$Q$2*AA100+$R$2</f>
        <v>0.48356872192885891</v>
      </c>
      <c r="AC100" s="63">
        <f>Z100*AB100*365</f>
        <v>58481.99479789492</v>
      </c>
      <c r="AD100" s="65">
        <f>AC100*(1-$T$1)</f>
        <v>40937.396358526443</v>
      </c>
      <c r="AE100" s="63">
        <f>G100</f>
        <v>16346.4</v>
      </c>
      <c r="AF100" s="63">
        <f>AD100-AE100</f>
        <v>24590.996358526441</v>
      </c>
      <c r="AH100" s="66">
        <f>AB100*(365/$AG$23)*$AG$21</f>
        <v>5883.4194501344509</v>
      </c>
      <c r="AI100" s="66">
        <f>-$AG$7-$AG$13-AH100</f>
        <v>-39483.419450134454</v>
      </c>
      <c r="AJ100" s="66">
        <f>-$AG$13-AH100-$AG$18</f>
        <v>-15483.41945013445</v>
      </c>
      <c r="AK100" s="67">
        <f>-($AG$7/$AG$9)-$AG$13-AH100</f>
        <v>-15483.41945013445</v>
      </c>
      <c r="AL100" s="67">
        <f>-($AG$7/$AG$9)-$AG$13-AH100-$AG$18</f>
        <v>-21483.41945013445</v>
      </c>
      <c r="AM100" s="68">
        <f>AF100+AI100</f>
        <v>-14892.423091608012</v>
      </c>
      <c r="AN100" s="68">
        <f>AF100+AJ100</f>
        <v>9107.5769083919913</v>
      </c>
      <c r="AO100" s="68">
        <f>AF100+AK100</f>
        <v>9107.5769083919913</v>
      </c>
      <c r="AP100" s="68">
        <f>AF100+AL100</f>
        <v>3107.5769083919913</v>
      </c>
    </row>
    <row r="101" spans="1:42">
      <c r="A101" t="s">
        <v>222</v>
      </c>
      <c r="B101" t="s">
        <v>220</v>
      </c>
      <c r="C101" t="s">
        <v>107</v>
      </c>
      <c r="D101">
        <v>1</v>
      </c>
      <c r="E101">
        <v>1300</v>
      </c>
      <c r="F101">
        <f>F$2</f>
        <v>0.97299999999999998</v>
      </c>
      <c r="G101" s="60">
        <f>E101*12*F101</f>
        <v>15178.8</v>
      </c>
      <c r="H101">
        <v>280</v>
      </c>
      <c r="I101" s="61">
        <v>0.45750000000000002</v>
      </c>
      <c r="J101">
        <v>109</v>
      </c>
      <c r="K101">
        <v>615</v>
      </c>
      <c r="L101">
        <f>K101-J101</f>
        <v>506</v>
      </c>
      <c r="M101">
        <f>H101-J101</f>
        <v>171</v>
      </c>
      <c r="N101" s="62">
        <f>0.8*M101/L101+0.1</f>
        <v>0.37035573122529653</v>
      </c>
      <c r="O101" s="61">
        <v>0.45750000000000002</v>
      </c>
      <c r="P101" s="63">
        <v>100</v>
      </c>
      <c r="Q101" s="64">
        <f>0.1+0.8*(P101-J101)/(K101-J101)</f>
        <v>8.5770750988142297E-2</v>
      </c>
      <c r="R101" s="64">
        <f>$Q$2*Q101+$R$2</f>
        <v>0.7828380787405731</v>
      </c>
      <c r="S101" s="63">
        <f>365*P101*R101</f>
        <v>28573.589874030917</v>
      </c>
      <c r="T101" s="65">
        <f>S101*(1-$T$1)</f>
        <v>20001.512911821639</v>
      </c>
      <c r="U101" s="60">
        <f>J101</f>
        <v>109</v>
      </c>
      <c r="V101" s="63">
        <f>1.25*L101</f>
        <v>632.5</v>
      </c>
      <c r="W101" s="63">
        <f>J101-L101/8</f>
        <v>45.75</v>
      </c>
      <c r="X101">
        <f>1.25*L101/(2*$Q$2)</f>
        <v>-399.43277789633419</v>
      </c>
      <c r="Y101" s="63">
        <f>(($Q$2*W101)/V101-$R$2)*X101</f>
        <v>362.69118843437633</v>
      </c>
      <c r="Z101" s="63">
        <f>IF(Y101&gt;U101,Y101,U101)</f>
        <v>362.69118843437633</v>
      </c>
      <c r="AA101" s="64">
        <f>(Z101-W101)/V101</f>
        <v>0.50109278803853963</v>
      </c>
      <c r="AB101" s="64">
        <f>$Q$2*AA101+$R$2</f>
        <v>0.45400779368250349</v>
      </c>
      <c r="AC101" s="63">
        <f>Z101*AB101*365</f>
        <v>60102.588580949363</v>
      </c>
      <c r="AD101" s="65">
        <f>AC101*(1-$T$1)</f>
        <v>42071.81200666455</v>
      </c>
      <c r="AE101" s="63">
        <f>G101</f>
        <v>15178.8</v>
      </c>
      <c r="AF101" s="63">
        <f>AD101-AE101</f>
        <v>26893.01200666455</v>
      </c>
      <c r="AH101" s="66">
        <f>AB101*(365/$AG$23)*$AG$21</f>
        <v>5523.7614898037928</v>
      </c>
      <c r="AI101" s="66">
        <f>-$AG$7-$AG$13-AH101</f>
        <v>-39123.761489803794</v>
      </c>
      <c r="AJ101" s="66">
        <f>-$AG$13-AH101-$AG$18</f>
        <v>-15123.761489803794</v>
      </c>
      <c r="AK101" s="67">
        <f>-($AG$7/$AG$9)-$AG$13-AH101</f>
        <v>-15123.761489803794</v>
      </c>
      <c r="AL101" s="67">
        <f>-($AG$7/$AG$9)-$AG$13-AH101-$AG$18</f>
        <v>-21123.761489803794</v>
      </c>
      <c r="AM101" s="68">
        <f>AF101+AI101</f>
        <v>-12230.749483139243</v>
      </c>
      <c r="AN101" s="68">
        <f>AF101+AJ101</f>
        <v>11769.250516860757</v>
      </c>
      <c r="AO101" s="68">
        <f>AF101+AK101</f>
        <v>11769.250516860757</v>
      </c>
      <c r="AP101" s="68">
        <f>AF101+AL101</f>
        <v>5769.2505168607568</v>
      </c>
    </row>
    <row r="102" spans="1:42">
      <c r="A102" t="s">
        <v>223</v>
      </c>
      <c r="B102" t="s">
        <v>220</v>
      </c>
      <c r="C102" t="s">
        <v>107</v>
      </c>
      <c r="D102">
        <v>2</v>
      </c>
      <c r="E102">
        <v>1900</v>
      </c>
      <c r="F102">
        <f>F$2</f>
        <v>0.97299999999999998</v>
      </c>
      <c r="G102" s="60">
        <f>E102*12*F102</f>
        <v>22184.399999999998</v>
      </c>
      <c r="H102">
        <v>568</v>
      </c>
      <c r="I102" s="61">
        <v>0.189</v>
      </c>
      <c r="J102">
        <v>227</v>
      </c>
      <c r="K102">
        <v>861</v>
      </c>
      <c r="L102">
        <f>K102-J102</f>
        <v>634</v>
      </c>
      <c r="M102">
        <f>H102-J102</f>
        <v>341</v>
      </c>
      <c r="N102" s="62">
        <f>0.8*M102/L102+0.1</f>
        <v>0.53028391167192435</v>
      </c>
      <c r="O102" s="61">
        <v>0.189</v>
      </c>
      <c r="P102" s="63">
        <v>100</v>
      </c>
      <c r="Q102" s="64">
        <f>0.1+0.8*(P102-J102)/(K102-J102)</f>
        <v>-6.0252365930599378E-2</v>
      </c>
      <c r="R102" s="64">
        <f>$Q$2*Q102+$R$2</f>
        <v>0.8984515518480235</v>
      </c>
      <c r="S102" s="63">
        <f>365*P102*R102</f>
        <v>32793.481642452854</v>
      </c>
      <c r="T102" s="65">
        <f>S102*(1-$T$1)</f>
        <v>22955.437149716996</v>
      </c>
      <c r="U102" s="60">
        <f>J102</f>
        <v>227</v>
      </c>
      <c r="V102" s="63">
        <f>1.25*L102</f>
        <v>792.5</v>
      </c>
      <c r="W102" s="63">
        <f>J102-L102/8</f>
        <v>147.75</v>
      </c>
      <c r="X102">
        <f>1.25*L102/(2*$Q$2)</f>
        <v>-500.47506163295628</v>
      </c>
      <c r="Y102" s="63">
        <f>(($Q$2*W102)/V102-$R$2)*X102</f>
        <v>499.65259578536478</v>
      </c>
      <c r="Z102" s="63">
        <f>IF(Y102&gt;U102,Y102,U102)</f>
        <v>499.65259578536478</v>
      </c>
      <c r="AA102" s="64">
        <f>(Z102-W102)/V102</f>
        <v>0.44404113032853598</v>
      </c>
      <c r="AB102" s="64">
        <f>$Q$2*AA102+$R$2</f>
        <v>0.49917831485458242</v>
      </c>
      <c r="AC102" s="63">
        <f>Z102*AB102*365</f>
        <v>91036.745383552523</v>
      </c>
      <c r="AD102" s="65">
        <f>AC102*(1-$T$1)</f>
        <v>63725.721768486765</v>
      </c>
      <c r="AE102" s="63">
        <f>G102</f>
        <v>22184.399999999998</v>
      </c>
      <c r="AF102" s="63">
        <f>AD102-AE102</f>
        <v>41541.32176848677</v>
      </c>
      <c r="AH102" s="66">
        <f>AB102*(365/$AG$23)*$AG$21</f>
        <v>6073.3361640640869</v>
      </c>
      <c r="AI102" s="66">
        <f>-$AG$7-$AG$13-AH102</f>
        <v>-39673.336164064087</v>
      </c>
      <c r="AJ102" s="66">
        <f>-$AG$13-AH102-$AG$18</f>
        <v>-15673.336164064087</v>
      </c>
      <c r="AK102" s="67">
        <f>-($AG$7/$AG$9)-$AG$13-AH102</f>
        <v>-15673.336164064087</v>
      </c>
      <c r="AL102" s="67">
        <f>-($AG$7/$AG$9)-$AG$13-AH102-$AG$18</f>
        <v>-21673.336164064087</v>
      </c>
      <c r="AM102" s="68">
        <f>AF102+AI102</f>
        <v>1867.9856044226835</v>
      </c>
      <c r="AN102" s="68">
        <f>AF102+AJ102</f>
        <v>25867.985604422684</v>
      </c>
      <c r="AO102" s="68">
        <f>AF102+AK102</f>
        <v>25867.985604422684</v>
      </c>
      <c r="AP102" s="68">
        <f>AF102+AL102</f>
        <v>19867.985604422684</v>
      </c>
    </row>
    <row r="103" spans="1:42">
      <c r="A103" t="s">
        <v>224</v>
      </c>
      <c r="B103" t="s">
        <v>225</v>
      </c>
      <c r="C103" t="s">
        <v>98</v>
      </c>
      <c r="D103">
        <v>1</v>
      </c>
      <c r="E103">
        <v>900</v>
      </c>
      <c r="F103">
        <f>F$2</f>
        <v>0.97299999999999998</v>
      </c>
      <c r="G103" s="60">
        <f>E103*12*F103</f>
        <v>10508.4</v>
      </c>
      <c r="H103">
        <v>318</v>
      </c>
      <c r="I103" s="61">
        <v>0.29039999999999999</v>
      </c>
      <c r="J103">
        <v>176</v>
      </c>
      <c r="K103">
        <v>440</v>
      </c>
      <c r="L103">
        <f>K103-J103</f>
        <v>264</v>
      </c>
      <c r="M103">
        <f>H103-J103</f>
        <v>142</v>
      </c>
      <c r="N103" s="62">
        <f>0.8*M103/L103+0.1</f>
        <v>0.53030303030303039</v>
      </c>
      <c r="O103" s="61">
        <v>0.29039999999999999</v>
      </c>
      <c r="P103" s="63">
        <v>100</v>
      </c>
      <c r="Q103" s="64">
        <f>0.1+0.8*(P103-J103)/(K103-J103)</f>
        <v>-0.13030303030303031</v>
      </c>
      <c r="R103" s="64">
        <f>$Q$2*Q103+$R$2</f>
        <v>0.95391400719396624</v>
      </c>
      <c r="S103" s="63">
        <f>365*P103*R103</f>
        <v>34817.861262579769</v>
      </c>
      <c r="T103" s="65">
        <f>S103*(1-$T$1)</f>
        <v>24372.502883805835</v>
      </c>
      <c r="U103" s="60">
        <f>J103</f>
        <v>176</v>
      </c>
      <c r="V103" s="63">
        <f>1.25*L103</f>
        <v>330</v>
      </c>
      <c r="W103" s="63">
        <f>J103-L103/8</f>
        <v>143</v>
      </c>
      <c r="X103">
        <f>1.25*L103/(2*$Q$2)</f>
        <v>-208.39971020678306</v>
      </c>
      <c r="Y103" s="63">
        <f>(($Q$2*W103)/V103-$R$2)*X103</f>
        <v>248.79540266141373</v>
      </c>
      <c r="Z103" s="63">
        <f>IF(Y103&gt;U103,Y103,U103)</f>
        <v>248.79540266141373</v>
      </c>
      <c r="AA103" s="64">
        <f>(Z103-W103)/V103</f>
        <v>0.32059212927701131</v>
      </c>
      <c r="AB103" s="64">
        <f>$Q$2*AA103+$R$2</f>
        <v>0.596918782695399</v>
      </c>
      <c r="AC103" s="63">
        <f>Z103*AB103*365</f>
        <v>54206.386847354886</v>
      </c>
      <c r="AD103" s="65">
        <f>AC103*(1-$T$1)</f>
        <v>37944.470793148415</v>
      </c>
      <c r="AE103" s="63">
        <f>G103</f>
        <v>10508.4</v>
      </c>
      <c r="AF103" s="63">
        <f>AD103-AE103</f>
        <v>27436.070793148414</v>
      </c>
      <c r="AH103" s="66">
        <f>AB103*(365/$AG$23)*$AG$21</f>
        <v>7262.5118561273557</v>
      </c>
      <c r="AI103" s="66">
        <f>-$AG$7-$AG$13-AH103</f>
        <v>-40862.511856127356</v>
      </c>
      <c r="AJ103" s="66">
        <f>-$AG$13-AH103-$AG$18</f>
        <v>-16862.511856127356</v>
      </c>
      <c r="AK103" s="67">
        <f>-($AG$7/$AG$9)-$AG$13-AH103</f>
        <v>-16862.511856127356</v>
      </c>
      <c r="AL103" s="67">
        <f>-($AG$7/$AG$9)-$AG$13-AH103-$AG$18</f>
        <v>-22862.511856127356</v>
      </c>
      <c r="AM103" s="68">
        <f>AF103+AI103</f>
        <v>-13426.441062978942</v>
      </c>
      <c r="AN103" s="68">
        <f>AF103+AJ103</f>
        <v>10573.558937021058</v>
      </c>
      <c r="AO103" s="68">
        <f>AF103+AK103</f>
        <v>10573.558937021058</v>
      </c>
      <c r="AP103" s="68">
        <f>AF103+AL103</f>
        <v>4573.5589370210582</v>
      </c>
    </row>
    <row r="104" spans="1:42">
      <c r="A104" t="s">
        <v>226</v>
      </c>
      <c r="B104" t="s">
        <v>199</v>
      </c>
      <c r="C104" t="s">
        <v>107</v>
      </c>
      <c r="D104">
        <v>2</v>
      </c>
      <c r="E104">
        <v>2800</v>
      </c>
      <c r="F104">
        <f>F$2</f>
        <v>0.97299999999999998</v>
      </c>
      <c r="G104" s="60">
        <f>E104*12*F104</f>
        <v>32692.799999999999</v>
      </c>
      <c r="H104">
        <v>556</v>
      </c>
      <c r="I104" s="61">
        <v>0.29859999999999998</v>
      </c>
      <c r="J104">
        <v>191</v>
      </c>
      <c r="K104">
        <v>826</v>
      </c>
      <c r="L104">
        <f>K104-J104</f>
        <v>635</v>
      </c>
      <c r="M104">
        <f>H104-J104</f>
        <v>365</v>
      </c>
      <c r="N104" s="62">
        <f>0.8*M104/L104+0.1</f>
        <v>0.5598425196850394</v>
      </c>
      <c r="O104" s="61">
        <v>0.29859999999999998</v>
      </c>
      <c r="P104" s="63">
        <v>100</v>
      </c>
      <c r="Q104" s="64">
        <f>0.1+0.8*(P104-J104)/(K104-J104)</f>
        <v>-1.4645669291338578E-2</v>
      </c>
      <c r="R104" s="64">
        <f>$Q$2*Q104+$R$2</f>
        <v>0.86234255276155014</v>
      </c>
      <c r="S104" s="63">
        <f>365*P104*R104</f>
        <v>31475.503175796581</v>
      </c>
      <c r="T104" s="65">
        <f>S104*(1-$T$1)</f>
        <v>22032.852223057605</v>
      </c>
      <c r="U104" s="60">
        <f>J104</f>
        <v>191</v>
      </c>
      <c r="V104" s="63">
        <f>1.25*L104</f>
        <v>793.75</v>
      </c>
      <c r="W104" s="63">
        <f>J104-L104/8</f>
        <v>111.625</v>
      </c>
      <c r="X104">
        <f>1.25*L104/(2*$Q$2)</f>
        <v>-501.26445447464863</v>
      </c>
      <c r="Y104" s="63">
        <f>(($Q$2*W104)/V104-$R$2)*X104</f>
        <v>482.26166928029437</v>
      </c>
      <c r="Z104" s="63">
        <f>IF(Y104&gt;U104,Y104,U104)</f>
        <v>482.26166928029437</v>
      </c>
      <c r="AA104" s="64">
        <f>(Z104-W104)/V104</f>
        <v>0.46694383531375666</v>
      </c>
      <c r="AB104" s="64">
        <f>$Q$2*AA104+$R$2</f>
        <v>0.48104514989570707</v>
      </c>
      <c r="AC104" s="63">
        <f>Z104*AB104*365</f>
        <v>84676.217500580984</v>
      </c>
      <c r="AD104" s="65">
        <f>AC104*(1-$T$1)</f>
        <v>59273.352250406686</v>
      </c>
      <c r="AE104" s="63">
        <f>G104</f>
        <v>32692.799999999999</v>
      </c>
      <c r="AF104" s="63">
        <f>AD104-AE104</f>
        <v>26580.552250406687</v>
      </c>
      <c r="AH104" s="66">
        <f>AB104*(365/$AG$23)*$AG$21</f>
        <v>5852.7159903977699</v>
      </c>
      <c r="AI104" s="66">
        <f>-$AG$7-$AG$13-AH104</f>
        <v>-39452.715990397774</v>
      </c>
      <c r="AJ104" s="66">
        <f>-$AG$13-AH104-$AG$18</f>
        <v>-15452.71599039777</v>
      </c>
      <c r="AK104" s="67">
        <f>-($AG$7/$AG$9)-$AG$13-AH104</f>
        <v>-15452.71599039777</v>
      </c>
      <c r="AL104" s="67">
        <f>-($AG$7/$AG$9)-$AG$13-AH104-$AG$18</f>
        <v>-21452.71599039777</v>
      </c>
      <c r="AM104" s="68">
        <f>AF104+AI104</f>
        <v>-12872.163739991087</v>
      </c>
      <c r="AN104" s="68">
        <f>AF104+AJ104</f>
        <v>11127.836260008917</v>
      </c>
      <c r="AO104" s="68">
        <f>AF104+AK104</f>
        <v>11127.836260008917</v>
      </c>
      <c r="AP104" s="68">
        <f>AF104+AL104</f>
        <v>5127.8362600089167</v>
      </c>
    </row>
    <row r="105" spans="1:42">
      <c r="A105" t="s">
        <v>227</v>
      </c>
      <c r="B105" t="s">
        <v>225</v>
      </c>
      <c r="C105" t="s">
        <v>98</v>
      </c>
      <c r="D105">
        <v>2</v>
      </c>
      <c r="E105">
        <v>1100</v>
      </c>
      <c r="F105">
        <f>F$2</f>
        <v>0.97299999999999998</v>
      </c>
      <c r="G105" s="60">
        <f>E105*12*F105</f>
        <v>12843.6</v>
      </c>
      <c r="H105">
        <v>538</v>
      </c>
      <c r="I105" s="61">
        <v>0.58079999999999998</v>
      </c>
      <c r="J105">
        <v>225</v>
      </c>
      <c r="K105">
        <v>1033</v>
      </c>
      <c r="L105">
        <f>K105-J105</f>
        <v>808</v>
      </c>
      <c r="M105">
        <f>H105-J105</f>
        <v>313</v>
      </c>
      <c r="N105" s="62">
        <f>0.8*M105/L105+0.1</f>
        <v>0.40990099009900993</v>
      </c>
      <c r="O105" s="61">
        <v>0.58079999999999998</v>
      </c>
      <c r="P105" s="63">
        <v>100</v>
      </c>
      <c r="Q105" s="64">
        <f>0.1+0.8*(P105-J105)/(K105-J105)</f>
        <v>-2.3762376237623756E-2</v>
      </c>
      <c r="R105" s="64">
        <f>$Q$2*Q105+$R$2</f>
        <v>0.86956068490119887</v>
      </c>
      <c r="S105" s="63">
        <f>365*P105*R105</f>
        <v>31738.96499889376</v>
      </c>
      <c r="T105" s="65">
        <f>S105*(1-$T$1)</f>
        <v>22217.27549922563</v>
      </c>
      <c r="U105" s="60">
        <f>J105</f>
        <v>225</v>
      </c>
      <c r="V105" s="63">
        <f>1.25*L105</f>
        <v>1010</v>
      </c>
      <c r="W105" s="63">
        <f>J105-L105/8</f>
        <v>124</v>
      </c>
      <c r="X105">
        <f>1.25*L105/(2*$Q$2)</f>
        <v>-637.82941608742692</v>
      </c>
      <c r="Y105" s="63">
        <f>(($Q$2*W105)/V105-$R$2)*X105</f>
        <v>604.63138390311474</v>
      </c>
      <c r="Z105" s="63">
        <f>IF(Y105&gt;U105,Y105,U105)</f>
        <v>604.63138390311474</v>
      </c>
      <c r="AA105" s="64">
        <f>(Z105-W105)/V105</f>
        <v>0.4758726573298166</v>
      </c>
      <c r="AB105" s="64">
        <f>$Q$2*AA105+$R$2</f>
        <v>0.47397577522532935</v>
      </c>
      <c r="AC105" s="63">
        <f>Z105*AB105*365</f>
        <v>104601.92955253052</v>
      </c>
      <c r="AD105" s="65">
        <f>AC105*(1-$T$1)</f>
        <v>73221.350686771359</v>
      </c>
      <c r="AE105" s="63">
        <f>G105</f>
        <v>12843.6</v>
      </c>
      <c r="AF105" s="63">
        <f>AD105-AE105</f>
        <v>60377.75068677136</v>
      </c>
      <c r="AH105" s="66">
        <f>AB105*(365/$AG$23)*$AG$21</f>
        <v>5766.7052652415077</v>
      </c>
      <c r="AI105" s="66">
        <f>-$AG$7-$AG$13-AH105</f>
        <v>-39366.705265241508</v>
      </c>
      <c r="AJ105" s="66">
        <f>-$AG$13-AH105-$AG$18</f>
        <v>-15366.705265241508</v>
      </c>
      <c r="AK105" s="67">
        <f>-($AG$7/$AG$9)-$AG$13-AH105</f>
        <v>-15366.705265241508</v>
      </c>
      <c r="AL105" s="67">
        <f>-($AG$7/$AG$9)-$AG$13-AH105-$AG$18</f>
        <v>-21366.705265241508</v>
      </c>
      <c r="AM105" s="68">
        <f>AF105+AI105</f>
        <v>21011.045421529852</v>
      </c>
      <c r="AN105" s="68">
        <f>AF105+AJ105</f>
        <v>45011.045421529852</v>
      </c>
      <c r="AO105" s="68">
        <f>AF105+AK105</f>
        <v>45011.045421529852</v>
      </c>
      <c r="AP105" s="68">
        <f>AF105+AL105</f>
        <v>39011.045421529852</v>
      </c>
    </row>
    <row r="106" spans="1:42">
      <c r="A106" t="s">
        <v>228</v>
      </c>
      <c r="B106" t="s">
        <v>225</v>
      </c>
      <c r="C106" t="s">
        <v>107</v>
      </c>
      <c r="D106">
        <v>1</v>
      </c>
      <c r="E106">
        <v>1300</v>
      </c>
      <c r="F106">
        <f>F$2</f>
        <v>0.97299999999999998</v>
      </c>
      <c r="G106" s="60">
        <f>E106*12*F106</f>
        <v>15178.8</v>
      </c>
      <c r="H106">
        <v>318</v>
      </c>
      <c r="I106" s="61">
        <v>0.39179999999999998</v>
      </c>
      <c r="J106">
        <v>157</v>
      </c>
      <c r="K106">
        <v>471</v>
      </c>
      <c r="L106">
        <f>K106-J106</f>
        <v>314</v>
      </c>
      <c r="M106">
        <f>H106-J106</f>
        <v>161</v>
      </c>
      <c r="N106" s="62">
        <f>0.8*M106/L106+0.1</f>
        <v>0.51019108280254777</v>
      </c>
      <c r="O106" s="61">
        <v>0.39179999999999998</v>
      </c>
      <c r="P106" s="63">
        <v>100</v>
      </c>
      <c r="Q106" s="64">
        <f>0.1+0.8*(P106-J106)/(K106-J106)</f>
        <v>-4.5222929936305722E-2</v>
      </c>
      <c r="R106" s="64">
        <f>$Q$2*Q106+$R$2</f>
        <v>0.88655202983526338</v>
      </c>
      <c r="S106" s="63">
        <f>365*P106*R106</f>
        <v>32359.149088987113</v>
      </c>
      <c r="T106" s="65">
        <f>S106*(1-$T$1)</f>
        <v>22651.404362290978</v>
      </c>
      <c r="U106" s="60">
        <f>J106</f>
        <v>157</v>
      </c>
      <c r="V106" s="63">
        <f>1.25*L106</f>
        <v>392.5</v>
      </c>
      <c r="W106" s="63">
        <f>J106-L106/8</f>
        <v>117.75</v>
      </c>
      <c r="X106">
        <f>1.25*L106/(2*$Q$2)</f>
        <v>-247.86935229140104</v>
      </c>
      <c r="Y106" s="63">
        <f>(($Q$2*W106)/V106-$R$2)*X106</f>
        <v>269.74907740789359</v>
      </c>
      <c r="Z106" s="63">
        <f>IF(Y106&gt;U106,Y106,U106)</f>
        <v>269.74907740789359</v>
      </c>
      <c r="AA106" s="64">
        <f>(Z106-W106)/V106</f>
        <v>0.38725879594367796</v>
      </c>
      <c r="AB106" s="64">
        <f>$Q$2*AA106+$R$2</f>
        <v>0.54413559989209603</v>
      </c>
      <c r="AC106" s="63">
        <f>Z106*AB106*365</f>
        <v>53574.727760324524</v>
      </c>
      <c r="AD106" s="65">
        <f>AC106*(1-$T$1)</f>
        <v>37502.309432227165</v>
      </c>
      <c r="AE106" s="63">
        <f>G106</f>
        <v>15178.8</v>
      </c>
      <c r="AF106" s="63">
        <f>AD106-AE106</f>
        <v>22323.509432227165</v>
      </c>
      <c r="AH106" s="66">
        <f>AB106*(365/$AG$23)*$AG$21</f>
        <v>6620.3164653538352</v>
      </c>
      <c r="AI106" s="66">
        <f>-$AG$7-$AG$13-AH106</f>
        <v>-40220.316465353833</v>
      </c>
      <c r="AJ106" s="66">
        <f>-$AG$13-AH106-$AG$18</f>
        <v>-16220.316465353835</v>
      </c>
      <c r="AK106" s="67">
        <f>-($AG$7/$AG$9)-$AG$13-AH106</f>
        <v>-16220.316465353835</v>
      </c>
      <c r="AL106" s="67">
        <f>-($AG$7/$AG$9)-$AG$13-AH106-$AG$18</f>
        <v>-22220.316465353833</v>
      </c>
      <c r="AM106" s="68">
        <f>AF106+AI106</f>
        <v>-17896.807033126668</v>
      </c>
      <c r="AN106" s="68">
        <f>AF106+AJ106</f>
        <v>6103.1929668733301</v>
      </c>
      <c r="AO106" s="68">
        <f>AF106+AK106</f>
        <v>6103.1929668733301</v>
      </c>
      <c r="AP106" s="68">
        <f>AF106+AL106</f>
        <v>103.1929668733319</v>
      </c>
    </row>
    <row r="107" spans="1:42">
      <c r="A107" t="s">
        <v>229</v>
      </c>
      <c r="B107" t="s">
        <v>225</v>
      </c>
      <c r="C107" t="s">
        <v>107</v>
      </c>
      <c r="D107">
        <v>2</v>
      </c>
      <c r="E107">
        <v>1600</v>
      </c>
      <c r="F107">
        <f>F$2</f>
        <v>0.97299999999999998</v>
      </c>
      <c r="G107" s="60">
        <f>E107*12*F107</f>
        <v>18681.599999999999</v>
      </c>
      <c r="H107">
        <v>680</v>
      </c>
      <c r="I107" s="61">
        <v>0.38629999999999998</v>
      </c>
      <c r="J107">
        <v>253</v>
      </c>
      <c r="K107">
        <v>886</v>
      </c>
      <c r="L107">
        <f>K107-J107</f>
        <v>633</v>
      </c>
      <c r="M107">
        <f>H107-J107</f>
        <v>427</v>
      </c>
      <c r="N107" s="62">
        <f>0.8*M107/L107+0.1</f>
        <v>0.63965244865718796</v>
      </c>
      <c r="O107" s="61">
        <v>0.38629999999999998</v>
      </c>
      <c r="P107" s="63">
        <v>100</v>
      </c>
      <c r="Q107" s="64">
        <f>0.1+0.8*(P107-J107)/(K107-J107)</f>
        <v>-9.3364928909952599E-2</v>
      </c>
      <c r="R107" s="64">
        <f>$Q$2*Q107+$R$2</f>
        <v>0.92466834882039972</v>
      </c>
      <c r="S107" s="63">
        <f>365*P107*R107</f>
        <v>33750.394731944587</v>
      </c>
      <c r="T107" s="65">
        <f>S107*(1-$T$1)</f>
        <v>23625.276312361209</v>
      </c>
      <c r="U107" s="60">
        <f>J107</f>
        <v>253</v>
      </c>
      <c r="V107" s="63">
        <f>1.25*L107</f>
        <v>791.25</v>
      </c>
      <c r="W107" s="63">
        <f>J107-L107/8</f>
        <v>173.875</v>
      </c>
      <c r="X107">
        <f>1.25*L107/(2*$Q$2)</f>
        <v>-499.68566879126388</v>
      </c>
      <c r="Y107" s="63">
        <f>(($Q$2*W107)/V107-$R$2)*X107</f>
        <v>512.04352229043513</v>
      </c>
      <c r="Z107" s="63">
        <f>IF(Y107&gt;U107,Y107,U107)</f>
        <v>512.04352229043513</v>
      </c>
      <c r="AA107" s="64">
        <f>(Z107-W107)/V107</f>
        <v>0.42738517825015498</v>
      </c>
      <c r="AB107" s="64">
        <f>$Q$2*AA107+$R$2</f>
        <v>0.512365627304326</v>
      </c>
      <c r="AC107" s="63">
        <f>Z107*AB107*365</f>
        <v>95759.02768449123</v>
      </c>
      <c r="AD107" s="65">
        <f>AC107*(1-$T$1)</f>
        <v>67031.319379143853</v>
      </c>
      <c r="AE107" s="63">
        <f>G107</f>
        <v>18681.599999999999</v>
      </c>
      <c r="AF107" s="63">
        <f>AD107-AE107</f>
        <v>48349.719379143855</v>
      </c>
      <c r="AH107" s="66">
        <f>AB107*(365/$AG$23)*$AG$21</f>
        <v>6233.7817988692996</v>
      </c>
      <c r="AI107" s="66">
        <f>-$AG$7-$AG$13-AH107</f>
        <v>-39833.781798869299</v>
      </c>
      <c r="AJ107" s="66">
        <f>-$AG$13-AH107-$AG$18</f>
        <v>-15833.781798869299</v>
      </c>
      <c r="AK107" s="67">
        <f>-($AG$7/$AG$9)-$AG$13-AH107</f>
        <v>-15833.781798869299</v>
      </c>
      <c r="AL107" s="67">
        <f>-($AG$7/$AG$9)-$AG$13-AH107-$AG$18</f>
        <v>-21833.781798869299</v>
      </c>
      <c r="AM107" s="68">
        <f>AF107+AI107</f>
        <v>8515.9375802745562</v>
      </c>
      <c r="AN107" s="68">
        <f>AF107+AJ107</f>
        <v>32515.937580274556</v>
      </c>
      <c r="AO107" s="68">
        <f>AF107+AK107</f>
        <v>32515.937580274556</v>
      </c>
      <c r="AP107" s="68">
        <f>AF107+AL107</f>
        <v>26515.937580274556</v>
      </c>
    </row>
    <row r="108" spans="1:42">
      <c r="A108" t="s">
        <v>230</v>
      </c>
      <c r="B108" t="s">
        <v>231</v>
      </c>
      <c r="C108" t="s">
        <v>98</v>
      </c>
      <c r="D108">
        <v>1</v>
      </c>
      <c r="E108">
        <v>1400</v>
      </c>
      <c r="F108">
        <f>F$2</f>
        <v>0.97299999999999998</v>
      </c>
      <c r="G108" s="60">
        <f>E108*12*F108</f>
        <v>16346.4</v>
      </c>
      <c r="H108">
        <v>202</v>
      </c>
      <c r="I108" s="61">
        <v>0.48770000000000002</v>
      </c>
      <c r="J108">
        <v>76</v>
      </c>
      <c r="K108">
        <v>342</v>
      </c>
      <c r="L108">
        <f>K108-J108</f>
        <v>266</v>
      </c>
      <c r="M108">
        <f>H108-J108</f>
        <v>126</v>
      </c>
      <c r="N108" s="62">
        <f>0.8*M108/L108+0.1</f>
        <v>0.47894736842105268</v>
      </c>
      <c r="O108" s="61">
        <v>0.48770000000000002</v>
      </c>
      <c r="P108" s="63">
        <v>100</v>
      </c>
      <c r="Q108" s="64">
        <f>0.1+0.8*(P108-J108)/(K108-J108)</f>
        <v>0.17218045112781954</v>
      </c>
      <c r="R108" s="64">
        <f>$Q$2*Q108+$R$2</f>
        <v>0.71442339376380537</v>
      </c>
      <c r="S108" s="63">
        <f>365*P108*R108</f>
        <v>26076.453872378897</v>
      </c>
      <c r="T108" s="65">
        <f>S108*(1-$T$1)</f>
        <v>18253.517710665226</v>
      </c>
      <c r="U108" s="60">
        <f>J108</f>
        <v>76</v>
      </c>
      <c r="V108" s="63">
        <f>1.25*L108</f>
        <v>332.5</v>
      </c>
      <c r="W108" s="63">
        <f>J108-L108/8</f>
        <v>42.75</v>
      </c>
      <c r="X108">
        <f>1.25*L108/(2*$Q$2)</f>
        <v>-209.97849589016778</v>
      </c>
      <c r="Y108" s="63">
        <f>(($Q$2*W108)/V108-$R$2)*X108</f>
        <v>200.01354965127294</v>
      </c>
      <c r="Z108" s="63">
        <f>IF(Y108&gt;U108,Y108,U108)</f>
        <v>200.01354965127294</v>
      </c>
      <c r="AA108" s="64">
        <f>(Z108-W108)/V108</f>
        <v>0.4729730816579637</v>
      </c>
      <c r="AB108" s="64">
        <f>$Q$2*AA108+$R$2</f>
        <v>0.47627150771642068</v>
      </c>
      <c r="AC108" s="63">
        <f>Z108*AB108*365</f>
        <v>34770.175522485602</v>
      </c>
      <c r="AD108" s="65">
        <f>AC108*(1-$T$1)</f>
        <v>24339.122865739919</v>
      </c>
      <c r="AE108" s="63">
        <f>G108</f>
        <v>16346.4</v>
      </c>
      <c r="AF108" s="63">
        <f>AD108-AE108</f>
        <v>7992.7228657399191</v>
      </c>
      <c r="AH108" s="66">
        <f>AB108*(365/$AG$23)*$AG$21</f>
        <v>5794.636677216452</v>
      </c>
      <c r="AI108" s="66">
        <f>-$AG$7-$AG$13-AH108</f>
        <v>-39394.636677216455</v>
      </c>
      <c r="AJ108" s="66">
        <f>-$AG$13-AH108-$AG$18</f>
        <v>-15394.636677216451</v>
      </c>
      <c r="AK108" s="67">
        <f>-($AG$7/$AG$9)-$AG$13-AH108</f>
        <v>-15394.636677216451</v>
      </c>
      <c r="AL108" s="67">
        <f>-($AG$7/$AG$9)-$AG$13-AH108-$AG$18</f>
        <v>-21394.636677216451</v>
      </c>
      <c r="AM108" s="68">
        <f>AF108+AI108</f>
        <v>-31401.913811476537</v>
      </c>
      <c r="AN108" s="68">
        <f>AF108+AJ108</f>
        <v>-7401.9138114765319</v>
      </c>
      <c r="AO108" s="68">
        <f>AF108+AK108</f>
        <v>-7401.9138114765319</v>
      </c>
      <c r="AP108" s="68">
        <f>AF108+AL108</f>
        <v>-13401.913811476532</v>
      </c>
    </row>
    <row r="109" spans="1:42">
      <c r="A109" t="s">
        <v>232</v>
      </c>
      <c r="B109" t="s">
        <v>231</v>
      </c>
      <c r="C109" t="s">
        <v>98</v>
      </c>
      <c r="D109">
        <v>2</v>
      </c>
      <c r="E109">
        <v>2000</v>
      </c>
      <c r="F109">
        <f>F$2</f>
        <v>0.97299999999999998</v>
      </c>
      <c r="G109" s="60">
        <f>E109*12*F109</f>
        <v>23352</v>
      </c>
      <c r="H109">
        <v>579</v>
      </c>
      <c r="I109" s="61">
        <v>0.41099999999999998</v>
      </c>
      <c r="J109">
        <v>107</v>
      </c>
      <c r="K109">
        <v>781</v>
      </c>
      <c r="L109">
        <f>K109-J109</f>
        <v>674</v>
      </c>
      <c r="M109">
        <f>H109-J109</f>
        <v>472</v>
      </c>
      <c r="N109" s="62">
        <f>0.8*M109/L109+0.1</f>
        <v>0.66023738872403559</v>
      </c>
      <c r="O109" s="61">
        <v>0.41099999999999998</v>
      </c>
      <c r="P109" s="63">
        <v>100</v>
      </c>
      <c r="Q109" s="64">
        <f>0.1+0.8*(P109-J109)/(K109-J109)</f>
        <v>9.1691394658753714E-2</v>
      </c>
      <c r="R109" s="64">
        <f>$Q$2*Q109+$R$2</f>
        <v>0.77815042248288657</v>
      </c>
      <c r="S109" s="63">
        <f>365*P109*R109</f>
        <v>28402.49042062536</v>
      </c>
      <c r="T109" s="65">
        <f>S109*(1-$T$1)</f>
        <v>19881.743294437751</v>
      </c>
      <c r="U109" s="60">
        <f>J109</f>
        <v>107</v>
      </c>
      <c r="V109" s="63">
        <f>1.25*L109</f>
        <v>842.5</v>
      </c>
      <c r="W109" s="63">
        <f>J109-L109/8</f>
        <v>22.75</v>
      </c>
      <c r="X109">
        <f>1.25*L109/(2*$Q$2)</f>
        <v>-532.05077530065068</v>
      </c>
      <c r="Y109" s="63">
        <f>(($Q$2*W109)/V109-$R$2)*X109</f>
        <v>464.01553558254864</v>
      </c>
      <c r="Z109" s="63">
        <f>IF(Y109&gt;U109,Y109,U109)</f>
        <v>464.01553558254864</v>
      </c>
      <c r="AA109" s="64">
        <f>(Z109-W109)/V109</f>
        <v>0.52375731226415267</v>
      </c>
      <c r="AB109" s="64">
        <f>$Q$2*AA109+$R$2</f>
        <v>0.43606320780224717</v>
      </c>
      <c r="AC109" s="63">
        <f>Z109*AB109*365</f>
        <v>73854.137564414428</v>
      </c>
      <c r="AD109" s="65">
        <f>AC109*(1-$T$1)</f>
        <v>51697.896295090097</v>
      </c>
      <c r="AE109" s="63">
        <f>G109</f>
        <v>23352</v>
      </c>
      <c r="AF109" s="63">
        <f>AD109-AE109</f>
        <v>28345.896295090097</v>
      </c>
      <c r="AH109" s="66">
        <f>AB109*(365/$AG$23)*$AG$21</f>
        <v>5305.4356949273406</v>
      </c>
      <c r="AI109" s="66">
        <f>-$AG$7-$AG$13-AH109</f>
        <v>-38905.435694927342</v>
      </c>
      <c r="AJ109" s="66">
        <f>-$AG$13-AH109-$AG$18</f>
        <v>-14905.435694927341</v>
      </c>
      <c r="AK109" s="67">
        <f>-($AG$7/$AG$9)-$AG$13-AH109</f>
        <v>-14905.435694927341</v>
      </c>
      <c r="AL109" s="67">
        <f>-($AG$7/$AG$9)-$AG$13-AH109-$AG$18</f>
        <v>-20905.435694927342</v>
      </c>
      <c r="AM109" s="68">
        <f>AF109+AI109</f>
        <v>-10559.539399837246</v>
      </c>
      <c r="AN109" s="68">
        <f>AF109+AJ109</f>
        <v>13440.460600162756</v>
      </c>
      <c r="AO109" s="68">
        <f>AF109+AK109</f>
        <v>13440.460600162756</v>
      </c>
      <c r="AP109" s="68">
        <f>AF109+AL109</f>
        <v>7440.4606001627544</v>
      </c>
    </row>
    <row r="110" spans="1:42">
      <c r="A110" t="s">
        <v>233</v>
      </c>
      <c r="B110" t="s">
        <v>231</v>
      </c>
      <c r="C110" t="s">
        <v>107</v>
      </c>
      <c r="D110">
        <v>1</v>
      </c>
      <c r="E110">
        <v>1700</v>
      </c>
      <c r="F110">
        <f>F$2</f>
        <v>0.97299999999999998</v>
      </c>
      <c r="G110" s="60">
        <f>E110*12*F110</f>
        <v>19849.2</v>
      </c>
      <c r="H110">
        <v>524</v>
      </c>
      <c r="I110" s="61">
        <v>0.50409999999999999</v>
      </c>
      <c r="J110">
        <v>162</v>
      </c>
      <c r="K110">
        <v>614</v>
      </c>
      <c r="L110">
        <f>K110-J110</f>
        <v>452</v>
      </c>
      <c r="M110">
        <f>H110-J110</f>
        <v>362</v>
      </c>
      <c r="N110" s="62">
        <f>0.8*M110/L110+0.1</f>
        <v>0.74070796460176991</v>
      </c>
      <c r="O110" s="61">
        <v>0.50409999999999999</v>
      </c>
      <c r="P110" s="63">
        <v>100</v>
      </c>
      <c r="Q110" s="64">
        <f>0.1+0.8*(P110-J110)/(K110-J110)</f>
        <v>-9.7345132743362761E-3</v>
      </c>
      <c r="R110" s="64">
        <f>$Q$2*Q110+$R$2</f>
        <v>0.85845415607423559</v>
      </c>
      <c r="S110" s="63">
        <f>365*P110*R110</f>
        <v>31333.576696709599</v>
      </c>
      <c r="T110" s="65">
        <f>S110*(1-$T$1)</f>
        <v>21933.503687696717</v>
      </c>
      <c r="U110" s="60">
        <f>J110</f>
        <v>162</v>
      </c>
      <c r="V110" s="63">
        <f>1.25*L110</f>
        <v>565</v>
      </c>
      <c r="W110" s="63">
        <f>J110-L110/8</f>
        <v>105.5</v>
      </c>
      <c r="X110">
        <f>1.25*L110/(2*$Q$2)</f>
        <v>-356.80556444494675</v>
      </c>
      <c r="Y110" s="63">
        <f>(($Q$2*W110)/V110-$R$2)*X110</f>
        <v>356.30121970817805</v>
      </c>
      <c r="Z110" s="63">
        <f>IF(Y110&gt;U110,Y110,U110)</f>
        <v>356.30121970817805</v>
      </c>
      <c r="AA110" s="64">
        <f>(Z110-W110)/V110</f>
        <v>0.44389596408527088</v>
      </c>
      <c r="AB110" s="64">
        <f>$Q$2*AA110+$R$2</f>
        <v>0.49929324989990936</v>
      </c>
      <c r="AC110" s="63">
        <f>Z110*AB110*365</f>
        <v>64933.059784960213</v>
      </c>
      <c r="AD110" s="65">
        <f>AC110*(1-$T$1)</f>
        <v>45453.141849472144</v>
      </c>
      <c r="AE110" s="63">
        <f>G110</f>
        <v>19849.2</v>
      </c>
      <c r="AF110" s="63">
        <f>AD110-AE110</f>
        <v>25603.941849472143</v>
      </c>
      <c r="AH110" s="66">
        <f>AB110*(365/$AG$23)*$AG$21</f>
        <v>6074.7345404488979</v>
      </c>
      <c r="AI110" s="66">
        <f>-$AG$7-$AG$13-AH110</f>
        <v>-39674.734540448895</v>
      </c>
      <c r="AJ110" s="66">
        <f>-$AG$13-AH110-$AG$18</f>
        <v>-15674.734540448899</v>
      </c>
      <c r="AK110" s="67">
        <f>-($AG$7/$AG$9)-$AG$13-AH110</f>
        <v>-15674.734540448899</v>
      </c>
      <c r="AL110" s="67">
        <f>-($AG$7/$AG$9)-$AG$13-AH110-$AG$18</f>
        <v>-21674.734540448899</v>
      </c>
      <c r="AM110" s="68">
        <f>AF110+AI110</f>
        <v>-14070.792690976752</v>
      </c>
      <c r="AN110" s="68">
        <f>AF110+AJ110</f>
        <v>9929.2073090232443</v>
      </c>
      <c r="AO110" s="68">
        <f>AF110+AK110</f>
        <v>9929.2073090232443</v>
      </c>
      <c r="AP110" s="68">
        <f>AF110+AL110</f>
        <v>3929.2073090232443</v>
      </c>
    </row>
    <row r="111" spans="1:42">
      <c r="A111" t="s">
        <v>234</v>
      </c>
      <c r="B111" t="s">
        <v>231</v>
      </c>
      <c r="C111" t="s">
        <v>107</v>
      </c>
      <c r="D111">
        <v>2</v>
      </c>
      <c r="E111">
        <v>2500</v>
      </c>
      <c r="F111">
        <f>F$2</f>
        <v>0.97299999999999998</v>
      </c>
      <c r="G111" s="60">
        <f>E111*12*F111</f>
        <v>29190</v>
      </c>
      <c r="H111">
        <v>560</v>
      </c>
      <c r="I111" s="61">
        <v>0.2767</v>
      </c>
      <c r="J111">
        <v>158</v>
      </c>
      <c r="K111">
        <v>906</v>
      </c>
      <c r="L111">
        <f>K111-J111</f>
        <v>748</v>
      </c>
      <c r="M111">
        <f>H111-J111</f>
        <v>402</v>
      </c>
      <c r="N111" s="62">
        <f>0.8*M111/L111+0.1</f>
        <v>0.5299465240641712</v>
      </c>
      <c r="O111" s="61">
        <v>0.2767</v>
      </c>
      <c r="P111" s="63">
        <v>100</v>
      </c>
      <c r="Q111" s="64">
        <f>0.1+0.8*(P111-J111)/(K111-J111)</f>
        <v>3.796791443850267E-2</v>
      </c>
      <c r="R111" s="64">
        <f>$Q$2*Q111+$R$2</f>
        <v>0.82068586664231369</v>
      </c>
      <c r="S111" s="63">
        <f>365*P111*R111</f>
        <v>29955.034132444449</v>
      </c>
      <c r="T111" s="65">
        <f>S111*(1-$T$1)</f>
        <v>20968.523892711113</v>
      </c>
      <c r="U111" s="60">
        <f>J111</f>
        <v>158</v>
      </c>
      <c r="V111" s="63">
        <f>1.25*L111</f>
        <v>935</v>
      </c>
      <c r="W111" s="63">
        <f>J111-L111/8</f>
        <v>64.5</v>
      </c>
      <c r="X111">
        <f>1.25*L111/(2*$Q$2)</f>
        <v>-590.46584558588529</v>
      </c>
      <c r="Y111" s="63">
        <f>(($Q$2*W111)/V111-$R$2)*X111</f>
        <v>534.58697420733881</v>
      </c>
      <c r="Z111" s="63">
        <f>IF(Y111&gt;U111,Y111,U111)</f>
        <v>534.58697420733881</v>
      </c>
      <c r="AA111" s="64">
        <f>(Z111-W111)/V111</f>
        <v>0.50276681733405215</v>
      </c>
      <c r="AB111" s="64">
        <f>$Q$2*AA111+$R$2</f>
        <v>0.45268238476765665</v>
      </c>
      <c r="AC111" s="63">
        <f>Z111*AB111*365</f>
        <v>88329.308817714918</v>
      </c>
      <c r="AD111" s="65">
        <f>AC111*(1-$T$1)</f>
        <v>61830.516172400436</v>
      </c>
      <c r="AE111" s="63">
        <f>G111</f>
        <v>29190</v>
      </c>
      <c r="AF111" s="63">
        <f>AD111-AE111</f>
        <v>32640.516172400436</v>
      </c>
      <c r="AH111" s="66">
        <f>AB111*(365/$AG$23)*$AG$21</f>
        <v>5507.6356813398224</v>
      </c>
      <c r="AI111" s="66">
        <f>-$AG$7-$AG$13-AH111</f>
        <v>-39107.635681339823</v>
      </c>
      <c r="AJ111" s="66">
        <f>-$AG$13-AH111-$AG$18</f>
        <v>-15107.635681339823</v>
      </c>
      <c r="AK111" s="67">
        <f>-($AG$7/$AG$9)-$AG$13-AH111</f>
        <v>-15107.635681339823</v>
      </c>
      <c r="AL111" s="67">
        <f>-($AG$7/$AG$9)-$AG$13-AH111-$AG$18</f>
        <v>-21107.635681339823</v>
      </c>
      <c r="AM111" s="68">
        <f>AF111+AI111</f>
        <v>-6467.1195089393877</v>
      </c>
      <c r="AN111" s="68">
        <f>AF111+AJ111</f>
        <v>17532.880491060612</v>
      </c>
      <c r="AO111" s="68">
        <f>AF111+AK111</f>
        <v>17532.880491060612</v>
      </c>
      <c r="AP111" s="68">
        <f>AF111+AL111</f>
        <v>11532.880491060612</v>
      </c>
    </row>
    <row r="112" spans="1:42">
      <c r="A112" t="s">
        <v>235</v>
      </c>
      <c r="B112" t="s">
        <v>236</v>
      </c>
      <c r="C112" t="s">
        <v>98</v>
      </c>
      <c r="D112">
        <v>1</v>
      </c>
      <c r="E112">
        <v>1800</v>
      </c>
      <c r="F112">
        <f>F$2</f>
        <v>0.97299999999999998</v>
      </c>
      <c r="G112" s="60">
        <f>E112*12*F112</f>
        <v>21016.799999999999</v>
      </c>
      <c r="H112">
        <v>362</v>
      </c>
      <c r="I112" s="61">
        <v>0.32879999999999998</v>
      </c>
      <c r="J112">
        <v>199</v>
      </c>
      <c r="K112">
        <v>432</v>
      </c>
      <c r="L112">
        <f>K112-J112</f>
        <v>233</v>
      </c>
      <c r="M112">
        <f>H112-J112</f>
        <v>163</v>
      </c>
      <c r="N112" s="62">
        <f>0.8*M112/L112+0.1</f>
        <v>0.65965665236051507</v>
      </c>
      <c r="O112" s="61">
        <v>0.32879999999999998</v>
      </c>
      <c r="P112" s="63">
        <v>100</v>
      </c>
      <c r="Q112" s="64">
        <f>0.1+0.8*(P112-J112)/(K112-J112)</f>
        <v>-0.23991416309012878</v>
      </c>
      <c r="R112" s="64">
        <f>$Q$2*Q112+$R$2</f>
        <v>1.0406983740816442</v>
      </c>
      <c r="S112" s="63">
        <f>365*P112*R112</f>
        <v>37985.490653980014</v>
      </c>
      <c r="T112" s="65">
        <f>S112*(1-$T$1)</f>
        <v>26589.84345778601</v>
      </c>
      <c r="U112" s="60">
        <f>J112</f>
        <v>199</v>
      </c>
      <c r="V112" s="63">
        <f>1.25*L112</f>
        <v>291.25</v>
      </c>
      <c r="W112" s="63">
        <f>J112-L112/8</f>
        <v>169.875</v>
      </c>
      <c r="X112">
        <f>1.25*L112/(2*$Q$2)</f>
        <v>-183.92853211431989</v>
      </c>
      <c r="Y112" s="63">
        <f>(($Q$2*W112)/V112-$R$2)*X112</f>
        <v>241.41412431859621</v>
      </c>
      <c r="Z112" s="63">
        <f>IF(Y112&gt;U112,Y112,U112)</f>
        <v>241.41412431859621</v>
      </c>
      <c r="AA112" s="64">
        <f>(Z112-W112)/V112</f>
        <v>0.24562789465612431</v>
      </c>
      <c r="AB112" s="64">
        <f>$Q$2*AA112+$R$2</f>
        <v>0.65627154619095862</v>
      </c>
      <c r="AC112" s="63">
        <f>Z112*AB112*365</f>
        <v>57828.125533199025</v>
      </c>
      <c r="AD112" s="65">
        <f>AC112*(1-$T$1)</f>
        <v>40479.687873239316</v>
      </c>
      <c r="AE112" s="63">
        <f>G112</f>
        <v>21016.799999999999</v>
      </c>
      <c r="AF112" s="63">
        <f>AD112-AE112</f>
        <v>19462.887873239317</v>
      </c>
      <c r="AH112" s="66">
        <f>AB112*(365/$AG$23)*$AG$21</f>
        <v>7984.6371453233305</v>
      </c>
      <c r="AI112" s="66">
        <f>-$AG$7-$AG$13-AH112</f>
        <v>-41584.63714532333</v>
      </c>
      <c r="AJ112" s="66">
        <f>-$AG$13-AH112-$AG$18</f>
        <v>-17584.63714532333</v>
      </c>
      <c r="AK112" s="67">
        <f>-($AG$7/$AG$9)-$AG$13-AH112</f>
        <v>-17584.63714532333</v>
      </c>
      <c r="AL112" s="67">
        <f>-($AG$7/$AG$9)-$AG$13-AH112-$AG$18</f>
        <v>-23584.63714532333</v>
      </c>
      <c r="AM112" s="68">
        <f>AF112+AI112</f>
        <v>-22121.749272084013</v>
      </c>
      <c r="AN112" s="68">
        <f>AF112+AJ112</f>
        <v>1878.2507279159872</v>
      </c>
      <c r="AO112" s="68">
        <f>AF112+AK112</f>
        <v>1878.2507279159872</v>
      </c>
      <c r="AP112" s="68">
        <f>AF112+AL112</f>
        <v>-4121.7492720840128</v>
      </c>
    </row>
    <row r="113" spans="1:42">
      <c r="A113" t="s">
        <v>237</v>
      </c>
      <c r="B113" t="s">
        <v>236</v>
      </c>
      <c r="C113" t="s">
        <v>98</v>
      </c>
      <c r="D113">
        <v>2</v>
      </c>
      <c r="E113">
        <v>2600</v>
      </c>
      <c r="F113">
        <f>F$2</f>
        <v>0.97299999999999998</v>
      </c>
      <c r="G113" s="60">
        <f>E113*12*F113</f>
        <v>30357.599999999999</v>
      </c>
      <c r="H113">
        <v>417</v>
      </c>
      <c r="I113" s="61">
        <v>0.53149999999999997</v>
      </c>
      <c r="J113">
        <v>366</v>
      </c>
      <c r="K113">
        <v>594</v>
      </c>
      <c r="L113">
        <f>K113-J113</f>
        <v>228</v>
      </c>
      <c r="M113">
        <f>H113-J113</f>
        <v>51</v>
      </c>
      <c r="N113" s="62">
        <f>0.8*M113/L113+0.1</f>
        <v>0.27894736842105267</v>
      </c>
      <c r="O113" s="61">
        <v>0.53149999999999997</v>
      </c>
      <c r="P113" s="63">
        <v>100</v>
      </c>
      <c r="Q113" s="64">
        <f>0.1+0.8*(P113-J113)/(K113-J113)</f>
        <v>-0.83333333333333337</v>
      </c>
      <c r="R113" s="64">
        <f>$Q$2*Q113+$R$2</f>
        <v>1.510536662210616</v>
      </c>
      <c r="S113" s="63">
        <f>365*P113*R113</f>
        <v>55134.588170687486</v>
      </c>
      <c r="T113" s="65">
        <f>S113*(1-$T$1)</f>
        <v>38594.211719481238</v>
      </c>
      <c r="U113" s="60">
        <f>J113</f>
        <v>366</v>
      </c>
      <c r="V113" s="63">
        <f>1.25*L113</f>
        <v>285</v>
      </c>
      <c r="W113" s="63">
        <f>J113-L113/8</f>
        <v>337.5</v>
      </c>
      <c r="X113">
        <f>1.25*L113/(2*$Q$2)</f>
        <v>-179.9815679058581</v>
      </c>
      <c r="Y113" s="63">
        <f>(($Q$2*W113)/V113-$R$2)*X113</f>
        <v>321.86875684394818</v>
      </c>
      <c r="Z113" s="63">
        <f>IF(Y113&gt;U113,Y113,U113)</f>
        <v>366</v>
      </c>
      <c r="AA113" s="64">
        <f>(Z113-W113)/V113</f>
        <v>0.1</v>
      </c>
      <c r="AB113" s="64">
        <f>$Q$2*AA113+$R$2</f>
        <v>0.77157210296437406</v>
      </c>
      <c r="AC113" s="63">
        <f>Z113*AB113*365</f>
        <v>103074.31723501072</v>
      </c>
      <c r="AD113" s="65">
        <f>AC113*(1-$T$1)</f>
        <v>72152.022064507502</v>
      </c>
      <c r="AE113" s="63">
        <f>G113</f>
        <v>30357.599999999999</v>
      </c>
      <c r="AF113" s="63">
        <f>AD113-AE113</f>
        <v>41794.422064507504</v>
      </c>
      <c r="AH113" s="66">
        <f>AB113*(365/$AG$23)*$AG$21</f>
        <v>9387.4605860665506</v>
      </c>
      <c r="AI113" s="66">
        <f>-$AG$7-$AG$13-AH113</f>
        <v>-42987.460586066547</v>
      </c>
      <c r="AJ113" s="66">
        <f>-$AG$13-AH113-$AG$18</f>
        <v>-18987.460586066551</v>
      </c>
      <c r="AK113" s="67">
        <f>-($AG$7/$AG$9)-$AG$13-AH113</f>
        <v>-18987.460586066551</v>
      </c>
      <c r="AL113" s="67">
        <f>-($AG$7/$AG$9)-$AG$13-AH113-$AG$18</f>
        <v>-24987.460586066551</v>
      </c>
      <c r="AM113" s="68">
        <f>AF113+AI113</f>
        <v>-1193.0385215590431</v>
      </c>
      <c r="AN113" s="68">
        <f>AF113+AJ113</f>
        <v>22806.961478440953</v>
      </c>
      <c r="AO113" s="68">
        <f>AF113+AK113</f>
        <v>22806.961478440953</v>
      </c>
      <c r="AP113" s="68">
        <f>AF113+AL113</f>
        <v>16806.961478440953</v>
      </c>
    </row>
    <row r="114" spans="1:42">
      <c r="A114" t="s">
        <v>238</v>
      </c>
      <c r="B114" t="s">
        <v>236</v>
      </c>
      <c r="C114" t="s">
        <v>107</v>
      </c>
      <c r="D114">
        <v>1</v>
      </c>
      <c r="E114">
        <v>2500</v>
      </c>
      <c r="F114">
        <f>F$2</f>
        <v>0.97299999999999998</v>
      </c>
      <c r="G114" s="60">
        <f>E114*12*F114</f>
        <v>29190</v>
      </c>
      <c r="H114">
        <v>474</v>
      </c>
      <c r="I114" s="61">
        <v>0.4274</v>
      </c>
      <c r="J114">
        <v>333</v>
      </c>
      <c r="K114">
        <v>665</v>
      </c>
      <c r="L114">
        <f>K114-J114</f>
        <v>332</v>
      </c>
      <c r="M114">
        <f>H114-J114</f>
        <v>141</v>
      </c>
      <c r="N114" s="62">
        <f>0.8*M114/L114+0.1</f>
        <v>0.43975903614457834</v>
      </c>
      <c r="O114" s="61">
        <v>0.4274</v>
      </c>
      <c r="P114" s="63">
        <v>100</v>
      </c>
      <c r="Q114" s="64">
        <f>0.1+0.8*(P114-J114)/(K114-J114)</f>
        <v>-0.46144578313253015</v>
      </c>
      <c r="R114" s="64">
        <f>$Q$2*Q114+$R$2</f>
        <v>1.2160955340427932</v>
      </c>
      <c r="S114" s="63">
        <f>365*P114*R114</f>
        <v>44387.486992561957</v>
      </c>
      <c r="T114" s="65">
        <f>S114*(1-$T$1)</f>
        <v>31071.240894793369</v>
      </c>
      <c r="U114" s="60">
        <f>J114</f>
        <v>333</v>
      </c>
      <c r="V114" s="63">
        <f>1.25*L114</f>
        <v>415</v>
      </c>
      <c r="W114" s="63">
        <f>J114-L114/8</f>
        <v>291.5</v>
      </c>
      <c r="X114">
        <f>1.25*L114/(2*$Q$2)</f>
        <v>-262.07842344186355</v>
      </c>
      <c r="Y114" s="63">
        <f>(($Q$2*W114)/V114-$R$2)*X114</f>
        <v>368.71240031662637</v>
      </c>
      <c r="Z114" s="63">
        <f>IF(Y114&gt;U114,Y114,U114)</f>
        <v>368.71240031662637</v>
      </c>
      <c r="AA114" s="64">
        <f>(Z114-W114)/V114</f>
        <v>0.18605397666656956</v>
      </c>
      <c r="AB114" s="64">
        <f>$Q$2*AA114+$R$2</f>
        <v>0.70343906124423339</v>
      </c>
      <c r="AC114" s="63">
        <f>Z114*AB114*365</f>
        <v>94668.847232960004</v>
      </c>
      <c r="AD114" s="65">
        <f>AC114*(1-$T$1)</f>
        <v>66268.193063072002</v>
      </c>
      <c r="AE114" s="63">
        <f>G114</f>
        <v>29190</v>
      </c>
      <c r="AF114" s="63">
        <f>AD114-AE114</f>
        <v>37078.193063072002</v>
      </c>
      <c r="AH114" s="66">
        <f>AB114*(365/$AG$23)*$AG$21</f>
        <v>8558.5085784715066</v>
      </c>
      <c r="AI114" s="66">
        <f>-$AG$7-$AG$13-AH114</f>
        <v>-42158.508578471505</v>
      </c>
      <c r="AJ114" s="66">
        <f>-$AG$13-AH114-$AG$18</f>
        <v>-18158.508578471505</v>
      </c>
      <c r="AK114" s="67">
        <f>-($AG$7/$AG$9)-$AG$13-AH114</f>
        <v>-18158.508578471505</v>
      </c>
      <c r="AL114" s="67">
        <f>-($AG$7/$AG$9)-$AG$13-AH114-$AG$18</f>
        <v>-24158.508578471505</v>
      </c>
      <c r="AM114" s="68">
        <f>AF114+AI114</f>
        <v>-5080.3155153995031</v>
      </c>
      <c r="AN114" s="68">
        <f>AF114+AJ114</f>
        <v>18919.684484600497</v>
      </c>
      <c r="AO114" s="68">
        <f>AF114+AK114</f>
        <v>18919.684484600497</v>
      </c>
      <c r="AP114" s="68">
        <f>AF114+AL114</f>
        <v>12919.684484600497</v>
      </c>
    </row>
    <row r="115" spans="1:42">
      <c r="A115" t="s">
        <v>239</v>
      </c>
      <c r="B115" t="s">
        <v>97</v>
      </c>
      <c r="C115" t="s">
        <v>107</v>
      </c>
      <c r="D115">
        <v>1</v>
      </c>
      <c r="E115">
        <v>1500</v>
      </c>
      <c r="F115">
        <f>F$2</f>
        <v>0.97299999999999998</v>
      </c>
      <c r="G115" s="60">
        <f>E115*12*F115</f>
        <v>17514</v>
      </c>
      <c r="H115">
        <v>146</v>
      </c>
      <c r="I115" s="61">
        <v>0.24110000000000001</v>
      </c>
      <c r="J115">
        <v>81</v>
      </c>
      <c r="K115">
        <v>205</v>
      </c>
      <c r="L115">
        <f>K115-J115</f>
        <v>124</v>
      </c>
      <c r="M115">
        <f>H115-J115</f>
        <v>65</v>
      </c>
      <c r="N115" s="62">
        <f>0.8*M115/L115+0.1</f>
        <v>0.51935483870967747</v>
      </c>
      <c r="O115" s="61">
        <v>0.24110000000000001</v>
      </c>
      <c r="P115" s="63">
        <v>100</v>
      </c>
      <c r="Q115" s="64">
        <f>0.1+0.8*(P115-J115)/(K115-J115)</f>
        <v>0.22258064516129034</v>
      </c>
      <c r="R115" s="64">
        <f>$Q$2*Q115+$R$2</f>
        <v>0.6745191539389459</v>
      </c>
      <c r="S115" s="63">
        <f>365*P115*R115</f>
        <v>24619.949118771525</v>
      </c>
      <c r="T115" s="65">
        <f>S115*(1-$T$1)</f>
        <v>17233.964383140064</v>
      </c>
      <c r="U115" s="60">
        <f>J115</f>
        <v>81</v>
      </c>
      <c r="V115" s="63">
        <f>1.25*L115</f>
        <v>155</v>
      </c>
      <c r="W115" s="63">
        <f>J115-L115/8</f>
        <v>65.5</v>
      </c>
      <c r="X115">
        <f>1.25*L115/(2*$Q$2)</f>
        <v>-97.88471236985265</v>
      </c>
      <c r="Y115" s="63">
        <f>(($Q$2*W115)/V115-$R$2)*X115</f>
        <v>116.02511337127009</v>
      </c>
      <c r="Z115" s="63">
        <f>IF(Y115&gt;U115,Y115,U115)</f>
        <v>116.02511337127009</v>
      </c>
      <c r="AA115" s="64">
        <f>(Z115-W115)/V115</f>
        <v>0.32596847336303286</v>
      </c>
      <c r="AB115" s="64">
        <f>$Q$2*AA115+$R$2</f>
        <v>0.59266207440481</v>
      </c>
      <c r="AC115" s="63">
        <f>Z115*AB115*365</f>
        <v>25098.744796389619</v>
      </c>
      <c r="AD115" s="65">
        <f>AC115*(1-$T$1)</f>
        <v>17569.121357472734</v>
      </c>
      <c r="AE115" s="63">
        <f>G115</f>
        <v>17514</v>
      </c>
      <c r="AF115" s="63">
        <f>AD115-AE115</f>
        <v>55.121357472733507</v>
      </c>
      <c r="AH115" s="66">
        <f>AB115*(365/$AG$23)*$AG$21</f>
        <v>7210.7219052585224</v>
      </c>
      <c r="AI115" s="66">
        <f>-$AG$7-$AG$13-AH115</f>
        <v>-40810.721905258521</v>
      </c>
      <c r="AJ115" s="66">
        <f>-$AG$13-AH115-$AG$18</f>
        <v>-16810.721905258521</v>
      </c>
      <c r="AK115" s="67">
        <f>-($AG$7/$AG$9)-$AG$13-AH115</f>
        <v>-16810.721905258521</v>
      </c>
      <c r="AL115" s="67">
        <f>-($AG$7/$AG$9)-$AG$13-AH115-$AG$18</f>
        <v>-22810.721905258521</v>
      </c>
      <c r="AM115" s="68">
        <f>AF115+AI115</f>
        <v>-40755.600547785783</v>
      </c>
      <c r="AN115" s="68">
        <f>AF115+AJ115</f>
        <v>-16755.600547785787</v>
      </c>
      <c r="AO115" s="68">
        <f>AF115+AK115</f>
        <v>-16755.600547785787</v>
      </c>
      <c r="AP115" s="68">
        <f>AF115+AL115</f>
        <v>-22755.600547785787</v>
      </c>
    </row>
    <row r="116" spans="1:42">
      <c r="A116" t="s">
        <v>240</v>
      </c>
      <c r="B116" t="s">
        <v>199</v>
      </c>
      <c r="C116" t="s">
        <v>98</v>
      </c>
      <c r="D116">
        <v>1</v>
      </c>
      <c r="E116">
        <v>1700</v>
      </c>
      <c r="F116">
        <f>F$2</f>
        <v>0.97299999999999998</v>
      </c>
      <c r="G116" s="60">
        <f>E116*12*F116</f>
        <v>19849.2</v>
      </c>
      <c r="H116">
        <v>312</v>
      </c>
      <c r="I116" s="61">
        <v>0.41099999999999998</v>
      </c>
      <c r="J116">
        <v>106</v>
      </c>
      <c r="K116">
        <v>465</v>
      </c>
      <c r="L116">
        <f>K116-J116</f>
        <v>359</v>
      </c>
      <c r="M116">
        <f>H116-J116</f>
        <v>206</v>
      </c>
      <c r="N116" s="62">
        <f>0.8*M116/L116+0.1</f>
        <v>0.55905292479108637</v>
      </c>
      <c r="O116" s="61">
        <v>0.41099999999999998</v>
      </c>
      <c r="P116" s="63">
        <v>100</v>
      </c>
      <c r="Q116" s="64">
        <f>0.1+0.8*(P116-J116)/(K116-J116)</f>
        <v>8.6629526462395551E-2</v>
      </c>
      <c r="R116" s="64">
        <f>$Q$2*Q116+$R$2</f>
        <v>0.7821581451979055</v>
      </c>
      <c r="S116" s="63">
        <f>365*P116*R116</f>
        <v>28548.772299723551</v>
      </c>
      <c r="T116" s="65">
        <f>S116*(1-$T$1)</f>
        <v>19984.140609806484</v>
      </c>
      <c r="U116" s="60">
        <f>J116</f>
        <v>106</v>
      </c>
      <c r="V116" s="63">
        <f>1.25*L116</f>
        <v>448.75</v>
      </c>
      <c r="W116" s="63">
        <f>J116-L116/8</f>
        <v>61.125</v>
      </c>
      <c r="X116">
        <f>1.25*L116/(2*$Q$2)</f>
        <v>-283.39203016755727</v>
      </c>
      <c r="Y116" s="63">
        <f>(($Q$2*W116)/V116-$R$2)*X116</f>
        <v>271.65738467972551</v>
      </c>
      <c r="Z116" s="63">
        <f>IF(Y116&gt;U116,Y116,U116)</f>
        <v>271.65738467972551</v>
      </c>
      <c r="AA116" s="64">
        <f>(Z116-W116)/V116</f>
        <v>0.46915294636150534</v>
      </c>
      <c r="AB116" s="64">
        <f>$Q$2*AA116+$R$2</f>
        <v>0.47929609121171535</v>
      </c>
      <c r="AC116" s="63">
        <f>Z116*AB116*365</f>
        <v>47524.577758413259</v>
      </c>
      <c r="AD116" s="65">
        <f>AC116*(1-$T$1)</f>
        <v>33267.20443088928</v>
      </c>
      <c r="AE116" s="63">
        <f>G116</f>
        <v>19849.2</v>
      </c>
      <c r="AF116" s="63">
        <f>AD116-AE116</f>
        <v>13418.004430889279</v>
      </c>
      <c r="AH116" s="66">
        <f>AB116*(365/$AG$23)*$AG$21</f>
        <v>5831.4357764092038</v>
      </c>
      <c r="AI116" s="66">
        <f>-$AG$7-$AG$13-AH116</f>
        <v>-39431.435776409206</v>
      </c>
      <c r="AJ116" s="66">
        <f>-$AG$13-AH116-$AG$18</f>
        <v>-15431.435776409204</v>
      </c>
      <c r="AK116" s="67">
        <f>-($AG$7/$AG$9)-$AG$13-AH116</f>
        <v>-15431.435776409204</v>
      </c>
      <c r="AL116" s="67">
        <f>-($AG$7/$AG$9)-$AG$13-AH116-$AG$18</f>
        <v>-21431.435776409206</v>
      </c>
      <c r="AM116" s="68">
        <f>AF116+AI116</f>
        <v>-26013.431345519926</v>
      </c>
      <c r="AN116" s="68">
        <f>AF116+AJ116</f>
        <v>-2013.4313455199244</v>
      </c>
      <c r="AO116" s="68">
        <f>AF116+AK116</f>
        <v>-2013.4313455199244</v>
      </c>
      <c r="AP116" s="68">
        <f>AF116+AL116</f>
        <v>-8013.4313455199263</v>
      </c>
    </row>
    <row r="117" spans="1:42">
      <c r="A117" t="s">
        <v>241</v>
      </c>
      <c r="B117" t="s">
        <v>236</v>
      </c>
      <c r="C117" t="s">
        <v>107</v>
      </c>
      <c r="D117">
        <v>2</v>
      </c>
      <c r="E117">
        <v>3600</v>
      </c>
      <c r="F117">
        <f>F$2</f>
        <v>0.97299999999999998</v>
      </c>
      <c r="G117" s="60">
        <f>E117*12*F117</f>
        <v>42033.599999999999</v>
      </c>
      <c r="H117">
        <v>491</v>
      </c>
      <c r="I117" s="61">
        <v>0.39729999999999999</v>
      </c>
      <c r="J117">
        <v>336</v>
      </c>
      <c r="K117">
        <v>624</v>
      </c>
      <c r="L117">
        <f>K117-J117</f>
        <v>288</v>
      </c>
      <c r="M117">
        <f>H117-J117</f>
        <v>155</v>
      </c>
      <c r="N117" s="62">
        <f>0.8*M117/L117+0.1</f>
        <v>0.53055555555555556</v>
      </c>
      <c r="O117" s="61">
        <v>0.39729999999999999</v>
      </c>
      <c r="P117" s="63">
        <v>100</v>
      </c>
      <c r="Q117" s="64">
        <f>0.1+0.8*(P117-J117)/(K117-J117)</f>
        <v>-0.55555555555555558</v>
      </c>
      <c r="R117" s="64">
        <f>$Q$2*Q117+$R$2</f>
        <v>1.2906067338635201</v>
      </c>
      <c r="S117" s="63">
        <f>365*P117*R117</f>
        <v>47107.145786018482</v>
      </c>
      <c r="T117" s="65">
        <f>S117*(1-$T$1)</f>
        <v>32975.002050212934</v>
      </c>
      <c r="U117" s="60">
        <f>J117</f>
        <v>336</v>
      </c>
      <c r="V117" s="63">
        <f>1.25*L117</f>
        <v>360</v>
      </c>
      <c r="W117" s="63">
        <f>J117-L117/8</f>
        <v>300</v>
      </c>
      <c r="X117">
        <f>1.25*L117/(2*$Q$2)</f>
        <v>-227.3451384073997</v>
      </c>
      <c r="Y117" s="63">
        <f>(($Q$2*W117)/V117-$R$2)*X117</f>
        <v>343.41316653972405</v>
      </c>
      <c r="Z117" s="63">
        <f>IF(Y117&gt;U117,Y117,U117)</f>
        <v>343.41316653972405</v>
      </c>
      <c r="AA117" s="64">
        <f>(Z117-W117)/V117</f>
        <v>0.12059212927701124</v>
      </c>
      <c r="AB117" s="64">
        <f>$Q$2*AA117+$R$2</f>
        <v>0.755268331105308</v>
      </c>
      <c r="AC117" s="63">
        <f>Z117*AB117*365</f>
        <v>94669.717547797001</v>
      </c>
      <c r="AD117" s="65">
        <f>AC117*(1-$T$1)</f>
        <v>66268.802283457902</v>
      </c>
      <c r="AE117" s="63">
        <f>G117</f>
        <v>42033.599999999999</v>
      </c>
      <c r="AF117" s="63">
        <f>AD117-AE117</f>
        <v>24235.202283457904</v>
      </c>
      <c r="AH117" s="66">
        <f>AB117*(365/$AG$23)*$AG$21</f>
        <v>9189.0980284479137</v>
      </c>
      <c r="AI117" s="66">
        <f>-$AG$7-$AG$13-AH117</f>
        <v>-42789.098028447916</v>
      </c>
      <c r="AJ117" s="66">
        <f>-$AG$13-AH117-$AG$18</f>
        <v>-18789.098028447916</v>
      </c>
      <c r="AK117" s="67">
        <f>-($AG$7/$AG$9)-$AG$13-AH117</f>
        <v>-18789.098028447916</v>
      </c>
      <c r="AL117" s="67">
        <f>-($AG$7/$AG$9)-$AG$13-AH117-$AG$18</f>
        <v>-24789.098028447916</v>
      </c>
      <c r="AM117" s="68">
        <f>AF117+AI117</f>
        <v>-18553.895744990012</v>
      </c>
      <c r="AN117" s="68">
        <f>AF117+AJ117</f>
        <v>5446.1042550099883</v>
      </c>
      <c r="AO117" s="68">
        <f>AF117+AK117</f>
        <v>5446.1042550099883</v>
      </c>
      <c r="AP117" s="68">
        <f>AF117+AL117</f>
        <v>-553.89574499001174</v>
      </c>
    </row>
    <row r="118" spans="1:42">
      <c r="A118" t="s">
        <v>242</v>
      </c>
      <c r="B118" t="s">
        <v>243</v>
      </c>
      <c r="C118" t="s">
        <v>98</v>
      </c>
      <c r="D118">
        <v>1</v>
      </c>
      <c r="E118">
        <v>1200</v>
      </c>
      <c r="F118">
        <f>F$2</f>
        <v>0.97299999999999998</v>
      </c>
      <c r="G118" s="60">
        <f>E118*12*F118</f>
        <v>14011.199999999999</v>
      </c>
      <c r="H118">
        <v>204</v>
      </c>
      <c r="I118" s="61">
        <v>0.79730000000000001</v>
      </c>
      <c r="J118">
        <v>173</v>
      </c>
      <c r="K118">
        <v>395</v>
      </c>
      <c r="L118">
        <f>K118-J118</f>
        <v>222</v>
      </c>
      <c r="M118">
        <f>H118-J118</f>
        <v>31</v>
      </c>
      <c r="N118" s="62">
        <f>0.8*M118/L118+0.1</f>
        <v>0.21171171171171171</v>
      </c>
      <c r="O118" s="61">
        <v>0.79730000000000001</v>
      </c>
      <c r="P118" s="63">
        <v>100</v>
      </c>
      <c r="Q118" s="64">
        <f>0.1+0.8*(P118-J118)/(K118-J118)</f>
        <v>-0.16306306306306309</v>
      </c>
      <c r="R118" s="64">
        <f>$Q$2*Q118+$R$2</f>
        <v>0.97985168916119125</v>
      </c>
      <c r="S118" s="63">
        <f>365*P118*R118</f>
        <v>35764.586654383478</v>
      </c>
      <c r="T118" s="65">
        <f>S118*(1-$T$1)</f>
        <v>25035.210658068434</v>
      </c>
      <c r="U118" s="60">
        <f>J118</f>
        <v>173</v>
      </c>
      <c r="V118" s="63">
        <f>1.25*L118</f>
        <v>277.5</v>
      </c>
      <c r="W118" s="63">
        <f>J118-L118/8</f>
        <v>145.25</v>
      </c>
      <c r="X118">
        <f>1.25*L118/(2*$Q$2)</f>
        <v>-175.24521085570393</v>
      </c>
      <c r="Y118" s="63">
        <f>(($Q$2*W118)/V118-$R$2)*X118</f>
        <v>221.71431587437064</v>
      </c>
      <c r="Z118" s="63">
        <f>IF(Y118&gt;U118,Y118,U118)</f>
        <v>221.71431587437064</v>
      </c>
      <c r="AA118" s="64">
        <f>(Z118-W118)/V118</f>
        <v>0.27554708423196628</v>
      </c>
      <c r="AB118" s="64">
        <f>$Q$2*AA118+$R$2</f>
        <v>0.63258309540033342</v>
      </c>
      <c r="AC118" s="63">
        <f>Z118*AB118*365</f>
        <v>51192.245804087477</v>
      </c>
      <c r="AD118" s="65">
        <f>AC118*(1-$T$1)</f>
        <v>35834.572062861233</v>
      </c>
      <c r="AE118" s="63">
        <f>G118</f>
        <v>14011.199999999999</v>
      </c>
      <c r="AF118" s="63">
        <f>AD118-AE118</f>
        <v>21823.372062861235</v>
      </c>
      <c r="AH118" s="66">
        <f>AB118*(365/$AG$23)*$AG$21</f>
        <v>7696.4276607040574</v>
      </c>
      <c r="AI118" s="66">
        <f>-$AG$7-$AG$13-AH118</f>
        <v>-41296.427660704059</v>
      </c>
      <c r="AJ118" s="66">
        <f>-$AG$13-AH118-$AG$18</f>
        <v>-17296.427660704059</v>
      </c>
      <c r="AK118" s="67">
        <f>-($AG$7/$AG$9)-$AG$13-AH118</f>
        <v>-17296.427660704059</v>
      </c>
      <c r="AL118" s="67">
        <f>-($AG$7/$AG$9)-$AG$13-AH118-$AG$18</f>
        <v>-23296.427660704059</v>
      </c>
      <c r="AM118" s="68">
        <f>AF118+AI118</f>
        <v>-19473.055597842824</v>
      </c>
      <c r="AN118" s="68">
        <f>AF118+AJ118</f>
        <v>4526.9444021571762</v>
      </c>
      <c r="AO118" s="68">
        <f>AF118+AK118</f>
        <v>4526.9444021571762</v>
      </c>
      <c r="AP118" s="68">
        <f>AF118+AL118</f>
        <v>-1473.0555978428238</v>
      </c>
    </row>
    <row r="119" spans="1:42">
      <c r="A119" t="s">
        <v>244</v>
      </c>
      <c r="B119" t="s">
        <v>243</v>
      </c>
      <c r="C119" t="s">
        <v>98</v>
      </c>
      <c r="D119">
        <v>2</v>
      </c>
      <c r="E119">
        <v>1600</v>
      </c>
      <c r="F119">
        <f>F$2</f>
        <v>0.97299999999999998</v>
      </c>
      <c r="G119" s="60">
        <f>E119*12*F119</f>
        <v>18681.599999999999</v>
      </c>
      <c r="H119">
        <v>245</v>
      </c>
      <c r="I119" s="61">
        <v>0.68769999999999998</v>
      </c>
      <c r="J119">
        <v>228</v>
      </c>
      <c r="K119">
        <v>456</v>
      </c>
      <c r="L119">
        <f>K119-J119</f>
        <v>228</v>
      </c>
      <c r="M119">
        <f>H119-J119</f>
        <v>17</v>
      </c>
      <c r="N119" s="62">
        <f>0.8*M119/L119+0.1</f>
        <v>0.15964912280701754</v>
      </c>
      <c r="O119" s="61">
        <v>0.68769999999999998</v>
      </c>
      <c r="P119" s="63">
        <v>100</v>
      </c>
      <c r="Q119" s="64">
        <f>0.1+0.8*(P119-J119)/(K119-J119)</f>
        <v>-0.34912280701754383</v>
      </c>
      <c r="R119" s="64">
        <f>$Q$2*Q119+$R$2</f>
        <v>1.1271640713234679</v>
      </c>
      <c r="S119" s="63">
        <f>365*P119*R119</f>
        <v>41141.488603306578</v>
      </c>
      <c r="T119" s="65">
        <f>S119*(1-$T$1)</f>
        <v>28799.042022314603</v>
      </c>
      <c r="U119" s="60">
        <f>J119</f>
        <v>228</v>
      </c>
      <c r="V119" s="63">
        <f>1.25*L119</f>
        <v>285</v>
      </c>
      <c r="W119" s="63">
        <f>J119-L119/8</f>
        <v>199.5</v>
      </c>
      <c r="X119">
        <f>1.25*L119/(2*$Q$2)</f>
        <v>-179.9815679058581</v>
      </c>
      <c r="Y119" s="63">
        <f>(($Q$2*W119)/V119-$R$2)*X119</f>
        <v>252.8687568439482</v>
      </c>
      <c r="Z119" s="63">
        <f>IF(Y119&gt;U119,Y119,U119)</f>
        <v>252.8687568439482</v>
      </c>
      <c r="AA119" s="64">
        <f>(Z119-W119)/V119</f>
        <v>0.18725879594367792</v>
      </c>
      <c r="AB119" s="64">
        <f>$Q$2*AA119+$R$2</f>
        <v>0.70248514830200504</v>
      </c>
      <c r="AC119" s="63">
        <f>Z119*AB119*365</f>
        <v>64837.339345649583</v>
      </c>
      <c r="AD119" s="65">
        <f>AC119*(1-$T$1)</f>
        <v>45386.137541954704</v>
      </c>
      <c r="AE119" s="63">
        <f>G119</f>
        <v>18681.599999999999</v>
      </c>
      <c r="AF119" s="63">
        <f>AD119-AE119</f>
        <v>26704.537541954705</v>
      </c>
      <c r="AH119" s="66">
        <f>AB119*(365/$AG$23)*$AG$21</f>
        <v>8546.902637674395</v>
      </c>
      <c r="AI119" s="66">
        <f>-$AG$7-$AG$13-AH119</f>
        <v>-42146.902637674393</v>
      </c>
      <c r="AJ119" s="66">
        <f>-$AG$13-AH119-$AG$18</f>
        <v>-18146.902637674393</v>
      </c>
      <c r="AK119" s="67">
        <f>-($AG$7/$AG$9)-$AG$13-AH119</f>
        <v>-18146.902637674393</v>
      </c>
      <c r="AL119" s="67">
        <f>-($AG$7/$AG$9)-$AG$13-AH119-$AG$18</f>
        <v>-24146.902637674393</v>
      </c>
      <c r="AM119" s="68">
        <f>AF119+AI119</f>
        <v>-15442.365095719688</v>
      </c>
      <c r="AN119" s="68">
        <f>AF119+AJ119</f>
        <v>8557.6349042803122</v>
      </c>
      <c r="AO119" s="68">
        <f>AF119+AK119</f>
        <v>8557.6349042803122</v>
      </c>
      <c r="AP119" s="68">
        <f>AF119+AL119</f>
        <v>2557.6349042803122</v>
      </c>
    </row>
    <row r="120" spans="1:42">
      <c r="A120" t="s">
        <v>245</v>
      </c>
      <c r="B120" t="s">
        <v>243</v>
      </c>
      <c r="C120" t="s">
        <v>107</v>
      </c>
      <c r="D120">
        <v>1</v>
      </c>
      <c r="E120">
        <v>1000</v>
      </c>
      <c r="F120">
        <f>F$2</f>
        <v>0.97299999999999998</v>
      </c>
      <c r="G120" s="60">
        <f>E120*12*F120</f>
        <v>11676</v>
      </c>
      <c r="H120">
        <v>197</v>
      </c>
      <c r="I120" s="61">
        <v>0.58899999999999997</v>
      </c>
      <c r="J120">
        <v>155</v>
      </c>
      <c r="K120">
        <v>252</v>
      </c>
      <c r="L120">
        <f>K120-J120</f>
        <v>97</v>
      </c>
      <c r="M120">
        <f>H120-J120</f>
        <v>42</v>
      </c>
      <c r="N120" s="62">
        <f>0.8*M120/L120+0.1</f>
        <v>0.44639175257731956</v>
      </c>
      <c r="O120" s="61">
        <v>0.58899999999999997</v>
      </c>
      <c r="P120" s="63">
        <v>100</v>
      </c>
      <c r="Q120" s="64">
        <f>0.1+0.8*(P120-J120)/(K120-J120)</f>
        <v>-0.35360824742268038</v>
      </c>
      <c r="R120" s="64">
        <f>$Q$2*Q120+$R$2</f>
        <v>1.1307154086363325</v>
      </c>
      <c r="S120" s="63">
        <f>365*P120*R120</f>
        <v>41271.112415226133</v>
      </c>
      <c r="T120" s="65">
        <f>S120*(1-$T$1)</f>
        <v>28889.778690658291</v>
      </c>
      <c r="U120" s="60">
        <f>J120</f>
        <v>155</v>
      </c>
      <c r="V120" s="63">
        <f>1.25*L120</f>
        <v>121.25</v>
      </c>
      <c r="W120" s="63">
        <f>J120-L120/8</f>
        <v>142.875</v>
      </c>
      <c r="X120">
        <f>1.25*L120/(2*$Q$2)</f>
        <v>-76.571105644158919</v>
      </c>
      <c r="Y120" s="63">
        <f>(($Q$2*W120)/V120-$R$2)*X120</f>
        <v>136.58012900817093</v>
      </c>
      <c r="Z120" s="63">
        <f>IF(Y120&gt;U120,Y120,U120)</f>
        <v>155</v>
      </c>
      <c r="AA120" s="64">
        <f>(Z120-W120)/V120</f>
        <v>0.1</v>
      </c>
      <c r="AB120" s="64">
        <f>$Q$2*AA120+$R$2</f>
        <v>0.77157210296437406</v>
      </c>
      <c r="AC120" s="63">
        <f>Z120*AB120*365</f>
        <v>43651.691725209464</v>
      </c>
      <c r="AD120" s="65">
        <f>AC120*(1-$T$1)</f>
        <v>30556.184207646624</v>
      </c>
      <c r="AE120" s="63">
        <f>G120</f>
        <v>11676</v>
      </c>
      <c r="AF120" s="63">
        <f>AD120-AE120</f>
        <v>18880.184207646624</v>
      </c>
      <c r="AH120" s="66">
        <f>AB120*(365/$AG$23)*$AG$21</f>
        <v>9387.4605860665506</v>
      </c>
      <c r="AI120" s="66">
        <f>-$AG$7-$AG$13-AH120</f>
        <v>-42987.460586066547</v>
      </c>
      <c r="AJ120" s="66">
        <f>-$AG$13-AH120-$AG$18</f>
        <v>-18987.460586066551</v>
      </c>
      <c r="AK120" s="67">
        <f>-($AG$7/$AG$9)-$AG$13-AH120</f>
        <v>-18987.460586066551</v>
      </c>
      <c r="AL120" s="67">
        <f>-($AG$7/$AG$9)-$AG$13-AH120-$AG$18</f>
        <v>-24987.460586066551</v>
      </c>
      <c r="AM120" s="68">
        <f>AF120+AI120</f>
        <v>-24107.276378419923</v>
      </c>
      <c r="AN120" s="68">
        <f>AF120+AJ120</f>
        <v>-107.27637841992691</v>
      </c>
      <c r="AO120" s="68">
        <f>AF120+AK120</f>
        <v>-107.27637841992691</v>
      </c>
      <c r="AP120" s="68">
        <f>AF120+AL120</f>
        <v>-6107.2763784199269</v>
      </c>
    </row>
    <row r="121" spans="1:42">
      <c r="A121" t="s">
        <v>246</v>
      </c>
      <c r="B121" t="s">
        <v>243</v>
      </c>
      <c r="C121" t="s">
        <v>107</v>
      </c>
      <c r="D121">
        <v>2</v>
      </c>
      <c r="E121">
        <v>1500</v>
      </c>
      <c r="F121">
        <f>F$2</f>
        <v>0.97299999999999998</v>
      </c>
      <c r="G121" s="60">
        <f>E121*12*F121</f>
        <v>17514</v>
      </c>
      <c r="H121">
        <v>195</v>
      </c>
      <c r="I121" s="61">
        <v>0.61919999999999997</v>
      </c>
      <c r="J121">
        <v>158</v>
      </c>
      <c r="K121">
        <v>236</v>
      </c>
      <c r="L121">
        <f>K121-J121</f>
        <v>78</v>
      </c>
      <c r="M121">
        <f>H121-J121</f>
        <v>37</v>
      </c>
      <c r="N121" s="62">
        <f>0.8*M121/L121+0.1</f>
        <v>0.47948717948717956</v>
      </c>
      <c r="O121" s="61">
        <v>0.61919999999999997</v>
      </c>
      <c r="P121" s="63">
        <v>100</v>
      </c>
      <c r="Q121" s="64">
        <f>0.1+0.8*(P121-J121)/(K121-J121)</f>
        <v>-0.494871794871795</v>
      </c>
      <c r="R121" s="64">
        <f>$Q$2*Q121+$R$2</f>
        <v>1.2425605033630778</v>
      </c>
      <c r="S121" s="63">
        <f>365*P121*R121</f>
        <v>45353.458372752342</v>
      </c>
      <c r="T121" s="65">
        <f>S121*(1-$T$1)</f>
        <v>31747.420860926639</v>
      </c>
      <c r="U121" s="60">
        <f>J121</f>
        <v>158</v>
      </c>
      <c r="V121" s="63">
        <f>1.25*L121</f>
        <v>97.5</v>
      </c>
      <c r="W121" s="63">
        <f>J121-L121/8</f>
        <v>148.25</v>
      </c>
      <c r="X121">
        <f>1.25*L121/(2*$Q$2)</f>
        <v>-61.57264165200408</v>
      </c>
      <c r="Y121" s="63">
        <f>(($Q$2*W121)/V121-$R$2)*X121</f>
        <v>126.5077326045086</v>
      </c>
      <c r="Z121" s="63">
        <f>IF(Y121&gt;U121,Y121,U121)</f>
        <v>158</v>
      </c>
      <c r="AA121" s="64">
        <f>(Z121-W121)/V121</f>
        <v>0.1</v>
      </c>
      <c r="AB121" s="64">
        <f>$Q$2*AA121+$R$2</f>
        <v>0.77157210296437406</v>
      </c>
      <c r="AC121" s="63">
        <f>Z121*AB121*365</f>
        <v>44496.563177955453</v>
      </c>
      <c r="AD121" s="65">
        <f>AC121*(1-$T$1)</f>
        <v>31147.594224568817</v>
      </c>
      <c r="AE121" s="63">
        <f>G121</f>
        <v>17514</v>
      </c>
      <c r="AF121" s="63">
        <f>AD121-AE121</f>
        <v>13633.594224568817</v>
      </c>
      <c r="AH121" s="66">
        <f>AB121*(365/$AG$23)*$AG$21</f>
        <v>9387.4605860665506</v>
      </c>
      <c r="AI121" s="66">
        <f>-$AG$7-$AG$13-AH121</f>
        <v>-42987.460586066547</v>
      </c>
      <c r="AJ121" s="66">
        <f>-$AG$13-AH121-$AG$18</f>
        <v>-18987.460586066551</v>
      </c>
      <c r="AK121" s="67">
        <f>-($AG$7/$AG$9)-$AG$13-AH121</f>
        <v>-18987.460586066551</v>
      </c>
      <c r="AL121" s="67">
        <f>-($AG$7/$AG$9)-$AG$13-AH121-$AG$18</f>
        <v>-24987.460586066551</v>
      </c>
      <c r="AM121" s="68">
        <f>AF121+AI121</f>
        <v>-29353.86636149773</v>
      </c>
      <c r="AN121" s="68">
        <f>AF121+AJ121</f>
        <v>-5353.866361497734</v>
      </c>
      <c r="AO121" s="68">
        <f>AF121+AK121</f>
        <v>-5353.866361497734</v>
      </c>
      <c r="AP121" s="68">
        <f>AF121+AL121</f>
        <v>-11353.866361497734</v>
      </c>
    </row>
    <row r="122" spans="1:42">
      <c r="A122" t="s">
        <v>247</v>
      </c>
      <c r="B122" t="s">
        <v>248</v>
      </c>
      <c r="C122" t="s">
        <v>98</v>
      </c>
      <c r="D122">
        <v>1</v>
      </c>
      <c r="E122">
        <v>750</v>
      </c>
      <c r="F122">
        <f>F$2</f>
        <v>0.97299999999999998</v>
      </c>
      <c r="G122" s="60">
        <f>E122*12*F122</f>
        <v>8757</v>
      </c>
      <c r="H122">
        <v>124</v>
      </c>
      <c r="I122" s="61">
        <v>0.45479999999999998</v>
      </c>
      <c r="J122">
        <v>89</v>
      </c>
      <c r="K122">
        <v>155</v>
      </c>
      <c r="L122">
        <f>K122-J122</f>
        <v>66</v>
      </c>
      <c r="M122">
        <f>H122-J122</f>
        <v>35</v>
      </c>
      <c r="N122" s="62">
        <f>0.8*M122/L122+0.1</f>
        <v>0.52424242424242429</v>
      </c>
      <c r="O122" s="61">
        <v>0.45479999999999998</v>
      </c>
      <c r="P122" s="63">
        <v>100</v>
      </c>
      <c r="Q122" s="64">
        <f>0.1+0.8*(P122-J122)/(K122-J122)</f>
        <v>0.23333333333333334</v>
      </c>
      <c r="R122" s="64">
        <f>$Q$2*Q122+$R$2</f>
        <v>0.66600573735776802</v>
      </c>
      <c r="S122" s="63">
        <f>365*P122*R122</f>
        <v>24309.209413558532</v>
      </c>
      <c r="T122" s="65">
        <f>S122*(1-$T$1)</f>
        <v>17016.44658949097</v>
      </c>
      <c r="U122" s="60">
        <f>J122</f>
        <v>89</v>
      </c>
      <c r="V122" s="63">
        <f>1.25*L122</f>
        <v>82.5</v>
      </c>
      <c r="W122" s="63">
        <f>J122-L122/8</f>
        <v>80.75</v>
      </c>
      <c r="X122">
        <f>1.25*L122/(2*$Q$2)</f>
        <v>-52.099927551695764</v>
      </c>
      <c r="Y122" s="63">
        <f>(($Q$2*W122)/V122-$R$2)*X122</f>
        <v>84.698850665353433</v>
      </c>
      <c r="Z122" s="63">
        <f>IF(Y122&gt;U122,Y122,U122)</f>
        <v>89</v>
      </c>
      <c r="AA122" s="64">
        <f>(Z122-W122)/V122</f>
        <v>0.1</v>
      </c>
      <c r="AB122" s="64">
        <f>$Q$2*AA122+$R$2</f>
        <v>0.77157210296437406</v>
      </c>
      <c r="AC122" s="63">
        <f>Z122*AB122*365</f>
        <v>25064.519764797693</v>
      </c>
      <c r="AD122" s="65">
        <f>AC122*(1-$T$1)</f>
        <v>17545.163835358384</v>
      </c>
      <c r="AE122" s="63">
        <f>G122</f>
        <v>8757</v>
      </c>
      <c r="AF122" s="63">
        <f>AD122-AE122</f>
        <v>8788.1638353583839</v>
      </c>
      <c r="AH122" s="66">
        <f>AB122*(365/$AG$23)*$AG$21</f>
        <v>9387.4605860665506</v>
      </c>
      <c r="AI122" s="66">
        <f>-$AG$7-$AG$13-AH122</f>
        <v>-42987.460586066547</v>
      </c>
      <c r="AJ122" s="66">
        <f>-$AG$13-AH122-$AG$18</f>
        <v>-18987.460586066551</v>
      </c>
      <c r="AK122" s="67">
        <f>-($AG$7/$AG$9)-$AG$13-AH122</f>
        <v>-18987.460586066551</v>
      </c>
      <c r="AL122" s="67">
        <f>-($AG$7/$AG$9)-$AG$13-AH122-$AG$18</f>
        <v>-24987.460586066551</v>
      </c>
      <c r="AM122" s="68">
        <f>AF122+AI122</f>
        <v>-34199.296750708163</v>
      </c>
      <c r="AN122" s="68">
        <f>AF122+AJ122</f>
        <v>-10199.296750708167</v>
      </c>
      <c r="AO122" s="68">
        <f>AF122+AK122</f>
        <v>-10199.296750708167</v>
      </c>
      <c r="AP122" s="68">
        <f>AF122+AL122</f>
        <v>-16199.296750708167</v>
      </c>
    </row>
    <row r="123" spans="1:42">
      <c r="A123" t="s">
        <v>249</v>
      </c>
      <c r="B123" t="s">
        <v>248</v>
      </c>
      <c r="C123" t="s">
        <v>98</v>
      </c>
      <c r="D123">
        <v>2</v>
      </c>
      <c r="E123">
        <v>1040</v>
      </c>
      <c r="F123">
        <f>F$2</f>
        <v>0.97299999999999998</v>
      </c>
      <c r="G123" s="60">
        <f>E123*12*F123</f>
        <v>12143.039999999999</v>
      </c>
      <c r="H123">
        <v>156</v>
      </c>
      <c r="I123" s="61">
        <v>0.48770000000000002</v>
      </c>
      <c r="J123">
        <v>115</v>
      </c>
      <c r="K123">
        <v>179</v>
      </c>
      <c r="L123">
        <f>K123-J123</f>
        <v>64</v>
      </c>
      <c r="M123">
        <f>H123-J123</f>
        <v>41</v>
      </c>
      <c r="N123" s="62">
        <f>0.8*M123/L123+0.1</f>
        <v>0.61250000000000004</v>
      </c>
      <c r="O123" s="61">
        <v>0.48770000000000002</v>
      </c>
      <c r="P123" s="63">
        <v>100</v>
      </c>
      <c r="Q123" s="64">
        <f>0.1+0.8*(P123-J123)/(K123-J123)</f>
        <v>-8.7499999999999994E-2</v>
      </c>
      <c r="R123" s="64">
        <f>$Q$2*Q123+$R$2</f>
        <v>0.92002480459866365</v>
      </c>
      <c r="S123" s="63">
        <f>365*P123*R123</f>
        <v>33580.905367851221</v>
      </c>
      <c r="T123" s="65">
        <f>S123*(1-$T$1)</f>
        <v>23506.633757495852</v>
      </c>
      <c r="U123" s="60">
        <f>J123</f>
        <v>115</v>
      </c>
      <c r="V123" s="63">
        <f>1.25*L123</f>
        <v>80</v>
      </c>
      <c r="W123" s="63">
        <f>J123-L123/8</f>
        <v>107</v>
      </c>
      <c r="X123">
        <f>1.25*L123/(2*$Q$2)</f>
        <v>-50.521141868311041</v>
      </c>
      <c r="Y123" s="63">
        <f>(($Q$2*W123)/V123-$R$2)*X123</f>
        <v>96.48070367549424</v>
      </c>
      <c r="Z123" s="63">
        <f>IF(Y123&gt;U123,Y123,U123)</f>
        <v>115</v>
      </c>
      <c r="AA123" s="64">
        <f>(Z123-W123)/V123</f>
        <v>0.1</v>
      </c>
      <c r="AB123" s="64">
        <f>$Q$2*AA123+$R$2</f>
        <v>0.77157210296437406</v>
      </c>
      <c r="AC123" s="63">
        <f>Z123*AB123*365</f>
        <v>32386.739021929603</v>
      </c>
      <c r="AD123" s="65">
        <f>AC123*(1-$T$1)</f>
        <v>22670.717315350721</v>
      </c>
      <c r="AE123" s="63">
        <f>G123</f>
        <v>12143.039999999999</v>
      </c>
      <c r="AF123" s="63">
        <f>AD123-AE123</f>
        <v>10527.677315350722</v>
      </c>
      <c r="AH123" s="66">
        <f>AB123*(365/$AG$23)*$AG$21</f>
        <v>9387.4605860665506</v>
      </c>
      <c r="AI123" s="66">
        <f>-$AG$7-$AG$13-AH123</f>
        <v>-42987.460586066547</v>
      </c>
      <c r="AJ123" s="66">
        <f>-$AG$13-AH123-$AG$18</f>
        <v>-18987.460586066551</v>
      </c>
      <c r="AK123" s="67">
        <f>-($AG$7/$AG$9)-$AG$13-AH123</f>
        <v>-18987.460586066551</v>
      </c>
      <c r="AL123" s="67">
        <f>-($AG$7/$AG$9)-$AG$13-AH123-$AG$18</f>
        <v>-24987.460586066551</v>
      </c>
      <c r="AM123" s="68">
        <f>AF123+AI123</f>
        <v>-32459.783270715823</v>
      </c>
      <c r="AN123" s="68">
        <f>AF123+AJ123</f>
        <v>-8459.7832707158286</v>
      </c>
      <c r="AO123" s="68">
        <f>AF123+AK123</f>
        <v>-8459.7832707158286</v>
      </c>
      <c r="AP123" s="68">
        <f>AF123+AL123</f>
        <v>-14459.783270715829</v>
      </c>
    </row>
    <row r="124" spans="1:42">
      <c r="A124" t="s">
        <v>250</v>
      </c>
      <c r="B124" t="s">
        <v>248</v>
      </c>
      <c r="C124" t="s">
        <v>107</v>
      </c>
      <c r="D124">
        <v>1</v>
      </c>
      <c r="E124">
        <v>900</v>
      </c>
      <c r="F124">
        <f>F$2</f>
        <v>0.97299999999999998</v>
      </c>
      <c r="G124" s="60">
        <f>E124*12*F124</f>
        <v>10508.4</v>
      </c>
      <c r="H124">
        <v>256</v>
      </c>
      <c r="I124" s="61">
        <v>0.47949999999999998</v>
      </c>
      <c r="J124">
        <v>152</v>
      </c>
      <c r="K124">
        <v>300</v>
      </c>
      <c r="L124">
        <f>K124-J124</f>
        <v>148</v>
      </c>
      <c r="M124">
        <f>H124-J124</f>
        <v>104</v>
      </c>
      <c r="N124" s="62">
        <f>0.8*M124/L124+0.1</f>
        <v>0.66216216216216217</v>
      </c>
      <c r="O124" s="61">
        <v>0.47949999999999998</v>
      </c>
      <c r="P124" s="63">
        <v>100</v>
      </c>
      <c r="Q124" s="64">
        <f>0.1+0.8*(P124-J124)/(K124-J124)</f>
        <v>-0.18108108108108109</v>
      </c>
      <c r="R124" s="64">
        <f>$Q$2*Q124+$R$2</f>
        <v>0.99411741424316502</v>
      </c>
      <c r="S124" s="63">
        <f>365*P124*R124</f>
        <v>36285.285619875525</v>
      </c>
      <c r="T124" s="65">
        <f>S124*(1-$T$1)</f>
        <v>25399.699933912867</v>
      </c>
      <c r="U124" s="60">
        <f>J124</f>
        <v>152</v>
      </c>
      <c r="V124" s="63">
        <f>1.25*L124</f>
        <v>185</v>
      </c>
      <c r="W124" s="63">
        <f>J124-L124/8</f>
        <v>133.5</v>
      </c>
      <c r="X124">
        <f>1.25*L124/(2*$Q$2)</f>
        <v>-116.83014057046928</v>
      </c>
      <c r="Y124" s="63">
        <f>(($Q$2*W124)/V124-$R$2)*X124</f>
        <v>166.14287724958041</v>
      </c>
      <c r="Z124" s="63">
        <f>IF(Y124&gt;U124,Y124,U124)</f>
        <v>166.14287724958041</v>
      </c>
      <c r="AA124" s="64">
        <f>(Z124-W124)/V124</f>
        <v>0.17644798513286708</v>
      </c>
      <c r="AB124" s="64">
        <f>$Q$2*AA124+$R$2</f>
        <v>0.71104458335118936</v>
      </c>
      <c r="AC124" s="63">
        <f>Z124*AB124*365</f>
        <v>43119.272419703928</v>
      </c>
      <c r="AD124" s="65">
        <f>AC124*(1-$T$1)</f>
        <v>30183.490693792748</v>
      </c>
      <c r="AE124" s="63">
        <f>G124</f>
        <v>10508.4</v>
      </c>
      <c r="AF124" s="63">
        <f>AD124-AE124</f>
        <v>19675.09069379275</v>
      </c>
      <c r="AH124" s="66">
        <f>AB124*(365/$AG$23)*$AG$21</f>
        <v>8651.0424307728044</v>
      </c>
      <c r="AI124" s="66">
        <f>-$AG$7-$AG$13-AH124</f>
        <v>-42251.042430772803</v>
      </c>
      <c r="AJ124" s="66">
        <f>-$AG$13-AH124-$AG$18</f>
        <v>-18251.042430772803</v>
      </c>
      <c r="AK124" s="67">
        <f>-($AG$7/$AG$9)-$AG$13-AH124</f>
        <v>-18251.042430772803</v>
      </c>
      <c r="AL124" s="67">
        <f>-($AG$7/$AG$9)-$AG$13-AH124-$AG$18</f>
        <v>-24251.042430772803</v>
      </c>
      <c r="AM124" s="68">
        <f>AF124+AI124</f>
        <v>-22575.951736980052</v>
      </c>
      <c r="AN124" s="68">
        <f>AF124+AJ124</f>
        <v>1424.0482630199476</v>
      </c>
      <c r="AO124" s="68">
        <f>AF124+AK124</f>
        <v>1424.0482630199476</v>
      </c>
      <c r="AP124" s="68">
        <f>AF124+AL124</f>
        <v>-4575.9517369800524</v>
      </c>
    </row>
    <row r="125" spans="1:42">
      <c r="A125" t="s">
        <v>251</v>
      </c>
      <c r="B125" t="s">
        <v>248</v>
      </c>
      <c r="C125" t="s">
        <v>107</v>
      </c>
      <c r="D125">
        <v>2</v>
      </c>
      <c r="E125">
        <v>1400</v>
      </c>
      <c r="F125">
        <f>F$2</f>
        <v>0.97299999999999998</v>
      </c>
      <c r="G125" s="60">
        <f>E125*12*F125</f>
        <v>16346.4</v>
      </c>
      <c r="H125">
        <v>284</v>
      </c>
      <c r="I125" s="61">
        <v>0.49320000000000003</v>
      </c>
      <c r="J125">
        <v>175</v>
      </c>
      <c r="K125">
        <v>368</v>
      </c>
      <c r="L125">
        <f>K125-J125</f>
        <v>193</v>
      </c>
      <c r="M125">
        <f>H125-J125</f>
        <v>109</v>
      </c>
      <c r="N125" s="62">
        <f>0.8*M125/L125+0.1</f>
        <v>0.55181347150259075</v>
      </c>
      <c r="O125" s="61">
        <v>0.49320000000000003</v>
      </c>
      <c r="P125" s="63">
        <v>100</v>
      </c>
      <c r="Q125" s="64">
        <f>0.1+0.8*(P125-J125)/(K125-J125)</f>
        <v>-0.21088082901554403</v>
      </c>
      <c r="R125" s="64">
        <f>$Q$2*Q125+$R$2</f>
        <v>1.0177112973839217</v>
      </c>
      <c r="S125" s="63">
        <f>365*P125*R125</f>
        <v>37146.462354513147</v>
      </c>
      <c r="T125" s="65">
        <f>S125*(1-$T$1)</f>
        <v>26002.5236481592</v>
      </c>
      <c r="U125" s="60">
        <f>J125</f>
        <v>175</v>
      </c>
      <c r="V125" s="63">
        <f>1.25*L125</f>
        <v>241.25</v>
      </c>
      <c r="W125" s="63">
        <f>J125-L125/8</f>
        <v>150.875</v>
      </c>
      <c r="X125">
        <f>1.25*L125/(2*$Q$2)</f>
        <v>-152.35281844662549</v>
      </c>
      <c r="Y125" s="63">
        <f>(($Q$2*W125)/V125-$R$2)*X125</f>
        <v>205.0511845214123</v>
      </c>
      <c r="Z125" s="63">
        <f>IF(Y125&gt;U125,Y125,U125)</f>
        <v>205.0511845214123</v>
      </c>
      <c r="AA125" s="64">
        <f>(Z125-W125)/V125</f>
        <v>0.22456449542554319</v>
      </c>
      <c r="AB125" s="64">
        <f>$Q$2*AA125+$R$2</f>
        <v>0.67294844497165929</v>
      </c>
      <c r="AC125" s="63">
        <f>Z125*AB125*365</f>
        <v>50365.939653597634</v>
      </c>
      <c r="AD125" s="65">
        <f>AC125*(1-$T$1)</f>
        <v>35256.15775751834</v>
      </c>
      <c r="AE125" s="63">
        <f>G125</f>
        <v>16346.4</v>
      </c>
      <c r="AF125" s="63">
        <f>AD125-AE125</f>
        <v>18909.757757518339</v>
      </c>
      <c r="AH125" s="66">
        <f>AB125*(365/$AG$23)*$AG$21</f>
        <v>8187.5394138218553</v>
      </c>
      <c r="AI125" s="66">
        <f>-$AG$7-$AG$13-AH125</f>
        <v>-41787.539413821854</v>
      </c>
      <c r="AJ125" s="66">
        <f>-$AG$13-AH125-$AG$18</f>
        <v>-17787.539413821854</v>
      </c>
      <c r="AK125" s="67">
        <f>-($AG$7/$AG$9)-$AG$13-AH125</f>
        <v>-17787.539413821854</v>
      </c>
      <c r="AL125" s="67">
        <f>-($AG$7/$AG$9)-$AG$13-AH125-$AG$18</f>
        <v>-23787.539413821854</v>
      </c>
      <c r="AM125" s="68">
        <f>AF125+AI125</f>
        <v>-22877.781656303516</v>
      </c>
      <c r="AN125" s="68">
        <f>AF125+AJ125</f>
        <v>1122.2183436964842</v>
      </c>
      <c r="AO125" s="68">
        <f>AF125+AK125</f>
        <v>1122.2183436964842</v>
      </c>
      <c r="AP125" s="68">
        <f>AF125+AL125</f>
        <v>-4877.7816563035158</v>
      </c>
    </row>
    <row r="126" spans="1:42">
      <c r="A126" t="s">
        <v>252</v>
      </c>
      <c r="B126" t="s">
        <v>253</v>
      </c>
      <c r="C126" t="s">
        <v>98</v>
      </c>
      <c r="D126">
        <v>1</v>
      </c>
      <c r="E126">
        <v>825</v>
      </c>
      <c r="F126">
        <f>F$2</f>
        <v>0.97299999999999998</v>
      </c>
      <c r="G126" s="60">
        <f>E126*12*F126</f>
        <v>9632.6999999999989</v>
      </c>
      <c r="H126">
        <v>128</v>
      </c>
      <c r="I126" s="61">
        <v>0.36159999999999998</v>
      </c>
      <c r="J126">
        <v>77</v>
      </c>
      <c r="K126">
        <v>161</v>
      </c>
      <c r="L126">
        <f>K126-J126</f>
        <v>84</v>
      </c>
      <c r="M126">
        <f>H126-J126</f>
        <v>51</v>
      </c>
      <c r="N126" s="62">
        <f>0.8*M126/L126+0.1</f>
        <v>0.58571428571428574</v>
      </c>
      <c r="O126" s="61">
        <v>0.36159999999999998</v>
      </c>
      <c r="P126" s="63">
        <v>100</v>
      </c>
      <c r="Q126" s="64">
        <f>0.1+0.8*(P126-J126)/(K126-J126)</f>
        <v>0.31904761904761908</v>
      </c>
      <c r="R126" s="64">
        <f>$Q$2*Q126+$R$2</f>
        <v>0.59814164518209267</v>
      </c>
      <c r="S126" s="63">
        <f>365*P126*R126</f>
        <v>21832.170049146382</v>
      </c>
      <c r="T126" s="65">
        <f>S126*(1-$T$1)</f>
        <v>15282.519034402467</v>
      </c>
      <c r="U126" s="60">
        <f>J126</f>
        <v>77</v>
      </c>
      <c r="V126" s="63">
        <f>1.25*L126</f>
        <v>105</v>
      </c>
      <c r="W126" s="63">
        <f>J126-L126/8</f>
        <v>66.5</v>
      </c>
      <c r="X126">
        <f>1.25*L126/(2*$Q$2)</f>
        <v>-66.308998702158249</v>
      </c>
      <c r="Y126" s="63">
        <f>(($Q$2*W126)/V126-$R$2)*X126</f>
        <v>89.662173574086182</v>
      </c>
      <c r="Z126" s="63">
        <f>IF(Y126&gt;U126,Y126,U126)</f>
        <v>89.662173574086182</v>
      </c>
      <c r="AA126" s="64">
        <f>(Z126-W126)/V126</f>
        <v>0.22059212927701127</v>
      </c>
      <c r="AB126" s="64">
        <f>$Q$2*AA126+$R$2</f>
        <v>0.67609355690035344</v>
      </c>
      <c r="AC126" s="63">
        <f>Z126*AB126*365</f>
        <v>22126.306515659093</v>
      </c>
      <c r="AD126" s="65">
        <f>AC126*(1-$T$1)</f>
        <v>15488.414560961364</v>
      </c>
      <c r="AE126" s="63">
        <f>G126</f>
        <v>9632.6999999999989</v>
      </c>
      <c r="AF126" s="63">
        <f>AD126-AE126</f>
        <v>5855.7145609613654</v>
      </c>
      <c r="AH126" s="66">
        <f>AB126*(365/$AG$23)*$AG$21</f>
        <v>8225.8049422876338</v>
      </c>
      <c r="AI126" s="66">
        <f>-$AG$7-$AG$13-AH126</f>
        <v>-41825.804942287636</v>
      </c>
      <c r="AJ126" s="66">
        <f>-$AG$13-AH126-$AG$18</f>
        <v>-17825.804942287636</v>
      </c>
      <c r="AK126" s="67">
        <f>-($AG$7/$AG$9)-$AG$13-AH126</f>
        <v>-17825.804942287636</v>
      </c>
      <c r="AL126" s="67">
        <f>-($AG$7/$AG$9)-$AG$13-AH126-$AG$18</f>
        <v>-23825.804942287636</v>
      </c>
      <c r="AM126" s="68">
        <f>AF126+AI126</f>
        <v>-35970.09038132627</v>
      </c>
      <c r="AN126" s="68">
        <f>AF126+AJ126</f>
        <v>-11970.09038132627</v>
      </c>
      <c r="AO126" s="68">
        <f>AF126+AK126</f>
        <v>-11970.09038132627</v>
      </c>
      <c r="AP126" s="68">
        <f>AF126+AL126</f>
        <v>-17970.09038132627</v>
      </c>
    </row>
    <row r="127" spans="1:42">
      <c r="A127" t="s">
        <v>254</v>
      </c>
      <c r="B127" t="s">
        <v>255</v>
      </c>
      <c r="C127" t="s">
        <v>98</v>
      </c>
      <c r="D127">
        <v>2</v>
      </c>
      <c r="E127">
        <v>2700</v>
      </c>
      <c r="F127">
        <f>F$2</f>
        <v>0.97299999999999998</v>
      </c>
      <c r="G127" s="60">
        <f>E127*12*F127</f>
        <v>31525.200000000001</v>
      </c>
      <c r="H127">
        <v>337</v>
      </c>
      <c r="I127" s="61">
        <v>0.4219</v>
      </c>
      <c r="J127">
        <v>157</v>
      </c>
      <c r="K127">
        <v>526</v>
      </c>
      <c r="L127">
        <f>K127-J127</f>
        <v>369</v>
      </c>
      <c r="M127">
        <f>H127-J127</f>
        <v>180</v>
      </c>
      <c r="N127" s="62">
        <f>0.8*M127/L127+0.1</f>
        <v>0.49024390243902438</v>
      </c>
      <c r="O127" s="61">
        <v>0.4219</v>
      </c>
      <c r="P127" s="63">
        <v>100</v>
      </c>
      <c r="Q127" s="64">
        <f>0.1+0.8*(P127-J127)/(K127-J127)</f>
        <v>-2.3577235772357721E-2</v>
      </c>
      <c r="R127" s="64">
        <f>$Q$2*Q127+$R$2</f>
        <v>0.86941410035586253</v>
      </c>
      <c r="S127" s="63">
        <f>365*P127*R127</f>
        <v>31733.614662988981</v>
      </c>
      <c r="T127" s="65">
        <f>S127*(1-$T$1)</f>
        <v>22213.530264092286</v>
      </c>
      <c r="U127" s="60">
        <f>J127</f>
        <v>157</v>
      </c>
      <c r="V127" s="63">
        <f>1.25*L127</f>
        <v>461.25</v>
      </c>
      <c r="W127" s="63">
        <f>J127-L127/8</f>
        <v>110.875</v>
      </c>
      <c r="X127">
        <f>1.25*L127/(2*$Q$2)</f>
        <v>-291.28595858448085</v>
      </c>
      <c r="Y127" s="63">
        <f>(($Q$2*W127)/V127-$R$2)*X127</f>
        <v>303.24811962902146</v>
      </c>
      <c r="Z127" s="63">
        <f>IF(Y127&gt;U127,Y127,U127)</f>
        <v>303.24811962902146</v>
      </c>
      <c r="AA127" s="64">
        <f>(Z127-W127)/V127</f>
        <v>0.41706909404665898</v>
      </c>
      <c r="AB127" s="64">
        <f>$Q$2*AA127+$R$2</f>
        <v>0.52053336367923686</v>
      </c>
      <c r="AC127" s="63">
        <f>Z127*AB127*365</f>
        <v>57615.528765062823</v>
      </c>
      <c r="AD127" s="65">
        <f>AC127*(1-$T$1)</f>
        <v>40330.870135543977</v>
      </c>
      <c r="AE127" s="63">
        <f>G127</f>
        <v>31525.200000000001</v>
      </c>
      <c r="AF127" s="63">
        <f>AD127-AE127</f>
        <v>8805.6701355439764</v>
      </c>
      <c r="AH127" s="66">
        <f>AB127*(365/$AG$23)*$AG$21</f>
        <v>6333.1559247640489</v>
      </c>
      <c r="AI127" s="66">
        <f>-$AG$7-$AG$13-AH127</f>
        <v>-39933.155924764047</v>
      </c>
      <c r="AJ127" s="66">
        <f>-$AG$13-AH127-$AG$18</f>
        <v>-15933.155924764049</v>
      </c>
      <c r="AK127" s="67">
        <f>-($AG$7/$AG$9)-$AG$13-AH127</f>
        <v>-15933.155924764049</v>
      </c>
      <c r="AL127" s="67">
        <f>-($AG$7/$AG$9)-$AG$13-AH127-$AG$18</f>
        <v>-21933.155924764047</v>
      </c>
      <c r="AM127" s="68">
        <f>AF127+AI127</f>
        <v>-31127.485789220071</v>
      </c>
      <c r="AN127" s="68">
        <f>AF127+AJ127</f>
        <v>-7127.4857892200725</v>
      </c>
      <c r="AO127" s="68">
        <f>AF127+AK127</f>
        <v>-7127.4857892200725</v>
      </c>
      <c r="AP127" s="68">
        <f>AF127+AL127</f>
        <v>-13127.485789220071</v>
      </c>
    </row>
    <row r="128" spans="1:42">
      <c r="A128" t="s">
        <v>256</v>
      </c>
      <c r="B128" t="s">
        <v>253</v>
      </c>
      <c r="C128" t="s">
        <v>98</v>
      </c>
      <c r="D128">
        <v>2</v>
      </c>
      <c r="E128">
        <v>1300</v>
      </c>
      <c r="F128">
        <f>F$2</f>
        <v>0.97299999999999998</v>
      </c>
      <c r="G128" s="60">
        <f>E128*12*F128</f>
        <v>15178.8</v>
      </c>
      <c r="H128">
        <v>139</v>
      </c>
      <c r="I128" s="61">
        <v>0.74250000000000005</v>
      </c>
      <c r="J128">
        <v>125</v>
      </c>
      <c r="K128">
        <v>170</v>
      </c>
      <c r="L128">
        <f>K128-J128</f>
        <v>45</v>
      </c>
      <c r="M128">
        <f>H128-J128</f>
        <v>14</v>
      </c>
      <c r="N128" s="62">
        <f>0.8*M128/L128+0.1</f>
        <v>0.34888888888888892</v>
      </c>
      <c r="O128" s="61">
        <v>0.74250000000000005</v>
      </c>
      <c r="P128" s="63">
        <v>100</v>
      </c>
      <c r="Q128" s="64">
        <f>0.1+0.8*(P128-J128)/(K128-J128)</f>
        <v>-0.34444444444444444</v>
      </c>
      <c r="R128" s="64">
        <f>$Q$2*Q128+$R$2</f>
        <v>1.1234599883197274</v>
      </c>
      <c r="S128" s="63">
        <f>365*P128*R128</f>
        <v>41006.289573670052</v>
      </c>
      <c r="T128" s="65">
        <f>S128*(1-$T$1)</f>
        <v>28704.402701569034</v>
      </c>
      <c r="U128" s="60">
        <f>J128</f>
        <v>125</v>
      </c>
      <c r="V128" s="63">
        <f>1.25*L128</f>
        <v>56.25</v>
      </c>
      <c r="W128" s="63">
        <f>J128-L128/8</f>
        <v>119.375</v>
      </c>
      <c r="X128">
        <f>1.25*L128/(2*$Q$2)</f>
        <v>-35.522677876156202</v>
      </c>
      <c r="Y128" s="63">
        <f>(($Q$2*W128)/V128-$R$2)*X128</f>
        <v>89.908307271831887</v>
      </c>
      <c r="Z128" s="63">
        <f>IF(Y128&gt;U128,Y128,U128)</f>
        <v>125</v>
      </c>
      <c r="AA128" s="64">
        <f>(Z128-W128)/V128</f>
        <v>0.1</v>
      </c>
      <c r="AB128" s="64">
        <f>$Q$2*AA128+$R$2</f>
        <v>0.77157210296437406</v>
      </c>
      <c r="AC128" s="63">
        <f>Z128*AB128*365</f>
        <v>35202.977197749562</v>
      </c>
      <c r="AD128" s="65">
        <f>AC128*(1-$T$1)</f>
        <v>24642.084038424691</v>
      </c>
      <c r="AE128" s="63">
        <f>G128</f>
        <v>15178.8</v>
      </c>
      <c r="AF128" s="63">
        <f>AD128-AE128</f>
        <v>9463.284038424692</v>
      </c>
      <c r="AH128" s="66">
        <f>AB128*(365/$AG$23)*$AG$21</f>
        <v>9387.4605860665506</v>
      </c>
      <c r="AI128" s="66">
        <f>-$AG$7-$AG$13-AH128</f>
        <v>-42987.460586066547</v>
      </c>
      <c r="AJ128" s="66">
        <f>-$AG$13-AH128-$AG$18</f>
        <v>-18987.460586066551</v>
      </c>
      <c r="AK128" s="67">
        <f>-($AG$7/$AG$9)-$AG$13-AH128</f>
        <v>-18987.460586066551</v>
      </c>
      <c r="AL128" s="67">
        <f>-($AG$7/$AG$9)-$AG$13-AH128-$AG$18</f>
        <v>-24987.460586066551</v>
      </c>
      <c r="AM128" s="68">
        <f>AF128+AI128</f>
        <v>-33524.176547641851</v>
      </c>
      <c r="AN128" s="68">
        <f>AF128+AJ128</f>
        <v>-9524.1765476418586</v>
      </c>
      <c r="AO128" s="68">
        <f>AF128+AK128</f>
        <v>-9524.1765476418586</v>
      </c>
      <c r="AP128" s="68">
        <f>AF128+AL128</f>
        <v>-15524.176547641859</v>
      </c>
    </row>
    <row r="129" spans="1:42">
      <c r="A129" t="s">
        <v>257</v>
      </c>
      <c r="B129" t="s">
        <v>253</v>
      </c>
      <c r="C129" t="s">
        <v>107</v>
      </c>
      <c r="D129">
        <v>1</v>
      </c>
      <c r="E129">
        <v>1000</v>
      </c>
      <c r="F129">
        <f>F$2</f>
        <v>0.97299999999999998</v>
      </c>
      <c r="G129" s="60">
        <f>E129*12*F129</f>
        <v>11676</v>
      </c>
      <c r="H129">
        <v>240</v>
      </c>
      <c r="I129" s="61">
        <v>0.36990000000000001</v>
      </c>
      <c r="J129">
        <v>140</v>
      </c>
      <c r="K129">
        <v>288</v>
      </c>
      <c r="L129">
        <f>K129-J129</f>
        <v>148</v>
      </c>
      <c r="M129">
        <f>H129-J129</f>
        <v>100</v>
      </c>
      <c r="N129" s="62">
        <f>0.8*M129/L129+0.1</f>
        <v>0.64054054054054055</v>
      </c>
      <c r="O129" s="61">
        <v>0.36990000000000001</v>
      </c>
      <c r="P129" s="63">
        <v>100</v>
      </c>
      <c r="Q129" s="64">
        <f>0.1+0.8*(P129-J129)/(K129-J129)</f>
        <v>-0.11621621621621622</v>
      </c>
      <c r="R129" s="64">
        <f>$Q$2*Q129+$R$2</f>
        <v>0.94276080394805939</v>
      </c>
      <c r="S129" s="63">
        <f>365*P129*R129</f>
        <v>34410.76934410417</v>
      </c>
      <c r="T129" s="65">
        <f>S129*(1-$T$1)</f>
        <v>24087.538540872916</v>
      </c>
      <c r="U129" s="60">
        <f>J129</f>
        <v>140</v>
      </c>
      <c r="V129" s="63">
        <f>1.25*L129</f>
        <v>185</v>
      </c>
      <c r="W129" s="63">
        <f>J129-L129/8</f>
        <v>121.5</v>
      </c>
      <c r="X129">
        <f>1.25*L129/(2*$Q$2)</f>
        <v>-116.83014057046928</v>
      </c>
      <c r="Y129" s="63">
        <f>(($Q$2*W129)/V129-$R$2)*X129</f>
        <v>160.14287724958041</v>
      </c>
      <c r="Z129" s="63">
        <f>IF(Y129&gt;U129,Y129,U129)</f>
        <v>160.14287724958041</v>
      </c>
      <c r="AA129" s="64">
        <f>(Z129-W129)/V129</f>
        <v>0.20888041756529951</v>
      </c>
      <c r="AB129" s="64">
        <f>$Q$2*AA129+$R$2</f>
        <v>0.68536627820363649</v>
      </c>
      <c r="AC129" s="63">
        <f>Z129*AB129*365</f>
        <v>40061.132632898858</v>
      </c>
      <c r="AD129" s="65">
        <f>AC129*(1-$T$1)</f>
        <v>28042.792843029198</v>
      </c>
      <c r="AE129" s="63">
        <f>G129</f>
        <v>11676</v>
      </c>
      <c r="AF129" s="63">
        <f>AD129-AE129</f>
        <v>16366.792843029198</v>
      </c>
      <c r="AH129" s="66">
        <f>AB129*(365/$AG$23)*$AG$21</f>
        <v>8338.623051477578</v>
      </c>
      <c r="AI129" s="66">
        <f>-$AG$7-$AG$13-AH129</f>
        <v>-41938.623051477582</v>
      </c>
      <c r="AJ129" s="66">
        <f>-$AG$13-AH129-$AG$18</f>
        <v>-17938.623051477578</v>
      </c>
      <c r="AK129" s="67">
        <f>-($AG$7/$AG$9)-$AG$13-AH129</f>
        <v>-17938.623051477578</v>
      </c>
      <c r="AL129" s="67">
        <f>-($AG$7/$AG$9)-$AG$13-AH129-$AG$18</f>
        <v>-23938.623051477578</v>
      </c>
      <c r="AM129" s="68">
        <f>AF129+AI129</f>
        <v>-25571.830208448384</v>
      </c>
      <c r="AN129" s="68">
        <f>AF129+AJ129</f>
        <v>-1571.8302084483803</v>
      </c>
      <c r="AO129" s="68">
        <f>AF129+AK129</f>
        <v>-1571.8302084483803</v>
      </c>
      <c r="AP129" s="68">
        <f>AF129+AL129</f>
        <v>-7571.8302084483803</v>
      </c>
    </row>
    <row r="130" spans="1:42">
      <c r="A130" t="s">
        <v>258</v>
      </c>
      <c r="B130" t="s">
        <v>253</v>
      </c>
      <c r="C130" t="s">
        <v>107</v>
      </c>
      <c r="D130">
        <v>2</v>
      </c>
      <c r="E130">
        <v>1480</v>
      </c>
      <c r="F130">
        <f>F$2</f>
        <v>0.97299999999999998</v>
      </c>
      <c r="G130" s="60">
        <f>E130*12*F130</f>
        <v>17280.48</v>
      </c>
      <c r="H130">
        <v>249</v>
      </c>
      <c r="I130" s="61">
        <v>0.44109999999999999</v>
      </c>
      <c r="J130">
        <v>175</v>
      </c>
      <c r="K130">
        <v>310</v>
      </c>
      <c r="L130">
        <f>K130-J130</f>
        <v>135</v>
      </c>
      <c r="M130">
        <f>H130-J130</f>
        <v>74</v>
      </c>
      <c r="N130" s="62">
        <f>0.8*M130/L130+0.1</f>
        <v>0.53851851851851851</v>
      </c>
      <c r="O130" s="61">
        <v>0.44109999999999999</v>
      </c>
      <c r="P130" s="63">
        <v>100</v>
      </c>
      <c r="Q130" s="64">
        <f>0.1+0.8*(P130-J130)/(K130-J130)</f>
        <v>-0.34444444444444444</v>
      </c>
      <c r="R130" s="64">
        <f>$Q$2*Q130+$R$2</f>
        <v>1.1234599883197274</v>
      </c>
      <c r="S130" s="63">
        <f>365*P130*R130</f>
        <v>41006.289573670052</v>
      </c>
      <c r="T130" s="65">
        <f>S130*(1-$T$1)</f>
        <v>28704.402701569034</v>
      </c>
      <c r="U130" s="60">
        <f>J130</f>
        <v>175</v>
      </c>
      <c r="V130" s="63">
        <f>1.25*L130</f>
        <v>168.75</v>
      </c>
      <c r="W130" s="63">
        <f>J130-L130/8</f>
        <v>158.125</v>
      </c>
      <c r="X130">
        <f>1.25*L130/(2*$Q$2)</f>
        <v>-106.56803362846861</v>
      </c>
      <c r="Y130" s="63">
        <f>(($Q$2*W130)/V130-$R$2)*X130</f>
        <v>169.72492181549566</v>
      </c>
      <c r="Z130" s="63">
        <f>IF(Y130&gt;U130,Y130,U130)</f>
        <v>175</v>
      </c>
      <c r="AA130" s="64">
        <f>(Z130-W130)/V130</f>
        <v>0.1</v>
      </c>
      <c r="AB130" s="64">
        <f>$Q$2*AA130+$R$2</f>
        <v>0.77157210296437406</v>
      </c>
      <c r="AC130" s="63">
        <f>Z130*AB130*365</f>
        <v>49284.16807684939</v>
      </c>
      <c r="AD130" s="65">
        <f>AC130*(1-$T$1)</f>
        <v>34498.917653794568</v>
      </c>
      <c r="AE130" s="63">
        <f>G130</f>
        <v>17280.48</v>
      </c>
      <c r="AF130" s="63">
        <f>AD130-AE130</f>
        <v>17218.437653794568</v>
      </c>
      <c r="AH130" s="66">
        <f>AB130*(365/$AG$23)*$AG$21</f>
        <v>9387.4605860665506</v>
      </c>
      <c r="AI130" s="66">
        <f>-$AG$7-$AG$13-AH130</f>
        <v>-42987.460586066547</v>
      </c>
      <c r="AJ130" s="66">
        <f>-$AG$13-AH130-$AG$18</f>
        <v>-18987.460586066551</v>
      </c>
      <c r="AK130" s="67">
        <f>-($AG$7/$AG$9)-$AG$13-AH130</f>
        <v>-18987.460586066551</v>
      </c>
      <c r="AL130" s="67">
        <f>-($AG$7/$AG$9)-$AG$13-AH130-$AG$18</f>
        <v>-24987.460586066551</v>
      </c>
      <c r="AM130" s="68">
        <f>AF130+AI130</f>
        <v>-25769.022932271979</v>
      </c>
      <c r="AN130" s="68">
        <f>AF130+AJ130</f>
        <v>-1769.0229322719824</v>
      </c>
      <c r="AO130" s="68">
        <f>AF130+AK130</f>
        <v>-1769.0229322719824</v>
      </c>
      <c r="AP130" s="68">
        <f>AF130+AL130</f>
        <v>-7769.0229322719824</v>
      </c>
    </row>
    <row r="131" spans="1:42">
      <c r="A131" t="s">
        <v>259</v>
      </c>
      <c r="B131" t="s">
        <v>260</v>
      </c>
      <c r="C131" t="s">
        <v>98</v>
      </c>
      <c r="D131">
        <v>1</v>
      </c>
      <c r="E131">
        <v>650</v>
      </c>
      <c r="F131">
        <f>F$2</f>
        <v>0.97299999999999998</v>
      </c>
      <c r="G131" s="60">
        <f>E131*12*F131</f>
        <v>7589.4</v>
      </c>
      <c r="H131">
        <v>107</v>
      </c>
      <c r="I131" s="61">
        <v>0.47949999999999998</v>
      </c>
      <c r="J131">
        <v>80</v>
      </c>
      <c r="K131">
        <v>156</v>
      </c>
      <c r="L131">
        <f>K131-J131</f>
        <v>76</v>
      </c>
      <c r="M131">
        <f>H131-J131</f>
        <v>27</v>
      </c>
      <c r="N131" s="62">
        <f>0.8*M131/L131+0.1</f>
        <v>0.38421052631578945</v>
      </c>
      <c r="O131" s="61">
        <v>0.47949999999999998</v>
      </c>
      <c r="P131" s="63">
        <v>100</v>
      </c>
      <c r="Q131" s="64">
        <f>0.1+0.8*(P131-J131)/(K131-J131)</f>
        <v>0.31052631578947365</v>
      </c>
      <c r="R131" s="64">
        <f>$Q$2*Q131+$R$2</f>
        <v>0.60488836779604882</v>
      </c>
      <c r="S131" s="63">
        <f>365*P131*R131</f>
        <v>22078.425424555782</v>
      </c>
      <c r="T131" s="65">
        <f>S131*(1-$T$1)</f>
        <v>15454.897797189047</v>
      </c>
      <c r="U131" s="60">
        <f>J131</f>
        <v>80</v>
      </c>
      <c r="V131" s="63">
        <f>1.25*L131</f>
        <v>95</v>
      </c>
      <c r="W131" s="63">
        <f>J131-L131/8</f>
        <v>70.5</v>
      </c>
      <c r="X131">
        <f>1.25*L131/(2*$Q$2)</f>
        <v>-59.993855968619364</v>
      </c>
      <c r="Y131" s="63">
        <f>(($Q$2*W131)/V131-$R$2)*X131</f>
        <v>86.289585614649397</v>
      </c>
      <c r="Z131" s="63">
        <f>IF(Y131&gt;U131,Y131,U131)</f>
        <v>86.289585614649397</v>
      </c>
      <c r="AA131" s="64">
        <f>(Z131-W131)/V131</f>
        <v>0.16620616436473049</v>
      </c>
      <c r="AB131" s="64">
        <f>$Q$2*AA131+$R$2</f>
        <v>0.71915352181883763</v>
      </c>
      <c r="AC131" s="63">
        <f>Z131*AB131*365</f>
        <v>22650.242677738075</v>
      </c>
      <c r="AD131" s="65">
        <f>AC131*(1-$T$1)</f>
        <v>15855.169874416652</v>
      </c>
      <c r="AE131" s="63">
        <f>G131</f>
        <v>7589.4</v>
      </c>
      <c r="AF131" s="63">
        <f>AD131-AE131</f>
        <v>8265.7698744166519</v>
      </c>
      <c r="AH131" s="66">
        <f>AB131*(365/$AG$23)*$AG$21</f>
        <v>8749.7011821291926</v>
      </c>
      <c r="AI131" s="66">
        <f>-$AG$7-$AG$13-AH131</f>
        <v>-42349.701182129196</v>
      </c>
      <c r="AJ131" s="66">
        <f>-$AG$13-AH131-$AG$18</f>
        <v>-18349.701182129193</v>
      </c>
      <c r="AK131" s="67">
        <f>-($AG$7/$AG$9)-$AG$13-AH131</f>
        <v>-18349.701182129193</v>
      </c>
      <c r="AL131" s="67">
        <f>-($AG$7/$AG$9)-$AG$13-AH131-$AG$18</f>
        <v>-24349.701182129193</v>
      </c>
      <c r="AM131" s="68">
        <f>AF131+AI131</f>
        <v>-34083.931307712541</v>
      </c>
      <c r="AN131" s="68">
        <f>AF131+AJ131</f>
        <v>-10083.931307712541</v>
      </c>
      <c r="AO131" s="68">
        <f>AF131+AK131</f>
        <v>-10083.931307712541</v>
      </c>
      <c r="AP131" s="68">
        <f>AF131+AL131</f>
        <v>-16083.931307712541</v>
      </c>
    </row>
    <row r="132" spans="1:42">
      <c r="A132" t="s">
        <v>261</v>
      </c>
      <c r="B132" t="s">
        <v>260</v>
      </c>
      <c r="C132" t="s">
        <v>98</v>
      </c>
      <c r="D132">
        <v>2</v>
      </c>
      <c r="E132">
        <v>920</v>
      </c>
      <c r="F132">
        <f>F$2</f>
        <v>0.97299999999999998</v>
      </c>
      <c r="G132" s="60">
        <f>E132*12*F132</f>
        <v>10741.92</v>
      </c>
      <c r="H132">
        <v>147</v>
      </c>
      <c r="I132" s="61">
        <v>0.41370000000000001</v>
      </c>
      <c r="J132">
        <v>108</v>
      </c>
      <c r="K132">
        <v>205</v>
      </c>
      <c r="L132">
        <f>K132-J132</f>
        <v>97</v>
      </c>
      <c r="M132">
        <f>H132-J132</f>
        <v>39</v>
      </c>
      <c r="N132" s="62">
        <f>0.8*M132/L132+0.1</f>
        <v>0.42164948453608253</v>
      </c>
      <c r="O132" s="61">
        <v>0.41370000000000001</v>
      </c>
      <c r="P132" s="63">
        <v>100</v>
      </c>
      <c r="Q132" s="64">
        <f>0.1+0.8*(P132-J132)/(K132-J132)</f>
        <v>3.4020618556701035E-2</v>
      </c>
      <c r="R132" s="64">
        <f>$Q$2*Q132+$R$2</f>
        <v>0.82381112924393163</v>
      </c>
      <c r="S132" s="63">
        <f>365*P132*R132</f>
        <v>30069.106217403503</v>
      </c>
      <c r="T132" s="65">
        <f>S132*(1-$T$1)</f>
        <v>21048.374352182451</v>
      </c>
      <c r="U132" s="60">
        <f>J132</f>
        <v>108</v>
      </c>
      <c r="V132" s="63">
        <f>1.25*L132</f>
        <v>121.25</v>
      </c>
      <c r="W132" s="63">
        <f>J132-L132/8</f>
        <v>95.875</v>
      </c>
      <c r="X132">
        <f>1.25*L132/(2*$Q$2)</f>
        <v>-76.571105644158919</v>
      </c>
      <c r="Y132" s="63">
        <f>(($Q$2*W132)/V132-$R$2)*X132</f>
        <v>113.08012900817094</v>
      </c>
      <c r="Z132" s="63">
        <f>IF(Y132&gt;U132,Y132,U132)</f>
        <v>113.08012900817094</v>
      </c>
      <c r="AA132" s="64">
        <f>(Z132-W132)/V132</f>
        <v>0.14189797120140984</v>
      </c>
      <c r="AB132" s="64">
        <f>$Q$2*AA132+$R$2</f>
        <v>0.73839947886920088</v>
      </c>
      <c r="AC132" s="63">
        <f>Z132*AB132*365</f>
        <v>30476.882540484832</v>
      </c>
      <c r="AD132" s="65">
        <f>AC132*(1-$T$1)</f>
        <v>21333.81777833938</v>
      </c>
      <c r="AE132" s="63">
        <f>G132</f>
        <v>10741.92</v>
      </c>
      <c r="AF132" s="63">
        <f>AD132-AE132</f>
        <v>10591.89777833938</v>
      </c>
      <c r="AH132" s="66">
        <f>AB132*(365/$AG$23)*$AG$21</f>
        <v>8983.8603262419438</v>
      </c>
      <c r="AI132" s="66">
        <f>-$AG$7-$AG$13-AH132</f>
        <v>-42583.860326241942</v>
      </c>
      <c r="AJ132" s="66">
        <f>-$AG$13-AH132-$AG$18</f>
        <v>-18583.860326241942</v>
      </c>
      <c r="AK132" s="67">
        <f>-($AG$7/$AG$9)-$AG$13-AH132</f>
        <v>-18583.860326241942</v>
      </c>
      <c r="AL132" s="67">
        <f>-($AG$7/$AG$9)-$AG$13-AH132-$AG$18</f>
        <v>-24583.860326241942</v>
      </c>
      <c r="AM132" s="68">
        <f>AF132+AI132</f>
        <v>-31991.962547902564</v>
      </c>
      <c r="AN132" s="68">
        <f>AF132+AJ132</f>
        <v>-7991.9625479025617</v>
      </c>
      <c r="AO132" s="68">
        <f>AF132+AK132</f>
        <v>-7991.9625479025617</v>
      </c>
      <c r="AP132" s="68">
        <f>AF132+AL132</f>
        <v>-13991.962547902562</v>
      </c>
    </row>
    <row r="133" spans="1:42">
      <c r="A133" t="s">
        <v>262</v>
      </c>
      <c r="B133" t="s">
        <v>260</v>
      </c>
      <c r="C133" t="s">
        <v>107</v>
      </c>
      <c r="D133">
        <v>1</v>
      </c>
      <c r="E133">
        <v>880</v>
      </c>
      <c r="F133">
        <f>F$2</f>
        <v>0.97299999999999998</v>
      </c>
      <c r="G133" s="60">
        <f>E133*12*F133</f>
        <v>10274.879999999999</v>
      </c>
      <c r="H133">
        <v>246</v>
      </c>
      <c r="I133" s="61">
        <v>0.44379999999999997</v>
      </c>
      <c r="J133">
        <v>145</v>
      </c>
      <c r="K133">
        <v>333</v>
      </c>
      <c r="L133">
        <f>K133-J133</f>
        <v>188</v>
      </c>
      <c r="M133">
        <f>H133-J133</f>
        <v>101</v>
      </c>
      <c r="N133" s="62">
        <f>0.8*M133/L133+0.1</f>
        <v>0.52978723404255323</v>
      </c>
      <c r="O133" s="61">
        <v>0.44379999999999997</v>
      </c>
      <c r="P133" s="63">
        <v>100</v>
      </c>
      <c r="Q133" s="64">
        <f>0.1+0.8*(P133-J133)/(K133-J133)</f>
        <v>-9.1489361702127653E-2</v>
      </c>
      <c r="R133" s="64">
        <f>$Q$2*Q133+$R$2</f>
        <v>0.92318337271854223</v>
      </c>
      <c r="S133" s="63">
        <f>365*P133*R133</f>
        <v>33696.19310422679</v>
      </c>
      <c r="T133" s="65">
        <f>S133*(1-$T$1)</f>
        <v>23587.335172958752</v>
      </c>
      <c r="U133" s="60">
        <f>J133</f>
        <v>145</v>
      </c>
      <c r="V133" s="63">
        <f>1.25*L133</f>
        <v>235</v>
      </c>
      <c r="W133" s="63">
        <f>J133-L133/8</f>
        <v>121.5</v>
      </c>
      <c r="X133">
        <f>1.25*L133/(2*$Q$2)</f>
        <v>-148.4058542381637</v>
      </c>
      <c r="Y133" s="63">
        <f>(($Q$2*W133)/V133-$R$2)*X133</f>
        <v>187.00581704676432</v>
      </c>
      <c r="Z133" s="63">
        <f>IF(Y133&gt;U133,Y133,U133)</f>
        <v>187.00581704676432</v>
      </c>
      <c r="AA133" s="64">
        <f>(Z133-W133)/V133</f>
        <v>0.27874815764580563</v>
      </c>
      <c r="AB133" s="64">
        <f>$Q$2*AA133+$R$2</f>
        <v>0.63004865275279132</v>
      </c>
      <c r="AC133" s="63">
        <f>Z133*AB133*365</f>
        <v>43005.308526845824</v>
      </c>
      <c r="AD133" s="65">
        <f>AC133*(1-$T$1)</f>
        <v>30103.715968792076</v>
      </c>
      <c r="AE133" s="63">
        <f>G133</f>
        <v>10274.879999999999</v>
      </c>
      <c r="AF133" s="63">
        <f>AD133-AE133</f>
        <v>19828.835968792075</v>
      </c>
      <c r="AH133" s="66">
        <f>AB133*(365/$AG$23)*$AG$21</f>
        <v>7665.5919418256271</v>
      </c>
      <c r="AI133" s="66">
        <f>-$AG$7-$AG$13-AH133</f>
        <v>-41265.591941825624</v>
      </c>
      <c r="AJ133" s="66">
        <f>-$AG$13-AH133-$AG$18</f>
        <v>-17265.591941825627</v>
      </c>
      <c r="AK133" s="67">
        <f>-($AG$7/$AG$9)-$AG$13-AH133</f>
        <v>-17265.591941825627</v>
      </c>
      <c r="AL133" s="67">
        <f>-($AG$7/$AG$9)-$AG$13-AH133-$AG$18</f>
        <v>-23265.591941825627</v>
      </c>
      <c r="AM133" s="68">
        <f>AF133+AI133</f>
        <v>-21436.755973033549</v>
      </c>
      <c r="AN133" s="68">
        <f>AF133+AJ133</f>
        <v>2563.2440269664476</v>
      </c>
      <c r="AO133" s="68">
        <f>AF133+AK133</f>
        <v>2563.2440269664476</v>
      </c>
      <c r="AP133" s="68">
        <f>AF133+AL133</f>
        <v>-3436.7559730335524</v>
      </c>
    </row>
    <row r="134" spans="1:42">
      <c r="A134" t="s">
        <v>263</v>
      </c>
      <c r="B134" t="s">
        <v>260</v>
      </c>
      <c r="C134" t="s">
        <v>107</v>
      </c>
      <c r="D134">
        <v>2</v>
      </c>
      <c r="E134">
        <v>1200</v>
      </c>
      <c r="F134">
        <f>F$2</f>
        <v>0.97299999999999998</v>
      </c>
      <c r="G134" s="60">
        <f>E134*12*F134</f>
        <v>14011.199999999999</v>
      </c>
      <c r="H134">
        <v>169</v>
      </c>
      <c r="I134" s="61">
        <v>0.61919999999999997</v>
      </c>
      <c r="J134">
        <v>160</v>
      </c>
      <c r="K134">
        <v>310</v>
      </c>
      <c r="L134">
        <f>K134-J134</f>
        <v>150</v>
      </c>
      <c r="M134">
        <f>H134-J134</f>
        <v>9</v>
      </c>
      <c r="N134" s="62">
        <f>0.8*M134/L134+0.1</f>
        <v>0.14800000000000002</v>
      </c>
      <c r="O134" s="61">
        <v>0.61919999999999997</v>
      </c>
      <c r="P134" s="63">
        <v>100</v>
      </c>
      <c r="Q134" s="64">
        <f>0.1+0.8*(P134-J134)/(K134-J134)</f>
        <v>-0.22</v>
      </c>
      <c r="R134" s="64">
        <f>$Q$2*Q134+$R$2</f>
        <v>1.0249313804202285</v>
      </c>
      <c r="S134" s="63">
        <f>365*P134*R134</f>
        <v>37409.995385338341</v>
      </c>
      <c r="T134" s="65">
        <f>S134*(1-$T$1)</f>
        <v>26186.996769736837</v>
      </c>
      <c r="U134" s="60">
        <f>J134</f>
        <v>160</v>
      </c>
      <c r="V134" s="63">
        <f>1.25*L134</f>
        <v>187.5</v>
      </c>
      <c r="W134" s="63">
        <f>J134-L134/8</f>
        <v>141.25</v>
      </c>
      <c r="X134">
        <f>1.25*L134/(2*$Q$2)</f>
        <v>-118.40892625385401</v>
      </c>
      <c r="Y134" s="63">
        <f>(($Q$2*W134)/V134-$R$2)*X134</f>
        <v>171.36102423943962</v>
      </c>
      <c r="Z134" s="63">
        <f>IF(Y134&gt;U134,Y134,U134)</f>
        <v>171.36102423943962</v>
      </c>
      <c r="AA134" s="64">
        <f>(Z134-W134)/V134</f>
        <v>0.16059212927701128</v>
      </c>
      <c r="AB134" s="64">
        <f>$Q$2*AA134+$R$2</f>
        <v>0.7235984214233262</v>
      </c>
      <c r="AC134" s="63">
        <f>Z134*AB134*365</f>
        <v>45258.746821097142</v>
      </c>
      <c r="AD134" s="65">
        <f>AC134*(1-$T$1)</f>
        <v>31681.122774767999</v>
      </c>
      <c r="AE134" s="63">
        <f>G134</f>
        <v>14011.199999999999</v>
      </c>
      <c r="AF134" s="63">
        <f>AD134-AE134</f>
        <v>17669.922774767998</v>
      </c>
      <c r="AH134" s="66">
        <f>AB134*(365/$AG$23)*$AG$21</f>
        <v>8803.7807939838021</v>
      </c>
      <c r="AI134" s="66">
        <f>-$AG$7-$AG$13-AH134</f>
        <v>-42403.780793983802</v>
      </c>
      <c r="AJ134" s="66">
        <f>-$AG$13-AH134-$AG$18</f>
        <v>-18403.780793983802</v>
      </c>
      <c r="AK134" s="67">
        <f>-($AG$7/$AG$9)-$AG$13-AH134</f>
        <v>-18403.780793983802</v>
      </c>
      <c r="AL134" s="67">
        <f>-($AG$7/$AG$9)-$AG$13-AH134-$AG$18</f>
        <v>-24403.780793983802</v>
      </c>
      <c r="AM134" s="68">
        <f>AF134+AI134</f>
        <v>-24733.858019215804</v>
      </c>
      <c r="AN134" s="68">
        <f>AF134+AJ134</f>
        <v>-733.85801921580423</v>
      </c>
      <c r="AO134" s="68">
        <f>AF134+AK134</f>
        <v>-733.85801921580423</v>
      </c>
      <c r="AP134" s="68">
        <f>AF134+AL134</f>
        <v>-6733.8580192158042</v>
      </c>
    </row>
    <row r="135" spans="1:42">
      <c r="A135" t="s">
        <v>264</v>
      </c>
      <c r="B135" t="s">
        <v>265</v>
      </c>
      <c r="C135" t="s">
        <v>98</v>
      </c>
      <c r="D135">
        <v>1</v>
      </c>
      <c r="E135">
        <v>1000</v>
      </c>
      <c r="F135">
        <f>F$2</f>
        <v>0.97299999999999998</v>
      </c>
      <c r="G135" s="60">
        <f>E135*12*F135</f>
        <v>11676</v>
      </c>
      <c r="H135">
        <v>174</v>
      </c>
      <c r="I135" s="61">
        <v>0.54790000000000005</v>
      </c>
      <c r="J135">
        <v>95</v>
      </c>
      <c r="K135">
        <v>280</v>
      </c>
      <c r="L135">
        <f>K135-J135</f>
        <v>185</v>
      </c>
      <c r="M135">
        <f>H135-J135</f>
        <v>79</v>
      </c>
      <c r="N135" s="62">
        <f>0.8*M135/L135+0.1</f>
        <v>0.44162162162162166</v>
      </c>
      <c r="O135" s="61">
        <v>0.54790000000000005</v>
      </c>
      <c r="P135" s="63">
        <v>100</v>
      </c>
      <c r="Q135" s="64">
        <f>0.1+0.8*(P135-J135)/(K135-J135)</f>
        <v>0.12162162162162163</v>
      </c>
      <c r="R135" s="64">
        <f>$Q$2*Q135+$R$2</f>
        <v>0.75445323286600541</v>
      </c>
      <c r="S135" s="63">
        <f>365*P135*R135</f>
        <v>27537.542999609199</v>
      </c>
      <c r="T135" s="65">
        <f>S135*(1-$T$1)</f>
        <v>19276.280099726438</v>
      </c>
      <c r="U135" s="60">
        <f>J135</f>
        <v>95</v>
      </c>
      <c r="V135" s="63">
        <f>1.25*L135</f>
        <v>231.25</v>
      </c>
      <c r="W135" s="63">
        <f>J135-L135/8</f>
        <v>71.875</v>
      </c>
      <c r="X135">
        <f>1.25*L135/(2*$Q$2)</f>
        <v>-146.0376757130866</v>
      </c>
      <c r="Y135" s="63">
        <f>(($Q$2*W135)/V135-$R$2)*X135</f>
        <v>160.17859656197552</v>
      </c>
      <c r="Z135" s="63">
        <f>IF(Y135&gt;U135,Y135,U135)</f>
        <v>160.17859656197552</v>
      </c>
      <c r="AA135" s="64">
        <f>(Z135-W135)/V135</f>
        <v>0.38185339053827255</v>
      </c>
      <c r="AB135" s="64">
        <f>$Q$2*AA135+$R$2</f>
        <v>0.54841531741668814</v>
      </c>
      <c r="AC135" s="63">
        <f>Z135*AB135*365</f>
        <v>32063.204495066831</v>
      </c>
      <c r="AD135" s="65">
        <f>AC135*(1-$T$1)</f>
        <v>22444.243146546782</v>
      </c>
      <c r="AE135" s="63">
        <f>G135</f>
        <v>11676</v>
      </c>
      <c r="AF135" s="63">
        <f>AD135-AE135</f>
        <v>10768.243146546782</v>
      </c>
      <c r="AH135" s="66">
        <f>AB135*(365/$AG$23)*$AG$21</f>
        <v>6672.3863619030399</v>
      </c>
      <c r="AI135" s="66">
        <f>-$AG$7-$AG$13-AH135</f>
        <v>-40272.386361903038</v>
      </c>
      <c r="AJ135" s="66">
        <f>-$AG$13-AH135-$AG$18</f>
        <v>-16272.38636190304</v>
      </c>
      <c r="AK135" s="67">
        <f>-($AG$7/$AG$9)-$AG$13-AH135</f>
        <v>-16272.38636190304</v>
      </c>
      <c r="AL135" s="67">
        <f>-($AG$7/$AG$9)-$AG$13-AH135-$AG$18</f>
        <v>-22272.386361903038</v>
      </c>
      <c r="AM135" s="68">
        <f>AF135+AI135</f>
        <v>-29504.143215356256</v>
      </c>
      <c r="AN135" s="68">
        <f>AF135+AJ135</f>
        <v>-5504.1432153562582</v>
      </c>
      <c r="AO135" s="68">
        <f>AF135+AK135</f>
        <v>-5504.1432153562582</v>
      </c>
      <c r="AP135" s="68">
        <f>AF135+AL135</f>
        <v>-11504.143215356256</v>
      </c>
    </row>
    <row r="136" spans="1:42">
      <c r="A136" t="s">
        <v>266</v>
      </c>
      <c r="B136" t="s">
        <v>265</v>
      </c>
      <c r="C136" t="s">
        <v>98</v>
      </c>
      <c r="D136">
        <v>2</v>
      </c>
      <c r="E136">
        <v>1200</v>
      </c>
      <c r="F136">
        <f>F$2</f>
        <v>0.97299999999999998</v>
      </c>
      <c r="G136" s="60">
        <f>E136*12*F136</f>
        <v>14011.199999999999</v>
      </c>
      <c r="H136">
        <v>203</v>
      </c>
      <c r="I136" s="61">
        <v>0.2712</v>
      </c>
      <c r="J136">
        <v>125</v>
      </c>
      <c r="K136">
        <v>277</v>
      </c>
      <c r="L136">
        <f>K136-J136</f>
        <v>152</v>
      </c>
      <c r="M136">
        <f>H136-J136</f>
        <v>78</v>
      </c>
      <c r="N136" s="62">
        <f>0.8*M136/L136+0.1</f>
        <v>0.51052631578947372</v>
      </c>
      <c r="O136" s="61">
        <v>0.2712</v>
      </c>
      <c r="P136" s="63">
        <v>100</v>
      </c>
      <c r="Q136" s="64">
        <f>0.1+0.8*(P136-J136)/(K136-J136)</f>
        <v>-3.157894736842104E-2</v>
      </c>
      <c r="R136" s="64">
        <f>$Q$2*Q136+$R$2</f>
        <v>0.87574943744457734</v>
      </c>
      <c r="S136" s="63">
        <f>365*P136*R136</f>
        <v>31964.854466727073</v>
      </c>
      <c r="T136" s="65">
        <f>S136*(1-$T$1)</f>
        <v>22375.398126708951</v>
      </c>
      <c r="U136" s="60">
        <f>J136</f>
        <v>125</v>
      </c>
      <c r="V136" s="63">
        <f>1.25*L136</f>
        <v>190</v>
      </c>
      <c r="W136" s="63">
        <f>J136-L136/8</f>
        <v>106</v>
      </c>
      <c r="X136">
        <f>1.25*L136/(2*$Q$2)</f>
        <v>-119.98771193723873</v>
      </c>
      <c r="Y136" s="63">
        <f>(($Q$2*W136)/V136-$R$2)*X136</f>
        <v>155.07917122929879</v>
      </c>
      <c r="Z136" s="63">
        <f>IF(Y136&gt;U136,Y136,U136)</f>
        <v>155.07917122929879</v>
      </c>
      <c r="AA136" s="64">
        <f>(Z136-W136)/V136</f>
        <v>0.2583114275226252</v>
      </c>
      <c r="AB136" s="64">
        <f>$Q$2*AA136+$R$2</f>
        <v>0.64622938768269533</v>
      </c>
      <c r="AC136" s="63">
        <f>Z136*AB136*365</f>
        <v>36579.102021035113</v>
      </c>
      <c r="AD136" s="65">
        <f>AC136*(1-$T$1)</f>
        <v>25605.371414724577</v>
      </c>
      <c r="AE136" s="63">
        <f>G136</f>
        <v>14011.199999999999</v>
      </c>
      <c r="AF136" s="63">
        <f>AD136-AE136</f>
        <v>11594.171414724578</v>
      </c>
      <c r="AH136" s="66">
        <f>AB136*(365/$AG$23)*$AG$21</f>
        <v>7862.4575501394602</v>
      </c>
      <c r="AI136" s="66">
        <f>-$AG$7-$AG$13-AH136</f>
        <v>-41462.457550139457</v>
      </c>
      <c r="AJ136" s="66">
        <f>-$AG$13-AH136-$AG$18</f>
        <v>-17462.457550139461</v>
      </c>
      <c r="AK136" s="67">
        <f>-($AG$7/$AG$9)-$AG$13-AH136</f>
        <v>-17462.457550139461</v>
      </c>
      <c r="AL136" s="67">
        <f>-($AG$7/$AG$9)-$AG$13-AH136-$AG$18</f>
        <v>-23462.457550139461</v>
      </c>
      <c r="AM136" s="68">
        <f>AF136+AI136</f>
        <v>-29868.286135414877</v>
      </c>
      <c r="AN136" s="68">
        <f>AF136+AJ136</f>
        <v>-5868.2861354148827</v>
      </c>
      <c r="AO136" s="68">
        <f>AF136+AK136</f>
        <v>-5868.2861354148827</v>
      </c>
      <c r="AP136" s="68">
        <f>AF136+AL136</f>
        <v>-11868.286135414883</v>
      </c>
    </row>
    <row r="137" spans="1:42">
      <c r="A137" t="s">
        <v>267</v>
      </c>
      <c r="B137" t="s">
        <v>265</v>
      </c>
      <c r="C137" t="s">
        <v>107</v>
      </c>
      <c r="D137">
        <v>1</v>
      </c>
      <c r="E137">
        <v>1400</v>
      </c>
      <c r="F137">
        <f>F$2</f>
        <v>0.97299999999999998</v>
      </c>
      <c r="G137" s="60">
        <f>E137*12*F137</f>
        <v>16346.4</v>
      </c>
      <c r="H137">
        <v>240</v>
      </c>
      <c r="I137" s="61">
        <v>0.76160000000000005</v>
      </c>
      <c r="J137">
        <v>209</v>
      </c>
      <c r="K137">
        <v>384</v>
      </c>
      <c r="L137">
        <f>K137-J137</f>
        <v>175</v>
      </c>
      <c r="M137">
        <f>H137-J137</f>
        <v>31</v>
      </c>
      <c r="N137" s="62">
        <f>0.8*M137/L137+0.1</f>
        <v>0.24171428571428571</v>
      </c>
      <c r="O137" s="61">
        <v>0.76160000000000005</v>
      </c>
      <c r="P137" s="63">
        <v>100</v>
      </c>
      <c r="Q137" s="64">
        <f>0.1+0.8*(P137-J137)/(K137-J137)</f>
        <v>-0.39828571428571424</v>
      </c>
      <c r="R137" s="64">
        <f>$Q$2*Q137+$R$2</f>
        <v>1.166088692145633</v>
      </c>
      <c r="S137" s="63">
        <f>365*P137*R137</f>
        <v>42562.237263315605</v>
      </c>
      <c r="T137" s="65">
        <f>S137*(1-$T$1)</f>
        <v>29793.566084320923</v>
      </c>
      <c r="U137" s="60">
        <f>J137</f>
        <v>209</v>
      </c>
      <c r="V137" s="63">
        <f>1.25*L137</f>
        <v>218.75</v>
      </c>
      <c r="W137" s="63">
        <f>J137-L137/8</f>
        <v>187.125</v>
      </c>
      <c r="X137">
        <f>1.25*L137/(2*$Q$2)</f>
        <v>-138.14374729616301</v>
      </c>
      <c r="Y137" s="63">
        <f>(($Q$2*W137)/V137-$R$2)*X137</f>
        <v>211.08786161267955</v>
      </c>
      <c r="Z137" s="63">
        <f>IF(Y137&gt;U137,Y137,U137)</f>
        <v>211.08786161267955</v>
      </c>
      <c r="AA137" s="64">
        <f>(Z137-W137)/V137</f>
        <v>0.10954451022939221</v>
      </c>
      <c r="AB137" s="64">
        <f>$Q$2*AA137+$R$2</f>
        <v>0.76401525854128394</v>
      </c>
      <c r="AC137" s="63">
        <f>Z137*AB137*365</f>
        <v>58865.13671520241</v>
      </c>
      <c r="AD137" s="65">
        <f>AC137*(1-$T$1)</f>
        <v>41205.595700641687</v>
      </c>
      <c r="AE137" s="63">
        <f>G137</f>
        <v>16346.4</v>
      </c>
      <c r="AF137" s="63">
        <f>AD137-AE137</f>
        <v>24859.195700641685</v>
      </c>
      <c r="AH137" s="66">
        <f>AB137*(365/$AG$23)*$AG$21</f>
        <v>9295.5189789189553</v>
      </c>
      <c r="AI137" s="66">
        <f>-$AG$7-$AG$13-AH137</f>
        <v>-42895.518978918954</v>
      </c>
      <c r="AJ137" s="66">
        <f>-$AG$13-AH137-$AG$18</f>
        <v>-18895.518978918954</v>
      </c>
      <c r="AK137" s="67">
        <f>-($AG$7/$AG$9)-$AG$13-AH137</f>
        <v>-18895.518978918954</v>
      </c>
      <c r="AL137" s="67">
        <f>-($AG$7/$AG$9)-$AG$13-AH137-$AG$18</f>
        <v>-24895.518978918954</v>
      </c>
      <c r="AM137" s="68">
        <f>AF137+AI137</f>
        <v>-18036.323278277268</v>
      </c>
      <c r="AN137" s="68">
        <f>AF137+AJ137</f>
        <v>5963.6767217227316</v>
      </c>
      <c r="AO137" s="68">
        <f>AF137+AK137</f>
        <v>5963.6767217227316</v>
      </c>
      <c r="AP137" s="68">
        <f>AF137+AL137</f>
        <v>-36.3232782772684</v>
      </c>
    </row>
    <row r="138" spans="1:42">
      <c r="A138" t="s">
        <v>268</v>
      </c>
      <c r="B138" t="s">
        <v>255</v>
      </c>
      <c r="C138" t="s">
        <v>107</v>
      </c>
      <c r="D138">
        <v>1</v>
      </c>
      <c r="E138">
        <v>2700</v>
      </c>
      <c r="F138">
        <f>F$2</f>
        <v>0.97299999999999998</v>
      </c>
      <c r="G138" s="60">
        <f>E138*12*F138</f>
        <v>31525.200000000001</v>
      </c>
      <c r="H138">
        <v>389</v>
      </c>
      <c r="I138" s="61">
        <v>0.51229999999999998</v>
      </c>
      <c r="J138">
        <v>202</v>
      </c>
      <c r="K138">
        <v>629</v>
      </c>
      <c r="L138">
        <f>K138-J138</f>
        <v>427</v>
      </c>
      <c r="M138">
        <f>H138-J138</f>
        <v>187</v>
      </c>
      <c r="N138" s="62">
        <f>0.8*M138/L138+0.1</f>
        <v>0.45035128805620606</v>
      </c>
      <c r="O138" s="61">
        <v>0.51229999999999998</v>
      </c>
      <c r="P138" s="63">
        <v>100</v>
      </c>
      <c r="Q138" s="64">
        <f>0.1+0.8*(P138-J138)/(K138-J138)</f>
        <v>-9.1100702576112413E-2</v>
      </c>
      <c r="R138" s="64">
        <f>$Q$2*Q138+$R$2</f>
        <v>0.92287565273309269</v>
      </c>
      <c r="S138" s="63">
        <f>365*P138*R138</f>
        <v>33684.961324757882</v>
      </c>
      <c r="T138" s="65">
        <f>S138*(1-$T$1)</f>
        <v>23579.472927330517</v>
      </c>
      <c r="U138" s="60">
        <f>J138</f>
        <v>202</v>
      </c>
      <c r="V138" s="63">
        <f>1.25*L138</f>
        <v>533.75</v>
      </c>
      <c r="W138" s="63">
        <f>J138-L138/8</f>
        <v>148.625</v>
      </c>
      <c r="X138">
        <f>1.25*L138/(2*$Q$2)</f>
        <v>-337.07074340263773</v>
      </c>
      <c r="Y138" s="63">
        <f>(($Q$2*W138)/V138-$R$2)*X138</f>
        <v>361.07438233493809</v>
      </c>
      <c r="Z138" s="63">
        <f>IF(Y138&gt;U138,Y138,U138)</f>
        <v>361.07438233493809</v>
      </c>
      <c r="AA138" s="64">
        <f>(Z138-W138)/V138</f>
        <v>0.3980316296673313</v>
      </c>
      <c r="AB138" s="64">
        <f>$Q$2*AA138+$R$2</f>
        <v>0.53560623311591826</v>
      </c>
      <c r="AC138" s="63">
        <f>Z138*AB138*365</f>
        <v>70588.696775931661</v>
      </c>
      <c r="AD138" s="65">
        <f>AC138*(1-$T$1)</f>
        <v>49412.087743152159</v>
      </c>
      <c r="AE138" s="63">
        <f>G138</f>
        <v>31525.200000000001</v>
      </c>
      <c r="AF138" s="63">
        <f>AD138-AE138</f>
        <v>17886.887743152158</v>
      </c>
      <c r="AH138" s="66">
        <f>AB138*(365/$AG$23)*$AG$21</f>
        <v>6516.542502910339</v>
      </c>
      <c r="AI138" s="66">
        <f>-$AG$7-$AG$13-AH138</f>
        <v>-40116.542502910335</v>
      </c>
      <c r="AJ138" s="66">
        <f>-$AG$13-AH138-$AG$18</f>
        <v>-16116.542502910339</v>
      </c>
      <c r="AK138" s="67">
        <f>-($AG$7/$AG$9)-$AG$13-AH138</f>
        <v>-16116.542502910339</v>
      </c>
      <c r="AL138" s="67">
        <f>-($AG$7/$AG$9)-$AG$13-AH138-$AG$18</f>
        <v>-22116.542502910339</v>
      </c>
      <c r="AM138" s="68">
        <f>AF138+AI138</f>
        <v>-22229.654759758178</v>
      </c>
      <c r="AN138" s="68">
        <f>AF138+AJ138</f>
        <v>1770.3452402418188</v>
      </c>
      <c r="AO138" s="68">
        <f>AF138+AK138</f>
        <v>1770.3452402418188</v>
      </c>
      <c r="AP138" s="68">
        <f>AF138+AL138</f>
        <v>-4229.6547597581812</v>
      </c>
    </row>
    <row r="139" spans="1:42">
      <c r="A139" t="s">
        <v>269</v>
      </c>
      <c r="B139" t="s">
        <v>265</v>
      </c>
      <c r="C139" t="s">
        <v>107</v>
      </c>
      <c r="D139">
        <v>2</v>
      </c>
      <c r="E139">
        <v>1600</v>
      </c>
      <c r="F139">
        <f>F$2</f>
        <v>0.97299999999999998</v>
      </c>
      <c r="G139" s="60">
        <f>E139*12*F139</f>
        <v>18681.599999999999</v>
      </c>
      <c r="H139">
        <v>312</v>
      </c>
      <c r="I139" s="61">
        <v>0.60819999999999996</v>
      </c>
      <c r="J139">
        <v>220</v>
      </c>
      <c r="K139">
        <v>418</v>
      </c>
      <c r="L139">
        <f>K139-J139</f>
        <v>198</v>
      </c>
      <c r="M139">
        <f>H139-J139</f>
        <v>92</v>
      </c>
      <c r="N139" s="62">
        <f>0.8*M139/L139+0.1</f>
        <v>0.47171717171717176</v>
      </c>
      <c r="O139" s="61">
        <v>0.60819999999999996</v>
      </c>
      <c r="P139" s="63">
        <v>100</v>
      </c>
      <c r="Q139" s="64">
        <f>0.1+0.8*(P139-J139)/(K139-J139)</f>
        <v>-0.38484848484848488</v>
      </c>
      <c r="R139" s="64">
        <f>$Q$2*Q139+$R$2</f>
        <v>1.1554497960793049</v>
      </c>
      <c r="S139" s="63">
        <f>365*P139*R139</f>
        <v>42173.91755689463</v>
      </c>
      <c r="T139" s="65">
        <f>S139*(1-$T$1)</f>
        <v>29521.742289826238</v>
      </c>
      <c r="U139" s="60">
        <f>J139</f>
        <v>220</v>
      </c>
      <c r="V139" s="63">
        <f>1.25*L139</f>
        <v>247.5</v>
      </c>
      <c r="W139" s="63">
        <f>J139-L139/8</f>
        <v>195.25</v>
      </c>
      <c r="X139">
        <f>1.25*L139/(2*$Q$2)</f>
        <v>-156.29978265508728</v>
      </c>
      <c r="Y139" s="63">
        <f>(($Q$2*W139)/V139-$R$2)*X139</f>
        <v>230.59655199606027</v>
      </c>
      <c r="Z139" s="63">
        <f>IF(Y139&gt;U139,Y139,U139)</f>
        <v>230.59655199606027</v>
      </c>
      <c r="AA139" s="64">
        <f>(Z139-W139)/V139</f>
        <v>0.14281435149923341</v>
      </c>
      <c r="AB139" s="64">
        <f>$Q$2*AA139+$R$2</f>
        <v>0.73767393683754046</v>
      </c>
      <c r="AC139" s="63">
        <f>Z139*AB139*365</f>
        <v>62088.34921121518</v>
      </c>
      <c r="AD139" s="65">
        <f>AC139*(1-$T$1)</f>
        <v>43461.844447850621</v>
      </c>
      <c r="AE139" s="63">
        <f>G139</f>
        <v>18681.599999999999</v>
      </c>
      <c r="AF139" s="63">
        <f>AD139-AE139</f>
        <v>24780.244447850622</v>
      </c>
      <c r="AH139" s="66">
        <f>AB139*(365/$AG$23)*$AG$21</f>
        <v>8975.0328981900766</v>
      </c>
      <c r="AI139" s="66">
        <f>-$AG$7-$AG$13-AH139</f>
        <v>-42575.032898190075</v>
      </c>
      <c r="AJ139" s="66">
        <f>-$AG$13-AH139-$AG$18</f>
        <v>-18575.032898190075</v>
      </c>
      <c r="AK139" s="67">
        <f>-($AG$7/$AG$9)-$AG$13-AH139</f>
        <v>-18575.032898190075</v>
      </c>
      <c r="AL139" s="67">
        <f>-($AG$7/$AG$9)-$AG$13-AH139-$AG$18</f>
        <v>-24575.032898190075</v>
      </c>
      <c r="AM139" s="68">
        <f>AF139+AI139</f>
        <v>-17794.788450339453</v>
      </c>
      <c r="AN139" s="68">
        <f>AF139+AJ139</f>
        <v>6205.2115496605475</v>
      </c>
      <c r="AO139" s="68">
        <f>AF139+AK139</f>
        <v>6205.2115496605475</v>
      </c>
      <c r="AP139" s="68">
        <f>AF139+AL139</f>
        <v>205.21154966054746</v>
      </c>
    </row>
    <row r="140" spans="1:42">
      <c r="A140" t="s">
        <v>270</v>
      </c>
      <c r="B140" t="s">
        <v>271</v>
      </c>
      <c r="C140" t="s">
        <v>98</v>
      </c>
      <c r="D140">
        <v>1</v>
      </c>
      <c r="E140">
        <v>1105</v>
      </c>
      <c r="F140">
        <f>F$2</f>
        <v>0.97299999999999998</v>
      </c>
      <c r="G140" s="60">
        <f>E140*12*F140</f>
        <v>12901.98</v>
      </c>
      <c r="H140">
        <v>111</v>
      </c>
      <c r="I140" s="61">
        <v>0.61099999999999999</v>
      </c>
      <c r="J140">
        <v>82</v>
      </c>
      <c r="K140">
        <v>235</v>
      </c>
      <c r="L140">
        <f>K140-J140</f>
        <v>153</v>
      </c>
      <c r="M140">
        <f>H140-J140</f>
        <v>29</v>
      </c>
      <c r="N140" s="62">
        <f>0.8*M140/L140+0.1</f>
        <v>0.25163398692810457</v>
      </c>
      <c r="O140" s="61">
        <v>0.61099999999999999</v>
      </c>
      <c r="P140" s="63">
        <v>100</v>
      </c>
      <c r="Q140" s="64">
        <f>0.1+0.8*(P140-J140)/(K140-J140)</f>
        <v>0.19411764705882353</v>
      </c>
      <c r="R140" s="64">
        <f>$Q$2*Q140+$R$2</f>
        <v>0.69705466841853447</v>
      </c>
      <c r="S140" s="63">
        <f>365*P140*R140</f>
        <v>25442.495397276507</v>
      </c>
      <c r="T140" s="65">
        <f>S140*(1-$T$1)</f>
        <v>17809.746778093555</v>
      </c>
      <c r="U140" s="60">
        <f>J140</f>
        <v>82</v>
      </c>
      <c r="V140" s="63">
        <f>1.25*L140</f>
        <v>191.25</v>
      </c>
      <c r="W140" s="63">
        <f>J140-L140/8</f>
        <v>62.875</v>
      </c>
      <c r="X140">
        <f>1.25*L140/(2*$Q$2)</f>
        <v>-120.77710477893109</v>
      </c>
      <c r="Y140" s="63">
        <f>(($Q$2*W140)/V140-$R$2)*X140</f>
        <v>134.18824472422841</v>
      </c>
      <c r="Z140" s="63">
        <f>IF(Y140&gt;U140,Y140,U140)</f>
        <v>134.18824472422841</v>
      </c>
      <c r="AA140" s="64">
        <f>(Z140-W140)/V140</f>
        <v>0.37287971097635769</v>
      </c>
      <c r="AB140" s="64">
        <f>$Q$2*AA140+$R$2</f>
        <v>0.5555202079477104</v>
      </c>
      <c r="AC140" s="63">
        <f>Z140*AB140*365</f>
        <v>27208.662788869693</v>
      </c>
      <c r="AD140" s="65">
        <f>AC140*(1-$T$1)</f>
        <v>19046.063952208784</v>
      </c>
      <c r="AE140" s="63">
        <f>G140</f>
        <v>12901.98</v>
      </c>
      <c r="AF140" s="63">
        <f>AD140-AE140</f>
        <v>6144.0839522087845</v>
      </c>
      <c r="AH140" s="66">
        <f>AB140*(365/$AG$23)*$AG$21</f>
        <v>6758.8291966971437</v>
      </c>
      <c r="AI140" s="66">
        <f>-$AG$7-$AG$13-AH140</f>
        <v>-40358.829196697145</v>
      </c>
      <c r="AJ140" s="66">
        <f>-$AG$13-AH140-$AG$18</f>
        <v>-16358.829196697145</v>
      </c>
      <c r="AK140" s="67">
        <f>-($AG$7/$AG$9)-$AG$13-AH140</f>
        <v>-16358.829196697145</v>
      </c>
      <c r="AL140" s="67">
        <f>-($AG$7/$AG$9)-$AG$13-AH140-$AG$18</f>
        <v>-22358.829196697145</v>
      </c>
      <c r="AM140" s="68">
        <f>AF140+AI140</f>
        <v>-34214.74524448836</v>
      </c>
      <c r="AN140" s="68">
        <f>AF140+AJ140</f>
        <v>-10214.74524448836</v>
      </c>
      <c r="AO140" s="68">
        <f>AF140+AK140</f>
        <v>-10214.74524448836</v>
      </c>
      <c r="AP140" s="68">
        <f>AF140+AL140</f>
        <v>-16214.74524448836</v>
      </c>
    </row>
    <row r="141" spans="1:42">
      <c r="A141" t="s">
        <v>272</v>
      </c>
      <c r="B141" t="s">
        <v>271</v>
      </c>
      <c r="C141" t="s">
        <v>98</v>
      </c>
      <c r="D141">
        <v>2</v>
      </c>
      <c r="E141">
        <v>1665</v>
      </c>
      <c r="F141">
        <f>F$2</f>
        <v>0.97299999999999998</v>
      </c>
      <c r="G141" s="60">
        <f>E141*12*F141</f>
        <v>19440.54</v>
      </c>
      <c r="H141">
        <v>169</v>
      </c>
      <c r="I141" s="61">
        <v>0.30680000000000002</v>
      </c>
      <c r="J141">
        <v>130</v>
      </c>
      <c r="K141">
        <v>200</v>
      </c>
      <c r="L141">
        <f>K141-J141</f>
        <v>70</v>
      </c>
      <c r="M141">
        <f>H141-J141</f>
        <v>39</v>
      </c>
      <c r="N141" s="62">
        <f>0.8*M141/L141+0.1</f>
        <v>0.54571428571428571</v>
      </c>
      <c r="O141" s="61">
        <v>0.30680000000000002</v>
      </c>
      <c r="P141" s="63">
        <v>100</v>
      </c>
      <c r="Q141" s="64">
        <f>0.1+0.8*(P141-J141)/(K141-J141)</f>
        <v>-0.24285714285714285</v>
      </c>
      <c r="R141" s="64">
        <f>$Q$2*Q141+$R$2</f>
        <v>1.0430284716670752</v>
      </c>
      <c r="S141" s="63">
        <f>365*P141*R141</f>
        <v>38070.539215848243</v>
      </c>
      <c r="T141" s="65">
        <f>S141*(1-$T$1)</f>
        <v>26649.377451093769</v>
      </c>
      <c r="U141" s="60">
        <f>J141</f>
        <v>130</v>
      </c>
      <c r="V141" s="63">
        <f>1.25*L141</f>
        <v>87.5</v>
      </c>
      <c r="W141" s="63">
        <f>J141-L141/8</f>
        <v>121.25</v>
      </c>
      <c r="X141">
        <f>1.25*L141/(2*$Q$2)</f>
        <v>-55.257498918465203</v>
      </c>
      <c r="Y141" s="63">
        <f>(($Q$2*W141)/V141-$R$2)*X141</f>
        <v>107.63514464507182</v>
      </c>
      <c r="Z141" s="63">
        <f>IF(Y141&gt;U141,Y141,U141)</f>
        <v>130</v>
      </c>
      <c r="AA141" s="64">
        <f>(Z141-W141)/V141</f>
        <v>0.1</v>
      </c>
      <c r="AB141" s="64">
        <f>$Q$2*AA141+$R$2</f>
        <v>0.77157210296437406</v>
      </c>
      <c r="AC141" s="63">
        <f>Z141*AB141*365</f>
        <v>36611.096285659551</v>
      </c>
      <c r="AD141" s="65">
        <f>AC141*(1-$T$1)</f>
        <v>25627.767399961685</v>
      </c>
      <c r="AE141" s="63">
        <f>G141</f>
        <v>19440.54</v>
      </c>
      <c r="AF141" s="63">
        <f>AD141-AE141</f>
        <v>6187.2273999616846</v>
      </c>
      <c r="AH141" s="66">
        <f>AB141*(365/$AG$23)*$AG$21</f>
        <v>9387.4605860665506</v>
      </c>
      <c r="AI141" s="66">
        <f>-$AG$7-$AG$13-AH141</f>
        <v>-42987.460586066547</v>
      </c>
      <c r="AJ141" s="66">
        <f>-$AG$13-AH141-$AG$18</f>
        <v>-18987.460586066551</v>
      </c>
      <c r="AK141" s="67">
        <f>-($AG$7/$AG$9)-$AG$13-AH141</f>
        <v>-18987.460586066551</v>
      </c>
      <c r="AL141" s="67">
        <f>-($AG$7/$AG$9)-$AG$13-AH141-$AG$18</f>
        <v>-24987.460586066551</v>
      </c>
      <c r="AM141" s="68">
        <f>AF141+AI141</f>
        <v>-36800.233186104859</v>
      </c>
      <c r="AN141" s="68">
        <f>AF141+AJ141</f>
        <v>-12800.233186104866</v>
      </c>
      <c r="AO141" s="68">
        <f>AF141+AK141</f>
        <v>-12800.233186104866</v>
      </c>
      <c r="AP141" s="68">
        <f>AF141+AL141</f>
        <v>-18800.233186104866</v>
      </c>
    </row>
    <row r="142" spans="1:42">
      <c r="A142" t="s">
        <v>273</v>
      </c>
      <c r="B142" t="s">
        <v>271</v>
      </c>
      <c r="C142" t="s">
        <v>107</v>
      </c>
      <c r="D142">
        <v>1</v>
      </c>
      <c r="E142">
        <v>1175</v>
      </c>
      <c r="F142">
        <f>F$2</f>
        <v>0.97299999999999998</v>
      </c>
      <c r="G142" s="60">
        <f>E142*12*F142</f>
        <v>13719.3</v>
      </c>
      <c r="H142">
        <v>201</v>
      </c>
      <c r="I142" s="61">
        <v>0.52329999999999999</v>
      </c>
      <c r="J142">
        <v>106</v>
      </c>
      <c r="K142">
        <v>267</v>
      </c>
      <c r="L142">
        <f>K142-J142</f>
        <v>161</v>
      </c>
      <c r="M142">
        <f>H142-J142</f>
        <v>95</v>
      </c>
      <c r="N142" s="62">
        <f>0.8*M142/L142+0.1</f>
        <v>0.57204968944099377</v>
      </c>
      <c r="O142" s="61">
        <v>0.52329999999999999</v>
      </c>
      <c r="P142" s="63">
        <v>100</v>
      </c>
      <c r="Q142" s="64">
        <f>0.1+0.8*(P142-J142)/(K142-J142)</f>
        <v>7.0186335403726707E-2</v>
      </c>
      <c r="R142" s="64">
        <f>$Q$2*Q142+$R$2</f>
        <v>0.79517700459069585</v>
      </c>
      <c r="S142" s="63">
        <f>365*P142*R142</f>
        <v>29023.960667560397</v>
      </c>
      <c r="T142" s="65">
        <f>S142*(1-$T$1)</f>
        <v>20316.772467292278</v>
      </c>
      <c r="U142" s="60">
        <f>J142</f>
        <v>106</v>
      </c>
      <c r="V142" s="63">
        <f>1.25*L142</f>
        <v>201.25</v>
      </c>
      <c r="W142" s="63">
        <f>J142-L142/8</f>
        <v>85.875</v>
      </c>
      <c r="X142">
        <f>1.25*L142/(2*$Q$2)</f>
        <v>-127.09224751246997</v>
      </c>
      <c r="Y142" s="63">
        <f>(($Q$2*W142)/V142-$R$2)*X142</f>
        <v>151.06083268366518</v>
      </c>
      <c r="Z142" s="63">
        <f>IF(Y142&gt;U142,Y142,U142)</f>
        <v>151.06083268366518</v>
      </c>
      <c r="AA142" s="64">
        <f>(Z142-W142)/V142</f>
        <v>0.32390475867659718</v>
      </c>
      <c r="AB142" s="64">
        <f>$Q$2*AA142+$R$2</f>
        <v>0.59429601584802993</v>
      </c>
      <c r="AC142" s="63">
        <f>Z142*AB142*365</f>
        <v>32767.820620324648</v>
      </c>
      <c r="AD142" s="65">
        <f>AC142*(1-$T$1)</f>
        <v>22937.474434227253</v>
      </c>
      <c r="AE142" s="63">
        <f>G142</f>
        <v>13719.3</v>
      </c>
      <c r="AF142" s="63">
        <f>AD142-AE142</f>
        <v>9218.1744342272541</v>
      </c>
      <c r="AH142" s="66">
        <f>AB142*(365/$AG$23)*$AG$21</f>
        <v>7230.6015261510311</v>
      </c>
      <c r="AI142" s="66">
        <f>-$AG$7-$AG$13-AH142</f>
        <v>-40830.601526151033</v>
      </c>
      <c r="AJ142" s="66">
        <f>-$AG$13-AH142-$AG$18</f>
        <v>-16830.601526151033</v>
      </c>
      <c r="AK142" s="67">
        <f>-($AG$7/$AG$9)-$AG$13-AH142</f>
        <v>-16830.601526151033</v>
      </c>
      <c r="AL142" s="67">
        <f>-($AG$7/$AG$9)-$AG$13-AH142-$AG$18</f>
        <v>-22830.601526151033</v>
      </c>
      <c r="AM142" s="68">
        <f>AF142+AI142</f>
        <v>-31612.427091923779</v>
      </c>
      <c r="AN142" s="68">
        <f>AF142+AJ142</f>
        <v>-7612.4270919237788</v>
      </c>
      <c r="AO142" s="68">
        <f>AF142+AK142</f>
        <v>-7612.4270919237788</v>
      </c>
      <c r="AP142" s="68">
        <f>AF142+AL142</f>
        <v>-13612.427091923779</v>
      </c>
    </row>
    <row r="143" spans="1:42">
      <c r="A143" t="s">
        <v>274</v>
      </c>
      <c r="B143" t="s">
        <v>271</v>
      </c>
      <c r="C143" t="s">
        <v>107</v>
      </c>
      <c r="D143">
        <v>2</v>
      </c>
      <c r="E143">
        <v>1725</v>
      </c>
      <c r="F143">
        <f>F$2</f>
        <v>0.97299999999999998</v>
      </c>
      <c r="G143" s="60">
        <f>E143*12*F143</f>
        <v>20141.099999999999</v>
      </c>
      <c r="H143">
        <v>242</v>
      </c>
      <c r="I143" s="61">
        <v>0.48220000000000002</v>
      </c>
      <c r="J143">
        <v>195</v>
      </c>
      <c r="K143">
        <v>305</v>
      </c>
      <c r="L143">
        <f>K143-J143</f>
        <v>110</v>
      </c>
      <c r="M143">
        <f>H143-J143</f>
        <v>47</v>
      </c>
      <c r="N143" s="62">
        <f>0.8*M143/L143+0.1</f>
        <v>0.44181818181818189</v>
      </c>
      <c r="O143" s="61">
        <v>0.48220000000000002</v>
      </c>
      <c r="P143" s="63">
        <v>100</v>
      </c>
      <c r="Q143" s="64">
        <f>0.1+0.8*(P143-J143)/(K143-J143)</f>
        <v>-0.59090909090909094</v>
      </c>
      <c r="R143" s="64">
        <f>$Q$2*Q143+$R$2</f>
        <v>1.3185978156531506</v>
      </c>
      <c r="S143" s="63">
        <f>365*P143*R143</f>
        <v>48128.820271339995</v>
      </c>
      <c r="T143" s="65">
        <f>S143*(1-$T$1)</f>
        <v>33690.174189937992</v>
      </c>
      <c r="U143" s="60">
        <f>J143</f>
        <v>195</v>
      </c>
      <c r="V143" s="63">
        <f>1.25*L143</f>
        <v>137.5</v>
      </c>
      <c r="W143" s="63">
        <f>J143-L143/8</f>
        <v>181.25</v>
      </c>
      <c r="X143">
        <f>1.25*L143/(2*$Q$2)</f>
        <v>-86.833212586159604</v>
      </c>
      <c r="Y143" s="63">
        <f>(($Q$2*W143)/V143-$R$2)*X143</f>
        <v>164.4980844422557</v>
      </c>
      <c r="Z143" s="63">
        <f>IF(Y143&gt;U143,Y143,U143)</f>
        <v>195</v>
      </c>
      <c r="AA143" s="64">
        <f>(Z143-W143)/V143</f>
        <v>0.1</v>
      </c>
      <c r="AB143" s="64">
        <f>$Q$2*AA143+$R$2</f>
        <v>0.77157210296437406</v>
      </c>
      <c r="AC143" s="63">
        <f>Z143*AB143*365</f>
        <v>54916.644428489322</v>
      </c>
      <c r="AD143" s="65">
        <f>AC143*(1-$T$1)</f>
        <v>38441.651099942523</v>
      </c>
      <c r="AE143" s="63">
        <f>G143</f>
        <v>20141.099999999999</v>
      </c>
      <c r="AF143" s="63">
        <f>AD143-AE143</f>
        <v>18300.551099942524</v>
      </c>
      <c r="AH143" s="66">
        <f>AB143*(365/$AG$23)*$AG$21</f>
        <v>9387.4605860665506</v>
      </c>
      <c r="AI143" s="66">
        <f>-$AG$7-$AG$13-AH143</f>
        <v>-42987.460586066547</v>
      </c>
      <c r="AJ143" s="66">
        <f>-$AG$13-AH143-$AG$18</f>
        <v>-18987.460586066551</v>
      </c>
      <c r="AK143" s="67">
        <f>-($AG$7/$AG$9)-$AG$13-AH143</f>
        <v>-18987.460586066551</v>
      </c>
      <c r="AL143" s="67">
        <f>-($AG$7/$AG$9)-$AG$13-AH143-$AG$18</f>
        <v>-24987.460586066551</v>
      </c>
      <c r="AM143" s="68">
        <f>AF143+AI143</f>
        <v>-24686.909486124023</v>
      </c>
      <c r="AN143" s="68">
        <f>AF143+AJ143</f>
        <v>-686.90948612402644</v>
      </c>
      <c r="AO143" s="68">
        <f>AF143+AK143</f>
        <v>-686.90948612402644</v>
      </c>
      <c r="AP143" s="68">
        <f>AF143+AL143</f>
        <v>-6686.9094861240264</v>
      </c>
    </row>
    <row r="144" spans="1:42">
      <c r="A144" t="s">
        <v>275</v>
      </c>
      <c r="B144" t="s">
        <v>276</v>
      </c>
      <c r="C144" t="s">
        <v>98</v>
      </c>
      <c r="D144">
        <v>1</v>
      </c>
      <c r="E144">
        <v>709</v>
      </c>
      <c r="F144">
        <f>F$2</f>
        <v>0.97299999999999998</v>
      </c>
      <c r="G144" s="60">
        <f>E144*12*F144</f>
        <v>8278.2839999999997</v>
      </c>
      <c r="H144">
        <v>158</v>
      </c>
      <c r="I144" s="61">
        <v>0.22189999999999999</v>
      </c>
      <c r="J144">
        <v>86</v>
      </c>
      <c r="K144">
        <v>192</v>
      </c>
      <c r="L144">
        <f>K144-J144</f>
        <v>106</v>
      </c>
      <c r="M144">
        <f>H144-J144</f>
        <v>72</v>
      </c>
      <c r="N144" s="62">
        <f>0.8*M144/L144+0.1</f>
        <v>0.64339622641509431</v>
      </c>
      <c r="O144" s="61">
        <v>0.22189999999999999</v>
      </c>
      <c r="P144" s="63">
        <v>100</v>
      </c>
      <c r="Q144" s="64">
        <f>0.1+0.8*(P144-J144)/(K144-J144)</f>
        <v>0.20566037735849058</v>
      </c>
      <c r="R144" s="64">
        <f>$Q$2*Q144+$R$2</f>
        <v>0.68791573776668624</v>
      </c>
      <c r="S144" s="63">
        <f>365*P144*R144</f>
        <v>25108.924428484046</v>
      </c>
      <c r="T144" s="65">
        <f>S144*(1-$T$1)</f>
        <v>17576.247099938832</v>
      </c>
      <c r="U144" s="60">
        <f>J144</f>
        <v>86</v>
      </c>
      <c r="V144" s="63">
        <f>1.25*L144</f>
        <v>132.5</v>
      </c>
      <c r="W144" s="63">
        <f>J144-L144/8</f>
        <v>72.75</v>
      </c>
      <c r="X144">
        <f>1.25*L144/(2*$Q$2)</f>
        <v>-83.675641219390158</v>
      </c>
      <c r="Y144" s="63">
        <f>(($Q$2*W144)/V144-$R$2)*X144</f>
        <v>107.56179046253733</v>
      </c>
      <c r="Z144" s="63">
        <f>IF(Y144&gt;U144,Y144,U144)</f>
        <v>107.56179046253733</v>
      </c>
      <c r="AA144" s="64">
        <f>(Z144-W144)/V144</f>
        <v>0.26273049405688553</v>
      </c>
      <c r="AB144" s="64">
        <f>$Q$2*AA144+$R$2</f>
        <v>0.64273060173222796</v>
      </c>
      <c r="AC144" s="63">
        <f>Z144*AB144*365</f>
        <v>25233.637822194592</v>
      </c>
      <c r="AD144" s="65">
        <f>AC144*(1-$T$1)</f>
        <v>17663.546475536212</v>
      </c>
      <c r="AE144" s="63">
        <f>G144</f>
        <v>8278.2839999999997</v>
      </c>
      <c r="AF144" s="63">
        <f>AD144-AE144</f>
        <v>9385.2624755362122</v>
      </c>
      <c r="AH144" s="66">
        <f>AB144*(365/$AG$23)*$AG$21</f>
        <v>7819.888987742107</v>
      </c>
      <c r="AI144" s="66">
        <f>-$AG$7-$AG$13-AH144</f>
        <v>-41419.88898774211</v>
      </c>
      <c r="AJ144" s="66">
        <f>-$AG$13-AH144-$AG$18</f>
        <v>-17419.888987742106</v>
      </c>
      <c r="AK144" s="67">
        <f>-($AG$7/$AG$9)-$AG$13-AH144</f>
        <v>-17419.888987742106</v>
      </c>
      <c r="AL144" s="67">
        <f>-($AG$7/$AG$9)-$AG$13-AH144-$AG$18</f>
        <v>-23419.888987742106</v>
      </c>
      <c r="AM144" s="68">
        <f>AF144+AI144</f>
        <v>-32034.626512205898</v>
      </c>
      <c r="AN144" s="68">
        <f>AF144+AJ144</f>
        <v>-8034.626512205894</v>
      </c>
      <c r="AO144" s="68">
        <f>AF144+AK144</f>
        <v>-8034.626512205894</v>
      </c>
      <c r="AP144" s="68">
        <f>AF144+AL144</f>
        <v>-14034.626512205894</v>
      </c>
    </row>
    <row r="145" spans="1:42">
      <c r="A145" t="s">
        <v>277</v>
      </c>
      <c r="B145" t="s">
        <v>276</v>
      </c>
      <c r="C145" t="s">
        <v>98</v>
      </c>
      <c r="D145">
        <v>2</v>
      </c>
      <c r="E145">
        <v>869</v>
      </c>
      <c r="F145">
        <f>F$2</f>
        <v>0.97299999999999998</v>
      </c>
      <c r="G145" s="60">
        <f>E145*12*F145</f>
        <v>10146.444</v>
      </c>
      <c r="H145">
        <v>246</v>
      </c>
      <c r="I145" s="61">
        <v>0.38900000000000001</v>
      </c>
      <c r="J145">
        <v>135</v>
      </c>
      <c r="K145">
        <v>305</v>
      </c>
      <c r="L145">
        <f>K145-J145</f>
        <v>170</v>
      </c>
      <c r="M145">
        <f>H145-J145</f>
        <v>111</v>
      </c>
      <c r="N145" s="62">
        <f>0.8*M145/L145+0.1</f>
        <v>0.62235294117647066</v>
      </c>
      <c r="O145" s="61">
        <v>0.38900000000000001</v>
      </c>
      <c r="P145" s="63">
        <v>100</v>
      </c>
      <c r="Q145" s="64">
        <f>0.1+0.8*(P145-J145)/(K145-J145)</f>
        <v>-6.4705882352941169E-2</v>
      </c>
      <c r="R145" s="64">
        <f>$Q$2*Q145+$R$2</f>
        <v>0.90197761341959315</v>
      </c>
      <c r="S145" s="63">
        <f>365*P145*R145</f>
        <v>32922.182889815151</v>
      </c>
      <c r="T145" s="65">
        <f>S145*(1-$T$1)</f>
        <v>23045.528022870603</v>
      </c>
      <c r="U145" s="60">
        <f>J145</f>
        <v>135</v>
      </c>
      <c r="V145" s="63">
        <f>1.25*L145</f>
        <v>212.5</v>
      </c>
      <c r="W145" s="63">
        <f>J145-L145/8</f>
        <v>113.75</v>
      </c>
      <c r="X145">
        <f>1.25*L145/(2*$Q$2)</f>
        <v>-134.19678308770122</v>
      </c>
      <c r="Y145" s="63">
        <f>(($Q$2*W145)/V145-$R$2)*X145</f>
        <v>171.04249413803157</v>
      </c>
      <c r="Z145" s="63">
        <f>IF(Y145&gt;U145,Y145,U145)</f>
        <v>171.04249413803157</v>
      </c>
      <c r="AA145" s="64">
        <f>(Z145-W145)/V145</f>
        <v>0.26961173712014858</v>
      </c>
      <c r="AB145" s="64">
        <f>$Q$2*AA145+$R$2</f>
        <v>0.63728239307439538</v>
      </c>
      <c r="AC145" s="63">
        <f>Z145*AB145*365</f>
        <v>39785.865043319776</v>
      </c>
      <c r="AD145" s="65">
        <f>AC145*(1-$T$1)</f>
        <v>27850.105530323843</v>
      </c>
      <c r="AE145" s="63">
        <f>G145</f>
        <v>10146.444</v>
      </c>
      <c r="AF145" s="63">
        <f>AD145-AE145</f>
        <v>17703.661530323843</v>
      </c>
      <c r="AH145" s="66">
        <f>AB145*(365/$AG$23)*$AG$21</f>
        <v>7753.602449071811</v>
      </c>
      <c r="AI145" s="66">
        <f>-$AG$7-$AG$13-AH145</f>
        <v>-41353.602449071812</v>
      </c>
      <c r="AJ145" s="66">
        <f>-$AG$13-AH145-$AG$18</f>
        <v>-17353.602449071812</v>
      </c>
      <c r="AK145" s="67">
        <f>-($AG$7/$AG$9)-$AG$13-AH145</f>
        <v>-17353.602449071812</v>
      </c>
      <c r="AL145" s="67">
        <f>-($AG$7/$AG$9)-$AG$13-AH145-$AG$18</f>
        <v>-23353.602449071812</v>
      </c>
      <c r="AM145" s="68">
        <f>AF145+AI145</f>
        <v>-23649.940918747969</v>
      </c>
      <c r="AN145" s="68">
        <f>AF145+AJ145</f>
        <v>350.05908125203132</v>
      </c>
      <c r="AO145" s="68">
        <f>AF145+AK145</f>
        <v>350.05908125203132</v>
      </c>
      <c r="AP145" s="68">
        <f>AF145+AL145</f>
        <v>-5649.9409187479687</v>
      </c>
    </row>
    <row r="146" spans="1:42">
      <c r="A146" t="s">
        <v>278</v>
      </c>
      <c r="B146" t="s">
        <v>276</v>
      </c>
      <c r="C146" t="s">
        <v>107</v>
      </c>
      <c r="D146">
        <v>1</v>
      </c>
      <c r="E146">
        <v>925</v>
      </c>
      <c r="F146">
        <f>F$2</f>
        <v>0.97299999999999998</v>
      </c>
      <c r="G146" s="60">
        <f>E146*12*F146</f>
        <v>10800.3</v>
      </c>
      <c r="H146">
        <v>207</v>
      </c>
      <c r="I146" s="61">
        <v>0.41639999999999999</v>
      </c>
      <c r="J146">
        <v>125</v>
      </c>
      <c r="K146">
        <v>288</v>
      </c>
      <c r="L146">
        <f>K146-J146</f>
        <v>163</v>
      </c>
      <c r="M146">
        <f>H146-J146</f>
        <v>82</v>
      </c>
      <c r="N146" s="62">
        <f>0.8*M146/L146+0.1</f>
        <v>0.50245398773006145</v>
      </c>
      <c r="O146" s="61">
        <v>0.41639999999999999</v>
      </c>
      <c r="P146" s="63">
        <v>100</v>
      </c>
      <c r="Q146" s="64">
        <f>0.1+0.8*(P146-J146)/(K146-J146)</f>
        <v>-2.2699386503067479E-2</v>
      </c>
      <c r="R146" s="64">
        <f>$Q$2*Q146+$R$2</f>
        <v>0.86871906517904207</v>
      </c>
      <c r="S146" s="63">
        <f>365*P146*R146</f>
        <v>31708.245879035036</v>
      </c>
      <c r="T146" s="65">
        <f>S146*(1-$T$1)</f>
        <v>22195.772115324522</v>
      </c>
      <c r="U146" s="60">
        <f>J146</f>
        <v>125</v>
      </c>
      <c r="V146" s="63">
        <f>1.25*L146</f>
        <v>203.75</v>
      </c>
      <c r="W146" s="63">
        <f>J146-L146/8</f>
        <v>104.625</v>
      </c>
      <c r="X146">
        <f>1.25*L146/(2*$Q$2)</f>
        <v>-128.67103319585468</v>
      </c>
      <c r="Y146" s="63">
        <f>(($Q$2*W146)/V146-$R$2)*X146</f>
        <v>161.77897967352436</v>
      </c>
      <c r="Z146" s="63">
        <f>IF(Y146&gt;U146,Y146,U146)</f>
        <v>161.77897967352436</v>
      </c>
      <c r="AA146" s="64">
        <f>(Z146-W146)/V146</f>
        <v>0.28051032968600914</v>
      </c>
      <c r="AB146" s="64">
        <f>$Q$2*AA146+$R$2</f>
        <v>0.62865345701885733</v>
      </c>
      <c r="AC146" s="63">
        <f>Z146*AB146*365</f>
        <v>37121.563918331754</v>
      </c>
      <c r="AD146" s="65">
        <f>AC146*(1-$T$1)</f>
        <v>25985.094742832225</v>
      </c>
      <c r="AE146" s="63">
        <f>G146</f>
        <v>10800.3</v>
      </c>
      <c r="AF146" s="63">
        <f>AD146-AE146</f>
        <v>15184.794742832226</v>
      </c>
      <c r="AH146" s="66">
        <f>AB146*(365/$AG$23)*$AG$21</f>
        <v>7648.6170603960973</v>
      </c>
      <c r="AI146" s="66">
        <f>-$AG$7-$AG$13-AH146</f>
        <v>-41248.6170603961</v>
      </c>
      <c r="AJ146" s="66">
        <f>-$AG$13-AH146-$AG$18</f>
        <v>-17248.617060396096</v>
      </c>
      <c r="AK146" s="67">
        <f>-($AG$7/$AG$9)-$AG$13-AH146</f>
        <v>-17248.617060396096</v>
      </c>
      <c r="AL146" s="67">
        <f>-($AG$7/$AG$9)-$AG$13-AH146-$AG$18</f>
        <v>-23248.617060396096</v>
      </c>
      <c r="AM146" s="68">
        <f>AF146+AI146</f>
        <v>-26063.822317563874</v>
      </c>
      <c r="AN146" s="68">
        <f>AF146+AJ146</f>
        <v>-2063.8223175638705</v>
      </c>
      <c r="AO146" s="68">
        <f>AF146+AK146</f>
        <v>-2063.8223175638705</v>
      </c>
      <c r="AP146" s="68">
        <f>AF146+AL146</f>
        <v>-8063.8223175638705</v>
      </c>
    </row>
    <row r="147" spans="1:42">
      <c r="A147" t="s">
        <v>279</v>
      </c>
      <c r="B147" t="s">
        <v>276</v>
      </c>
      <c r="C147" t="s">
        <v>107</v>
      </c>
      <c r="D147">
        <v>2</v>
      </c>
      <c r="E147">
        <v>1350</v>
      </c>
      <c r="F147">
        <f>F$2</f>
        <v>0.97299999999999998</v>
      </c>
      <c r="G147" s="60">
        <f>E147*12*F147</f>
        <v>15762.6</v>
      </c>
      <c r="H147">
        <v>224</v>
      </c>
      <c r="I147" s="61">
        <v>0.4849</v>
      </c>
      <c r="J147">
        <v>119</v>
      </c>
      <c r="K147">
        <v>360</v>
      </c>
      <c r="L147">
        <f>K147-J147</f>
        <v>241</v>
      </c>
      <c r="M147">
        <f>H147-J147</f>
        <v>105</v>
      </c>
      <c r="N147" s="62">
        <f>0.8*M147/L147+0.1</f>
        <v>0.44854771784232361</v>
      </c>
      <c r="O147" s="61">
        <v>0.4849</v>
      </c>
      <c r="P147" s="63">
        <v>100</v>
      </c>
      <c r="Q147" s="64">
        <f>0.1+0.8*(P147-J147)/(K147-J147)</f>
        <v>3.6929460580912871E-2</v>
      </c>
      <c r="R147" s="64">
        <f>$Q$2*Q147+$R$2</f>
        <v>0.82150806013928301</v>
      </c>
      <c r="S147" s="63">
        <f>365*P147*R147</f>
        <v>29985.044195083829</v>
      </c>
      <c r="T147" s="65">
        <f>S147*(1-$T$1)</f>
        <v>20989.53093655868</v>
      </c>
      <c r="U147" s="60">
        <f>J147</f>
        <v>119</v>
      </c>
      <c r="V147" s="63">
        <f>1.25*L147</f>
        <v>301.25</v>
      </c>
      <c r="W147" s="63">
        <f>J147-L147/8</f>
        <v>88.875</v>
      </c>
      <c r="X147">
        <f>1.25*L147/(2*$Q$2)</f>
        <v>-190.24367484785878</v>
      </c>
      <c r="Y147" s="63">
        <f>(($Q$2*W147)/V147-$R$2)*X147</f>
        <v>206.28671227803298</v>
      </c>
      <c r="Z147" s="63">
        <f>IF(Y147&gt;U147,Y147,U147)</f>
        <v>206.28671227803298</v>
      </c>
      <c r="AA147" s="64">
        <f>(Z147-W147)/V147</f>
        <v>0.38974842249969455</v>
      </c>
      <c r="AB147" s="64">
        <f>$Q$2*AA147+$R$2</f>
        <v>0.54216444368782324</v>
      </c>
      <c r="AC147" s="63">
        <f>Z147*AB147*365</f>
        <v>40822.082019879577</v>
      </c>
      <c r="AD147" s="65">
        <f>AC147*(1-$T$1)</f>
        <v>28575.457413915701</v>
      </c>
      <c r="AE147" s="63">
        <f>G147</f>
        <v>15762.6</v>
      </c>
      <c r="AF147" s="63">
        <f>AD147-AE147</f>
        <v>12812.857413915701</v>
      </c>
      <c r="AH147" s="66">
        <f>AB147*(365/$AG$23)*$AG$21</f>
        <v>6596.3340648685162</v>
      </c>
      <c r="AI147" s="66">
        <f>-$AG$7-$AG$13-AH147</f>
        <v>-40196.334064868519</v>
      </c>
      <c r="AJ147" s="66">
        <f>-$AG$13-AH147-$AG$18</f>
        <v>-16196.334064868515</v>
      </c>
      <c r="AK147" s="67">
        <f>-($AG$7/$AG$9)-$AG$13-AH147</f>
        <v>-16196.334064868515</v>
      </c>
      <c r="AL147" s="67">
        <f>-($AG$7/$AG$9)-$AG$13-AH147-$AG$18</f>
        <v>-22196.334064868515</v>
      </c>
      <c r="AM147" s="68">
        <f>AF147+AI147</f>
        <v>-27383.47665095282</v>
      </c>
      <c r="AN147" s="68">
        <f>AF147+AJ147</f>
        <v>-3383.4766509528145</v>
      </c>
      <c r="AO147" s="68">
        <f>AF147+AK147</f>
        <v>-3383.4766509528145</v>
      </c>
      <c r="AP147" s="68">
        <f>AF147+AL147</f>
        <v>-9383.4766509528145</v>
      </c>
    </row>
    <row r="148" spans="1:42">
      <c r="A148" t="s">
        <v>280</v>
      </c>
      <c r="B148" t="s">
        <v>281</v>
      </c>
      <c r="C148" t="s">
        <v>98</v>
      </c>
      <c r="D148">
        <v>1</v>
      </c>
      <c r="E148">
        <v>900</v>
      </c>
      <c r="F148">
        <f>F$2</f>
        <v>0.97299999999999998</v>
      </c>
      <c r="G148" s="60">
        <f>E148*12*F148</f>
        <v>10508.4</v>
      </c>
      <c r="H148">
        <v>139</v>
      </c>
      <c r="I148" s="61">
        <v>0.55069999999999997</v>
      </c>
      <c r="J148">
        <v>89</v>
      </c>
      <c r="K148">
        <v>177</v>
      </c>
      <c r="L148">
        <f>K148-J148</f>
        <v>88</v>
      </c>
      <c r="M148">
        <f>H148-J148</f>
        <v>50</v>
      </c>
      <c r="N148" s="62">
        <f>0.8*M148/L148+0.1</f>
        <v>0.55454545454545456</v>
      </c>
      <c r="O148" s="61">
        <v>0.55069999999999997</v>
      </c>
      <c r="P148" s="63">
        <v>100</v>
      </c>
      <c r="Q148" s="64">
        <f>0.1+0.8*(P148-J148)/(K148-J148)</f>
        <v>0.2</v>
      </c>
      <c r="R148" s="64">
        <f>$Q$2*Q148+$R$2</f>
        <v>0.69239732875941951</v>
      </c>
      <c r="S148" s="63">
        <f>365*P148*R148</f>
        <v>25272.502499718812</v>
      </c>
      <c r="T148" s="65">
        <f>S148*(1-$T$1)</f>
        <v>17690.751749803167</v>
      </c>
      <c r="U148" s="60">
        <f>J148</f>
        <v>89</v>
      </c>
      <c r="V148" s="63">
        <f>1.25*L148</f>
        <v>110</v>
      </c>
      <c r="W148" s="63">
        <f>J148-L148/8</f>
        <v>78</v>
      </c>
      <c r="X148">
        <f>1.25*L148/(2*$Q$2)</f>
        <v>-69.46657006892768</v>
      </c>
      <c r="Y148" s="63">
        <f>(($Q$2*W148)/V148-$R$2)*X148</f>
        <v>98.098467553804568</v>
      </c>
      <c r="Z148" s="63">
        <f>IF(Y148&gt;U148,Y148,U148)</f>
        <v>98.098467553804568</v>
      </c>
      <c r="AA148" s="64">
        <f>(Z148-W148)/V148</f>
        <v>0.18271334139822334</v>
      </c>
      <c r="AB148" s="64">
        <f>$Q$2*AA148+$R$2</f>
        <v>0.70608400167495755</v>
      </c>
      <c r="AC148" s="63">
        <f>Z148*AB148*365</f>
        <v>25282.00186292853</v>
      </c>
      <c r="AD148" s="65">
        <f>AC148*(1-$T$1)</f>
        <v>17697.40130404997</v>
      </c>
      <c r="AE148" s="63">
        <f>G148</f>
        <v>10508.4</v>
      </c>
      <c r="AF148" s="63">
        <f>AD148-AE148</f>
        <v>7189.0013040499707</v>
      </c>
      <c r="AH148" s="66">
        <f>AB148*(365/$AG$23)*$AG$21</f>
        <v>8590.6886870453181</v>
      </c>
      <c r="AI148" s="66">
        <f>-$AG$7-$AG$13-AH148</f>
        <v>-42190.688687045316</v>
      </c>
      <c r="AJ148" s="66">
        <f>-$AG$13-AH148-$AG$18</f>
        <v>-18190.688687045316</v>
      </c>
      <c r="AK148" s="67">
        <f>-($AG$7/$AG$9)-$AG$13-AH148</f>
        <v>-18190.688687045316</v>
      </c>
      <c r="AL148" s="67">
        <f>-($AG$7/$AG$9)-$AG$13-AH148-$AG$18</f>
        <v>-24190.688687045316</v>
      </c>
      <c r="AM148" s="68">
        <f>AF148+AI148</f>
        <v>-35001.687382995347</v>
      </c>
      <c r="AN148" s="68">
        <f>AF148+AJ148</f>
        <v>-11001.687382995346</v>
      </c>
      <c r="AO148" s="68">
        <f>AF148+AK148</f>
        <v>-11001.687382995346</v>
      </c>
      <c r="AP148" s="68">
        <f>AF148+AL148</f>
        <v>-17001.687382995347</v>
      </c>
    </row>
    <row r="149" spans="1:42">
      <c r="A149" t="s">
        <v>282</v>
      </c>
      <c r="B149" t="s">
        <v>255</v>
      </c>
      <c r="C149" t="s">
        <v>107</v>
      </c>
      <c r="D149">
        <v>2</v>
      </c>
      <c r="E149">
        <v>3200</v>
      </c>
      <c r="F149">
        <f>F$2</f>
        <v>0.97299999999999998</v>
      </c>
      <c r="G149" s="60">
        <f>E149*12*F149</f>
        <v>37363.199999999997</v>
      </c>
      <c r="H149">
        <v>325</v>
      </c>
      <c r="I149" s="61">
        <v>0.81640000000000001</v>
      </c>
      <c r="J149">
        <v>195</v>
      </c>
      <c r="K149">
        <v>844</v>
      </c>
      <c r="L149">
        <f>K149-J149</f>
        <v>649</v>
      </c>
      <c r="M149">
        <f>H149-J149</f>
        <v>130</v>
      </c>
      <c r="N149" s="62">
        <f>0.8*M149/L149+0.1</f>
        <v>0.26024653312788903</v>
      </c>
      <c r="O149" s="61">
        <v>0.81640000000000001</v>
      </c>
      <c r="P149" s="63">
        <v>100</v>
      </c>
      <c r="Q149" s="64">
        <f>0.1+0.8*(P149-J149)/(K149-J149)</f>
        <v>-1.7103235747303533E-2</v>
      </c>
      <c r="R149" s="64">
        <f>$Q$2*Q149+$R$2</f>
        <v>0.86428832545399714</v>
      </c>
      <c r="S149" s="63">
        <f>365*P149*R149</f>
        <v>31546.523879070897</v>
      </c>
      <c r="T149" s="65">
        <f>S149*(1-$T$1)</f>
        <v>22082.566715349625</v>
      </c>
      <c r="U149" s="60">
        <f>J149</f>
        <v>195</v>
      </c>
      <c r="V149" s="63">
        <f>1.25*L149</f>
        <v>811.25</v>
      </c>
      <c r="W149" s="63">
        <f>J149-L149/8</f>
        <v>113.875</v>
      </c>
      <c r="X149">
        <f>1.25*L149/(2*$Q$2)</f>
        <v>-512.31595425834166</v>
      </c>
      <c r="Y149" s="63">
        <f>(($Q$2*W149)/V149-$R$2)*X149</f>
        <v>492.78869820930873</v>
      </c>
      <c r="Z149" s="63">
        <f>IF(Y149&gt;U149,Y149,U149)</f>
        <v>492.78869820930873</v>
      </c>
      <c r="AA149" s="64">
        <f>(Z149-W149)/V149</f>
        <v>0.46707389609776118</v>
      </c>
      <c r="AB149" s="64">
        <f>$Q$2*AA149+$R$2</f>
        <v>0.4809421745636423</v>
      </c>
      <c r="AC149" s="63">
        <f>Z149*AB149*365</f>
        <v>86506.046862767558</v>
      </c>
      <c r="AD149" s="65">
        <f>AC149*(1-$T$1)</f>
        <v>60554.232803937288</v>
      </c>
      <c r="AE149" s="63">
        <f>G149</f>
        <v>37363.199999999997</v>
      </c>
      <c r="AF149" s="63">
        <f>AD149-AE149</f>
        <v>23191.032803937291</v>
      </c>
      <c r="AH149" s="66">
        <f>AB149*(365/$AG$23)*$AG$21</f>
        <v>5851.4631238576485</v>
      </c>
      <c r="AI149" s="66">
        <f>-$AG$7-$AG$13-AH149</f>
        <v>-39451.463123857648</v>
      </c>
      <c r="AJ149" s="66">
        <f>-$AG$13-AH149-$AG$18</f>
        <v>-15451.463123857648</v>
      </c>
      <c r="AK149" s="67">
        <f>-($AG$7/$AG$9)-$AG$13-AH149</f>
        <v>-15451.463123857648</v>
      </c>
      <c r="AL149" s="67">
        <f>-($AG$7/$AG$9)-$AG$13-AH149-$AG$18</f>
        <v>-21451.463123857648</v>
      </c>
      <c r="AM149" s="68">
        <f>AF149+AI149</f>
        <v>-16260.430319920357</v>
      </c>
      <c r="AN149" s="68">
        <f>AF149+AJ149</f>
        <v>7739.5696800796431</v>
      </c>
      <c r="AO149" s="68">
        <f>AF149+AK149</f>
        <v>7739.5696800796431</v>
      </c>
      <c r="AP149" s="68">
        <f>AF149+AL149</f>
        <v>1739.5696800796431</v>
      </c>
    </row>
    <row r="150" spans="1:42">
      <c r="A150" t="s">
        <v>283</v>
      </c>
      <c r="B150" t="s">
        <v>281</v>
      </c>
      <c r="C150" t="s">
        <v>98</v>
      </c>
      <c r="D150">
        <v>2</v>
      </c>
      <c r="E150">
        <v>1325</v>
      </c>
      <c r="F150">
        <f>F$2</f>
        <v>0.97299999999999998</v>
      </c>
      <c r="G150" s="60">
        <f>E150*12*F150</f>
        <v>15470.699999999999</v>
      </c>
      <c r="H150">
        <v>283</v>
      </c>
      <c r="I150" s="61">
        <v>0.29320000000000002</v>
      </c>
      <c r="J150">
        <v>161</v>
      </c>
      <c r="K150">
        <v>319</v>
      </c>
      <c r="L150">
        <f>K150-J150</f>
        <v>158</v>
      </c>
      <c r="M150">
        <f>H150-J150</f>
        <v>122</v>
      </c>
      <c r="N150" s="62">
        <f>0.8*M150/L150+0.1</f>
        <v>0.71772151898734182</v>
      </c>
      <c r="O150" s="61">
        <v>0.29320000000000002</v>
      </c>
      <c r="P150" s="63">
        <v>100</v>
      </c>
      <c r="Q150" s="64">
        <f>0.1+0.8*(P150-J150)/(K150-J150)</f>
        <v>-0.20886075949367092</v>
      </c>
      <c r="R150" s="64">
        <f>$Q$2*Q150+$R$2</f>
        <v>1.0161119119011954</v>
      </c>
      <c r="S150" s="63">
        <f>365*P150*R150</f>
        <v>37088.084784393635</v>
      </c>
      <c r="T150" s="65">
        <f>S150*(1-$T$1)</f>
        <v>25961.659349075544</v>
      </c>
      <c r="U150" s="60">
        <f>J150</f>
        <v>161</v>
      </c>
      <c r="V150" s="63">
        <f>1.25*L150</f>
        <v>197.5</v>
      </c>
      <c r="W150" s="63">
        <f>J150-L150/8</f>
        <v>141.25</v>
      </c>
      <c r="X150">
        <f>1.25*L150/(2*$Q$2)</f>
        <v>-124.72406898739288</v>
      </c>
      <c r="Y150" s="63">
        <f>(($Q$2*W150)/V150-$R$2)*X150</f>
        <v>176.73361219887641</v>
      </c>
      <c r="Z150" s="63">
        <f>IF(Y150&gt;U150,Y150,U150)</f>
        <v>176.73361219887641</v>
      </c>
      <c r="AA150" s="64">
        <f>(Z150-W150)/V150</f>
        <v>0.17966385923481729</v>
      </c>
      <c r="AB150" s="64">
        <f>$Q$2*AA150+$R$2</f>
        <v>0.70849842229225457</v>
      </c>
      <c r="AC150" s="63">
        <f>Z150*AB150*365</f>
        <v>45703.652174254014</v>
      </c>
      <c r="AD150" s="65">
        <f>AC150*(1-$T$1)</f>
        <v>31992.556521977807</v>
      </c>
      <c r="AE150" s="63">
        <f>G150</f>
        <v>15470.699999999999</v>
      </c>
      <c r="AF150" s="63">
        <f>AD150-AE150</f>
        <v>16521.85652197781</v>
      </c>
      <c r="AH150" s="66">
        <f>AB150*(365/$AG$23)*$AG$21</f>
        <v>8620.0641378890978</v>
      </c>
      <c r="AI150" s="66">
        <f>-$AG$7-$AG$13-AH150</f>
        <v>-42220.064137889101</v>
      </c>
      <c r="AJ150" s="66">
        <f>-$AG$13-AH150-$AG$18</f>
        <v>-18220.064137889098</v>
      </c>
      <c r="AK150" s="67">
        <f>-($AG$7/$AG$9)-$AG$13-AH150</f>
        <v>-18220.064137889098</v>
      </c>
      <c r="AL150" s="67">
        <f>-($AG$7/$AG$9)-$AG$13-AH150-$AG$18</f>
        <v>-24220.064137889098</v>
      </c>
      <c r="AM150" s="68">
        <f>AF150+AI150</f>
        <v>-25698.207615911291</v>
      </c>
      <c r="AN150" s="68">
        <f>AF150+AJ150</f>
        <v>-1698.2076159112876</v>
      </c>
      <c r="AO150" s="68">
        <f>AF150+AK150</f>
        <v>-1698.2076159112876</v>
      </c>
      <c r="AP150" s="68">
        <f>AF150+AL150</f>
        <v>-7698.2076159112876</v>
      </c>
    </row>
    <row r="151" spans="1:42">
      <c r="A151" t="s">
        <v>284</v>
      </c>
      <c r="B151" t="s">
        <v>281</v>
      </c>
      <c r="C151" t="s">
        <v>107</v>
      </c>
      <c r="D151">
        <v>1</v>
      </c>
      <c r="E151">
        <v>975</v>
      </c>
      <c r="F151">
        <f>F$2</f>
        <v>0.97299999999999998</v>
      </c>
      <c r="G151" s="60">
        <f>E151*12*F151</f>
        <v>11384.1</v>
      </c>
      <c r="H151">
        <v>192</v>
      </c>
      <c r="I151" s="61">
        <v>0.50139999999999996</v>
      </c>
      <c r="J151">
        <v>145</v>
      </c>
      <c r="K151">
        <v>300</v>
      </c>
      <c r="L151">
        <f>K151-J151</f>
        <v>155</v>
      </c>
      <c r="M151">
        <f>H151-J151</f>
        <v>47</v>
      </c>
      <c r="N151" s="62">
        <f>0.8*M151/L151+0.1</f>
        <v>0.34258064516129033</v>
      </c>
      <c r="O151" s="61">
        <v>0.50139999999999996</v>
      </c>
      <c r="P151" s="63">
        <v>100</v>
      </c>
      <c r="Q151" s="64">
        <f>0.1+0.8*(P151-J151)/(K151-J151)</f>
        <v>-0.13225806451612904</v>
      </c>
      <c r="R151" s="64">
        <f>$Q$2*Q151+$R$2</f>
        <v>0.9554619011178167</v>
      </c>
      <c r="S151" s="63">
        <f>365*P151*R151</f>
        <v>34874.359390800309</v>
      </c>
      <c r="T151" s="65">
        <f>S151*(1-$T$1)</f>
        <v>24412.051573560217</v>
      </c>
      <c r="U151" s="60">
        <f>J151</f>
        <v>145</v>
      </c>
      <c r="V151" s="63">
        <f>1.25*L151</f>
        <v>193.75</v>
      </c>
      <c r="W151" s="63">
        <f>J151-L151/8</f>
        <v>125.625</v>
      </c>
      <c r="X151">
        <f>1.25*L151/(2*$Q$2)</f>
        <v>-122.35589046231581</v>
      </c>
      <c r="Y151" s="63">
        <f>(($Q$2*W151)/V151-$R$2)*X151</f>
        <v>166.90639171408759</v>
      </c>
      <c r="Z151" s="63">
        <f>IF(Y151&gt;U151,Y151,U151)</f>
        <v>166.90639171408759</v>
      </c>
      <c r="AA151" s="64">
        <f>(Z151-W151)/V151</f>
        <v>0.2130652475565811</v>
      </c>
      <c r="AB151" s="64">
        <f>$Q$2*AA151+$R$2</f>
        <v>0.68205294850717813</v>
      </c>
      <c r="AC151" s="63">
        <f>Z151*AB151*365</f>
        <v>41551.233756549933</v>
      </c>
      <c r="AD151" s="65">
        <f>AC151*(1-$T$1)</f>
        <v>29085.86362958495</v>
      </c>
      <c r="AE151" s="63">
        <f>G151</f>
        <v>11384.1</v>
      </c>
      <c r="AF151" s="63">
        <f>AD151-AE151</f>
        <v>17701.763629584952</v>
      </c>
      <c r="AH151" s="66">
        <f>AB151*(365/$AG$23)*$AG$21</f>
        <v>8298.3108735040005</v>
      </c>
      <c r="AI151" s="66">
        <f>-$AG$7-$AG$13-AH151</f>
        <v>-41898.310873504</v>
      </c>
      <c r="AJ151" s="66">
        <f>-$AG$13-AH151-$AG$18</f>
        <v>-17898.310873504</v>
      </c>
      <c r="AK151" s="67">
        <f>-($AG$7/$AG$9)-$AG$13-AH151</f>
        <v>-17898.310873504</v>
      </c>
      <c r="AL151" s="67">
        <f>-($AG$7/$AG$9)-$AG$13-AH151-$AG$18</f>
        <v>-23898.310873504</v>
      </c>
      <c r="AM151" s="68">
        <f>AF151+AI151</f>
        <v>-24196.547243919049</v>
      </c>
      <c r="AN151" s="68">
        <f>AF151+AJ151</f>
        <v>-196.54724391904892</v>
      </c>
      <c r="AO151" s="68">
        <f>AF151+AK151</f>
        <v>-196.54724391904892</v>
      </c>
      <c r="AP151" s="68">
        <f>AF151+AL151</f>
        <v>-6196.5472439190489</v>
      </c>
    </row>
    <row r="152" spans="1:42">
      <c r="A152" t="s">
        <v>285</v>
      </c>
      <c r="B152" t="s">
        <v>281</v>
      </c>
      <c r="C152" t="s">
        <v>107</v>
      </c>
      <c r="D152">
        <v>2</v>
      </c>
      <c r="E152">
        <v>1550</v>
      </c>
      <c r="F152">
        <f>F$2</f>
        <v>0.97299999999999998</v>
      </c>
      <c r="G152" s="60">
        <f>E152*12*F152</f>
        <v>18097.8</v>
      </c>
      <c r="H152">
        <v>307</v>
      </c>
      <c r="I152" s="61">
        <v>0.3014</v>
      </c>
      <c r="J152">
        <v>185</v>
      </c>
      <c r="K152">
        <v>376</v>
      </c>
      <c r="L152">
        <f>K152-J152</f>
        <v>191</v>
      </c>
      <c r="M152">
        <f>H152-J152</f>
        <v>122</v>
      </c>
      <c r="N152" s="62">
        <f>0.8*M152/L152+0.1</f>
        <v>0.61099476439790579</v>
      </c>
      <c r="O152" s="61">
        <v>0.3014</v>
      </c>
      <c r="P152" s="63">
        <v>100</v>
      </c>
      <c r="Q152" s="64">
        <f>0.1+0.8*(P152-J152)/(K152-J152)</f>
        <v>-0.25602094240837692</v>
      </c>
      <c r="R152" s="64">
        <f>$Q$2*Q152+$R$2</f>
        <v>1.0534508802385576</v>
      </c>
      <c r="S152" s="63">
        <f>365*P152*R152</f>
        <v>38450.957128707356</v>
      </c>
      <c r="T152" s="65">
        <f>S152*(1-$T$1)</f>
        <v>26915.669990095146</v>
      </c>
      <c r="U152" s="60">
        <f>J152</f>
        <v>185</v>
      </c>
      <c r="V152" s="63">
        <f>1.25*L152</f>
        <v>238.75</v>
      </c>
      <c r="W152" s="63">
        <f>J152-L152/8</f>
        <v>161.125</v>
      </c>
      <c r="X152">
        <f>1.25*L152/(2*$Q$2)</f>
        <v>-150.77403276324077</v>
      </c>
      <c r="Y152" s="63">
        <f>(($Q$2*W152)/V152-$R$2)*X152</f>
        <v>208.83303753155312</v>
      </c>
      <c r="Z152" s="63">
        <f>IF(Y152&gt;U152,Y152,U152)</f>
        <v>208.83303753155312</v>
      </c>
      <c r="AA152" s="64">
        <f>(Z152-W152)/V152</f>
        <v>0.19982424096985599</v>
      </c>
      <c r="AB152" s="64">
        <f>$Q$2*AA152+$R$2</f>
        <v>0.69253648557468084</v>
      </c>
      <c r="AC152" s="63">
        <f>Z152*AB152*365</f>
        <v>52787.941727655329</v>
      </c>
      <c r="AD152" s="65">
        <f>AC152*(1-$T$1)</f>
        <v>36951.559209358726</v>
      </c>
      <c r="AE152" s="63">
        <f>G152</f>
        <v>18097.8</v>
      </c>
      <c r="AF152" s="63">
        <f>AD152-AE152</f>
        <v>18853.759209358726</v>
      </c>
      <c r="AH152" s="66">
        <f>AB152*(365/$AG$23)*$AG$21</f>
        <v>8425.8605744919514</v>
      </c>
      <c r="AI152" s="66">
        <f>-$AG$7-$AG$13-AH152</f>
        <v>-42025.860574491948</v>
      </c>
      <c r="AJ152" s="66">
        <f>-$AG$13-AH152-$AG$18</f>
        <v>-18025.860574491951</v>
      </c>
      <c r="AK152" s="67">
        <f>-($AG$7/$AG$9)-$AG$13-AH152</f>
        <v>-18025.860574491951</v>
      </c>
      <c r="AL152" s="67">
        <f>-($AG$7/$AG$9)-$AG$13-AH152-$AG$18</f>
        <v>-24025.860574491951</v>
      </c>
      <c r="AM152" s="68">
        <f>AF152+AI152</f>
        <v>-23172.101365133221</v>
      </c>
      <c r="AN152" s="68">
        <f>AF152+AJ152</f>
        <v>827.89863486677496</v>
      </c>
      <c r="AO152" s="68">
        <f>AF152+AK152</f>
        <v>827.89863486677496</v>
      </c>
      <c r="AP152" s="68">
        <f>AF152+AL152</f>
        <v>-5172.101365133225</v>
      </c>
    </row>
    <row r="153" spans="1:42">
      <c r="A153" t="s">
        <v>286</v>
      </c>
      <c r="B153" t="s">
        <v>287</v>
      </c>
      <c r="C153" t="s">
        <v>98</v>
      </c>
      <c r="D153">
        <v>1</v>
      </c>
      <c r="E153">
        <v>1165</v>
      </c>
      <c r="F153">
        <f>F$2</f>
        <v>0.97299999999999998</v>
      </c>
      <c r="G153" s="60">
        <f>E153*12*F153</f>
        <v>13602.539999999999</v>
      </c>
      <c r="H153">
        <v>180</v>
      </c>
      <c r="I153" s="61">
        <v>0.34250000000000003</v>
      </c>
      <c r="J153">
        <v>135</v>
      </c>
      <c r="K153">
        <v>220</v>
      </c>
      <c r="L153">
        <f>K153-J153</f>
        <v>85</v>
      </c>
      <c r="M153">
        <f>H153-J153</f>
        <v>45</v>
      </c>
      <c r="N153" s="62">
        <f>0.8*M153/L153+0.1</f>
        <v>0.52352941176470591</v>
      </c>
      <c r="O153" s="61">
        <v>0.34250000000000003</v>
      </c>
      <c r="P153" s="63">
        <v>100</v>
      </c>
      <c r="Q153" s="64">
        <f>0.1+0.8*(P153-J153)/(K153-J153)</f>
        <v>-0.22941176470588234</v>
      </c>
      <c r="R153" s="64">
        <f>$Q$2*Q153+$R$2</f>
        <v>1.0323831238748125</v>
      </c>
      <c r="S153" s="63">
        <f>365*P153*R153</f>
        <v>37681.984021430653</v>
      </c>
      <c r="T153" s="65">
        <f>S153*(1-$T$1)</f>
        <v>26377.388815001457</v>
      </c>
      <c r="U153" s="60">
        <f>J153</f>
        <v>135</v>
      </c>
      <c r="V153" s="63">
        <f>1.25*L153</f>
        <v>106.25</v>
      </c>
      <c r="W153" s="63">
        <f>J153-L153/8</f>
        <v>124.375</v>
      </c>
      <c r="X153">
        <f>1.25*L153/(2*$Q$2)</f>
        <v>-67.09839154385061</v>
      </c>
      <c r="Y153" s="63">
        <f>(($Q$2*W153)/V153-$R$2)*X153</f>
        <v>119.2712470690158</v>
      </c>
      <c r="Z153" s="63">
        <f>IF(Y153&gt;U153,Y153,U153)</f>
        <v>135</v>
      </c>
      <c r="AA153" s="64">
        <f>(Z153-W153)/V153</f>
        <v>0.1</v>
      </c>
      <c r="AB153" s="64">
        <f>$Q$2*AA153+$R$2</f>
        <v>0.77157210296437406</v>
      </c>
      <c r="AC153" s="63">
        <f>Z153*AB153*365</f>
        <v>38019.215373569532</v>
      </c>
      <c r="AD153" s="65">
        <f>AC153*(1-$T$1)</f>
        <v>26613.450761498672</v>
      </c>
      <c r="AE153" s="63">
        <f>G153</f>
        <v>13602.539999999999</v>
      </c>
      <c r="AF153" s="63">
        <f>AD153-AE153</f>
        <v>13010.910761498673</v>
      </c>
      <c r="AH153" s="66">
        <f>AB153*(365/$AG$23)*$AG$21</f>
        <v>9387.4605860665506</v>
      </c>
      <c r="AI153" s="66">
        <f>-$AG$7-$AG$13-AH153</f>
        <v>-42987.460586066547</v>
      </c>
      <c r="AJ153" s="66">
        <f>-$AG$13-AH153-$AG$18</f>
        <v>-18987.460586066551</v>
      </c>
      <c r="AK153" s="67">
        <f>-($AG$7/$AG$9)-$AG$13-AH153</f>
        <v>-18987.460586066551</v>
      </c>
      <c r="AL153" s="67">
        <f>-($AG$7/$AG$9)-$AG$13-AH153-$AG$18</f>
        <v>-24987.460586066551</v>
      </c>
      <c r="AM153" s="68">
        <f>AF153+AI153</f>
        <v>-29976.549824567875</v>
      </c>
      <c r="AN153" s="68">
        <f>AF153+AJ153</f>
        <v>-5976.5498245678773</v>
      </c>
      <c r="AO153" s="68">
        <f>AF153+AK153</f>
        <v>-5976.5498245678773</v>
      </c>
      <c r="AP153" s="68">
        <f>AF153+AL153</f>
        <v>-11976.549824567877</v>
      </c>
    </row>
    <row r="154" spans="1:42">
      <c r="A154" t="s">
        <v>288</v>
      </c>
      <c r="B154" t="s">
        <v>287</v>
      </c>
      <c r="C154" t="s">
        <v>98</v>
      </c>
      <c r="D154">
        <v>2</v>
      </c>
      <c r="E154">
        <v>1625</v>
      </c>
      <c r="F154">
        <f>F$2</f>
        <v>0.97299999999999998</v>
      </c>
      <c r="G154" s="60">
        <f>E154*12*F154</f>
        <v>18973.5</v>
      </c>
      <c r="H154">
        <v>260</v>
      </c>
      <c r="I154" s="61">
        <v>0.6</v>
      </c>
      <c r="J154">
        <v>220</v>
      </c>
      <c r="K154">
        <v>312</v>
      </c>
      <c r="L154">
        <f>K154-J154</f>
        <v>92</v>
      </c>
      <c r="M154">
        <f>H154-J154</f>
        <v>40</v>
      </c>
      <c r="N154" s="62">
        <f>0.8*M154/L154+0.1</f>
        <v>0.44782608695652171</v>
      </c>
      <c r="O154" s="61">
        <v>0.6</v>
      </c>
      <c r="P154" s="63">
        <v>100</v>
      </c>
      <c r="Q154" s="64">
        <f>0.1+0.8*(P154-J154)/(K154-J154)</f>
        <v>-0.94347826086956521</v>
      </c>
      <c r="R154" s="64">
        <f>$Q$2*Q154+$R$2</f>
        <v>1.5977436598856385</v>
      </c>
      <c r="S154" s="63">
        <f>365*P154*R154</f>
        <v>58317.643585825805</v>
      </c>
      <c r="T154" s="65">
        <f>S154*(1-$T$1)</f>
        <v>40822.35051007806</v>
      </c>
      <c r="U154" s="60">
        <f>J154</f>
        <v>220</v>
      </c>
      <c r="V154" s="63">
        <f>1.25*L154</f>
        <v>115</v>
      </c>
      <c r="W154" s="63">
        <f>J154-L154/8</f>
        <v>208.5</v>
      </c>
      <c r="X154">
        <f>1.25*L154/(2*$Q$2)</f>
        <v>-72.624141435697126</v>
      </c>
      <c r="Y154" s="63">
        <f>(($Q$2*W154)/V154-$R$2)*X154</f>
        <v>166.03476153352295</v>
      </c>
      <c r="Z154" s="63">
        <f>IF(Y154&gt;U154,Y154,U154)</f>
        <v>220</v>
      </c>
      <c r="AA154" s="64">
        <f>(Z154-W154)/V154</f>
        <v>0.1</v>
      </c>
      <c r="AB154" s="64">
        <f>$Q$2*AA154+$R$2</f>
        <v>0.77157210296437406</v>
      </c>
      <c r="AC154" s="63">
        <f>Z154*AB154*365</f>
        <v>61957.239868039236</v>
      </c>
      <c r="AD154" s="65">
        <f>AC154*(1-$T$1)</f>
        <v>43370.067907627461</v>
      </c>
      <c r="AE154" s="63">
        <f>G154</f>
        <v>18973.5</v>
      </c>
      <c r="AF154" s="63">
        <f>AD154-AE154</f>
        <v>24396.567907627461</v>
      </c>
      <c r="AH154" s="66">
        <f>AB154*(365/$AG$23)*$AG$21</f>
        <v>9387.4605860665506</v>
      </c>
      <c r="AI154" s="66">
        <f>-$AG$7-$AG$13-AH154</f>
        <v>-42987.460586066547</v>
      </c>
      <c r="AJ154" s="66">
        <f>-$AG$13-AH154-$AG$18</f>
        <v>-18987.460586066551</v>
      </c>
      <c r="AK154" s="67">
        <f>-($AG$7/$AG$9)-$AG$13-AH154</f>
        <v>-18987.460586066551</v>
      </c>
      <c r="AL154" s="67">
        <f>-($AG$7/$AG$9)-$AG$13-AH154-$AG$18</f>
        <v>-24987.460586066551</v>
      </c>
      <c r="AM154" s="68">
        <f>AF154+AI154</f>
        <v>-18590.892678439086</v>
      </c>
      <c r="AN154" s="68">
        <f>AF154+AJ154</f>
        <v>5409.1073215609103</v>
      </c>
      <c r="AO154" s="68">
        <f>AF154+AK154</f>
        <v>5409.1073215609103</v>
      </c>
      <c r="AP154" s="68">
        <f>AF154+AL154</f>
        <v>-590.89267843908965</v>
      </c>
    </row>
    <row r="155" spans="1:42">
      <c r="A155" t="s">
        <v>289</v>
      </c>
      <c r="B155" t="s">
        <v>287</v>
      </c>
      <c r="C155" t="s">
        <v>107</v>
      </c>
      <c r="D155">
        <v>1</v>
      </c>
      <c r="E155">
        <v>1400</v>
      </c>
      <c r="F155">
        <f>F$2</f>
        <v>0.97299999999999998</v>
      </c>
      <c r="G155" s="60">
        <f>E155*12*F155</f>
        <v>16346.4</v>
      </c>
      <c r="H155">
        <v>232</v>
      </c>
      <c r="I155" s="61">
        <v>0.49859999999999999</v>
      </c>
      <c r="J155">
        <v>135</v>
      </c>
      <c r="K155">
        <v>287</v>
      </c>
      <c r="L155">
        <f>K155-J155</f>
        <v>152</v>
      </c>
      <c r="M155">
        <f>H155-J155</f>
        <v>97</v>
      </c>
      <c r="N155" s="62">
        <f>0.8*M155/L155+0.1</f>
        <v>0.61052631578947369</v>
      </c>
      <c r="O155" s="61">
        <v>0.49859999999999999</v>
      </c>
      <c r="P155" s="63">
        <v>100</v>
      </c>
      <c r="Q155" s="64">
        <f>0.1+0.8*(P155-J155)/(K155-J155)</f>
        <v>-8.4210526315789458E-2</v>
      </c>
      <c r="R155" s="64">
        <f>$Q$2*Q155+$R$2</f>
        <v>0.91742037123665865</v>
      </c>
      <c r="S155" s="63">
        <f>365*P155*R155</f>
        <v>33485.843550138037</v>
      </c>
      <c r="T155" s="65">
        <f>S155*(1-$T$1)</f>
        <v>23440.090485096625</v>
      </c>
      <c r="U155" s="60">
        <f>J155</f>
        <v>135</v>
      </c>
      <c r="V155" s="63">
        <f>1.25*L155</f>
        <v>190</v>
      </c>
      <c r="W155" s="63">
        <f>J155-L155/8</f>
        <v>116</v>
      </c>
      <c r="X155">
        <f>1.25*L155/(2*$Q$2)</f>
        <v>-119.98771193723873</v>
      </c>
      <c r="Y155" s="63">
        <f>(($Q$2*W155)/V155-$R$2)*X155</f>
        <v>160.07917122929879</v>
      </c>
      <c r="Z155" s="63">
        <f>IF(Y155&gt;U155,Y155,U155)</f>
        <v>160.07917122929879</v>
      </c>
      <c r="AA155" s="64">
        <f>(Z155-W155)/V155</f>
        <v>0.23199563804894102</v>
      </c>
      <c r="AB155" s="64">
        <f>$Q$2*AA155+$R$2</f>
        <v>0.66706485457873588</v>
      </c>
      <c r="AC155" s="63">
        <f>Z155*AB155*365</f>
        <v>38975.864013162216</v>
      </c>
      <c r="AD155" s="65">
        <f>AC155*(1-$T$1)</f>
        <v>27283.10480921355</v>
      </c>
      <c r="AE155" s="63">
        <f>G155</f>
        <v>16346.4</v>
      </c>
      <c r="AF155" s="63">
        <f>AD155-AE155</f>
        <v>10936.70480921355</v>
      </c>
      <c r="AH155" s="66">
        <f>AB155*(365/$AG$23)*$AG$21</f>
        <v>8115.955730707954</v>
      </c>
      <c r="AI155" s="66">
        <f>-$AG$7-$AG$13-AH155</f>
        <v>-41715.955730707952</v>
      </c>
      <c r="AJ155" s="66">
        <f>-$AG$13-AH155-$AG$18</f>
        <v>-17715.955730707952</v>
      </c>
      <c r="AK155" s="67">
        <f>-($AG$7/$AG$9)-$AG$13-AH155</f>
        <v>-17715.955730707952</v>
      </c>
      <c r="AL155" s="67">
        <f>-($AG$7/$AG$9)-$AG$13-AH155-$AG$18</f>
        <v>-23715.955730707952</v>
      </c>
      <c r="AM155" s="68">
        <f>AF155+AI155</f>
        <v>-30779.2509214944</v>
      </c>
      <c r="AN155" s="68">
        <f>AF155+AJ155</f>
        <v>-6779.2509214944021</v>
      </c>
      <c r="AO155" s="68">
        <f>AF155+AK155</f>
        <v>-6779.2509214944021</v>
      </c>
      <c r="AP155" s="68">
        <f>AF155+AL155</f>
        <v>-12779.250921494402</v>
      </c>
    </row>
    <row r="156" spans="1:42">
      <c r="A156" t="s">
        <v>290</v>
      </c>
      <c r="B156" t="s">
        <v>287</v>
      </c>
      <c r="C156" t="s">
        <v>107</v>
      </c>
      <c r="D156">
        <v>2</v>
      </c>
      <c r="E156">
        <v>1995</v>
      </c>
      <c r="F156">
        <f>F$2</f>
        <v>0.97299999999999998</v>
      </c>
      <c r="G156" s="60">
        <f>E156*12*F156</f>
        <v>23293.62</v>
      </c>
      <c r="H156">
        <v>292</v>
      </c>
      <c r="I156" s="61">
        <v>0.63839999999999997</v>
      </c>
      <c r="J156">
        <v>224</v>
      </c>
      <c r="K156">
        <v>331</v>
      </c>
      <c r="L156">
        <f>K156-J156</f>
        <v>107</v>
      </c>
      <c r="M156">
        <f>H156-J156</f>
        <v>68</v>
      </c>
      <c r="N156" s="62">
        <f>0.8*M156/L156+0.1</f>
        <v>0.60841121495327111</v>
      </c>
      <c r="O156" s="61">
        <v>0.63839999999999997</v>
      </c>
      <c r="P156" s="63">
        <v>100</v>
      </c>
      <c r="Q156" s="64">
        <f>0.1+0.8*(P156-J156)/(K156-J156)</f>
        <v>-0.82710280373831779</v>
      </c>
      <c r="R156" s="64">
        <f>$Q$2*Q156+$R$2</f>
        <v>1.5056036544719897</v>
      </c>
      <c r="S156" s="63">
        <f>365*P156*R156</f>
        <v>54954.533388227625</v>
      </c>
      <c r="T156" s="65">
        <f>S156*(1-$T$1)</f>
        <v>38468.173371759338</v>
      </c>
      <c r="U156" s="60">
        <f>J156</f>
        <v>224</v>
      </c>
      <c r="V156" s="63">
        <f>1.25*L156</f>
        <v>133.75</v>
      </c>
      <c r="W156" s="63">
        <f>J156-L156/8</f>
        <v>210.625</v>
      </c>
      <c r="X156">
        <f>1.25*L156/(2*$Q$2)</f>
        <v>-84.46503406108252</v>
      </c>
      <c r="Y156" s="63">
        <f>(($Q$2*W156)/V156-$R$2)*X156</f>
        <v>177.17086395746693</v>
      </c>
      <c r="Z156" s="63">
        <f>IF(Y156&gt;U156,Y156,U156)</f>
        <v>224</v>
      </c>
      <c r="AA156" s="64">
        <f>(Z156-W156)/V156</f>
        <v>0.1</v>
      </c>
      <c r="AB156" s="64">
        <f>$Q$2*AA156+$R$2</f>
        <v>0.77157210296437406</v>
      </c>
      <c r="AC156" s="63">
        <f>Z156*AB156*365</f>
        <v>63083.735138367229</v>
      </c>
      <c r="AD156" s="65">
        <f>AC156*(1-$T$1)</f>
        <v>44158.614596857056</v>
      </c>
      <c r="AE156" s="63">
        <f>G156</f>
        <v>23293.62</v>
      </c>
      <c r="AF156" s="63">
        <f>AD156-AE156</f>
        <v>20864.994596857057</v>
      </c>
      <c r="AH156" s="66">
        <f>AB156*(365/$AG$23)*$AG$21</f>
        <v>9387.4605860665506</v>
      </c>
      <c r="AI156" s="66">
        <f>-$AG$7-$AG$13-AH156</f>
        <v>-42987.460586066547</v>
      </c>
      <c r="AJ156" s="66">
        <f>-$AG$13-AH156-$AG$18</f>
        <v>-18987.460586066551</v>
      </c>
      <c r="AK156" s="67">
        <f>-($AG$7/$AG$9)-$AG$13-AH156</f>
        <v>-18987.460586066551</v>
      </c>
      <c r="AL156" s="67">
        <f>-($AG$7/$AG$9)-$AG$13-AH156-$AG$18</f>
        <v>-24987.460586066551</v>
      </c>
      <c r="AM156" s="68">
        <f>AF156+AI156</f>
        <v>-22122.46598920949</v>
      </c>
      <c r="AN156" s="68">
        <f>AF156+AJ156</f>
        <v>1877.5340107905067</v>
      </c>
      <c r="AO156" s="68">
        <f>AF156+AK156</f>
        <v>1877.5340107905067</v>
      </c>
      <c r="AP156" s="68">
        <f>AF156+AL156</f>
        <v>-4122.4659892094933</v>
      </c>
    </row>
    <row r="157" spans="1:42">
      <c r="A157" t="s">
        <v>291</v>
      </c>
      <c r="B157" t="s">
        <v>292</v>
      </c>
      <c r="C157" t="s">
        <v>98</v>
      </c>
      <c r="D157">
        <v>1</v>
      </c>
      <c r="E157">
        <v>760</v>
      </c>
      <c r="F157">
        <f>F$2</f>
        <v>0.97299999999999998</v>
      </c>
      <c r="G157" s="60">
        <f>E157*12*F157</f>
        <v>8873.76</v>
      </c>
      <c r="H157">
        <v>169</v>
      </c>
      <c r="I157" s="61">
        <v>0.29039999999999999</v>
      </c>
      <c r="J157">
        <v>100</v>
      </c>
      <c r="K157">
        <v>195</v>
      </c>
      <c r="L157">
        <f>K157-J157</f>
        <v>95</v>
      </c>
      <c r="M157">
        <f>H157-J157</f>
        <v>69</v>
      </c>
      <c r="N157" s="62">
        <f>0.8*M157/L157+0.1</f>
        <v>0.68105263157894735</v>
      </c>
      <c r="O157" s="61">
        <v>0.29039999999999999</v>
      </c>
      <c r="P157" s="63">
        <v>100</v>
      </c>
      <c r="Q157" s="64">
        <f>0.1+0.8*(P157-J157)/(K157-J157)</f>
        <v>0.1</v>
      </c>
      <c r="R157" s="64">
        <f>$Q$2*Q157+$R$2</f>
        <v>0.77157210296437406</v>
      </c>
      <c r="S157" s="63">
        <f>365*P157*R157</f>
        <v>28162.381758199652</v>
      </c>
      <c r="T157" s="65">
        <f>S157*(1-$T$1)</f>
        <v>19713.667230739757</v>
      </c>
      <c r="U157" s="60">
        <f>J157</f>
        <v>100</v>
      </c>
      <c r="V157" s="63">
        <f>1.25*L157</f>
        <v>118.75</v>
      </c>
      <c r="W157" s="63">
        <f>J157-L157/8</f>
        <v>88.125</v>
      </c>
      <c r="X157">
        <f>1.25*L157/(2*$Q$2)</f>
        <v>-74.992319960774211</v>
      </c>
      <c r="Y157" s="63">
        <f>(($Q$2*W157)/V157-$R$2)*X157</f>
        <v>107.86198201831176</v>
      </c>
      <c r="Z157" s="63">
        <f>IF(Y157&gt;U157,Y157,U157)</f>
        <v>107.86198201831176</v>
      </c>
      <c r="AA157" s="64">
        <f>(Z157-W157)/V157</f>
        <v>0.16620616436473065</v>
      </c>
      <c r="AB157" s="64">
        <f>$Q$2*AA157+$R$2</f>
        <v>0.7191535218188374</v>
      </c>
      <c r="AC157" s="63">
        <f>Z157*AB157*365</f>
        <v>28312.80334717259</v>
      </c>
      <c r="AD157" s="65">
        <f>AC157*(1-$T$1)</f>
        <v>19818.962343020812</v>
      </c>
      <c r="AE157" s="63">
        <f>G157</f>
        <v>8873.76</v>
      </c>
      <c r="AF157" s="63">
        <f>AD157-AE157</f>
        <v>10945.202343020812</v>
      </c>
      <c r="AH157" s="66">
        <f>AB157*(365/$AG$23)*$AG$21</f>
        <v>8749.701182129189</v>
      </c>
      <c r="AI157" s="66">
        <f>-$AG$7-$AG$13-AH157</f>
        <v>-42349.701182129189</v>
      </c>
      <c r="AJ157" s="66">
        <f>-$AG$13-AH157-$AG$18</f>
        <v>-18349.701182129189</v>
      </c>
      <c r="AK157" s="67">
        <f>-($AG$7/$AG$9)-$AG$13-AH157</f>
        <v>-18349.701182129189</v>
      </c>
      <c r="AL157" s="67">
        <f>-($AG$7/$AG$9)-$AG$13-AH157-$AG$18</f>
        <v>-24349.701182129189</v>
      </c>
      <c r="AM157" s="68">
        <f>AF157+AI157</f>
        <v>-31404.498839108375</v>
      </c>
      <c r="AN157" s="68">
        <f>AF157+AJ157</f>
        <v>-7404.4988391083771</v>
      </c>
      <c r="AO157" s="68">
        <f>AF157+AK157</f>
        <v>-7404.4988391083771</v>
      </c>
      <c r="AP157" s="68">
        <f>AF157+AL157</f>
        <v>-13404.498839108377</v>
      </c>
    </row>
    <row r="158" spans="1:42">
      <c r="A158" t="s">
        <v>293</v>
      </c>
      <c r="B158" t="s">
        <v>292</v>
      </c>
      <c r="C158" t="s">
        <v>98</v>
      </c>
      <c r="D158">
        <v>2</v>
      </c>
      <c r="E158">
        <v>965</v>
      </c>
      <c r="F158">
        <f>F$2</f>
        <v>0.97299999999999998</v>
      </c>
      <c r="G158" s="60">
        <f>E158*12*F158</f>
        <v>11267.34</v>
      </c>
      <c r="H158">
        <v>189</v>
      </c>
      <c r="I158" s="61">
        <v>0.53969999999999996</v>
      </c>
      <c r="J158">
        <v>135</v>
      </c>
      <c r="K158">
        <v>284</v>
      </c>
      <c r="L158">
        <f>K158-J158</f>
        <v>149</v>
      </c>
      <c r="M158">
        <f>H158-J158</f>
        <v>54</v>
      </c>
      <c r="N158" s="62">
        <f>0.8*M158/L158+0.1</f>
        <v>0.38993288590604025</v>
      </c>
      <c r="O158" s="61">
        <v>0.53969999999999996</v>
      </c>
      <c r="P158" s="63">
        <v>100</v>
      </c>
      <c r="Q158" s="64">
        <f>0.1+0.8*(P158-J158)/(K158-J158)</f>
        <v>-8.7919463087248323E-2</v>
      </c>
      <c r="R158" s="64">
        <f>$Q$2*Q158+$R$2</f>
        <v>0.92035691355086569</v>
      </c>
      <c r="S158" s="63">
        <f>365*P158*R158</f>
        <v>33593.027344606598</v>
      </c>
      <c r="T158" s="65">
        <f>S158*(1-$T$1)</f>
        <v>23515.119141224619</v>
      </c>
      <c r="U158" s="60">
        <f>J158</f>
        <v>135</v>
      </c>
      <c r="V158" s="63">
        <f>1.25*L158</f>
        <v>186.25</v>
      </c>
      <c r="W158" s="63">
        <f>J158-L158/8</f>
        <v>116.375</v>
      </c>
      <c r="X158">
        <f>1.25*L158/(2*$Q$2)</f>
        <v>-117.61953341216164</v>
      </c>
      <c r="Y158" s="63">
        <f>(($Q$2*W158)/V158-$R$2)*X158</f>
        <v>158.25195074451</v>
      </c>
      <c r="Z158" s="63">
        <f>IF(Y158&gt;U158,Y158,U158)</f>
        <v>158.25195074451</v>
      </c>
      <c r="AA158" s="64">
        <f>(Z158-W158)/V158</f>
        <v>0.22484268856112749</v>
      </c>
      <c r="AB158" s="64">
        <f>$Q$2*AA158+$R$2</f>
        <v>0.67272818618470676</v>
      </c>
      <c r="AC158" s="63">
        <f>Z158*AB158*365</f>
        <v>38858.099941359207</v>
      </c>
      <c r="AD158" s="65">
        <f>AC158*(1-$T$1)</f>
        <v>27200.669958951443</v>
      </c>
      <c r="AE158" s="63">
        <f>G158</f>
        <v>11267.34</v>
      </c>
      <c r="AF158" s="63">
        <f>AD158-AE158</f>
        <v>15933.329958951443</v>
      </c>
      <c r="AH158" s="66">
        <f>AB158*(365/$AG$23)*$AG$21</f>
        <v>8184.8595985805987</v>
      </c>
      <c r="AI158" s="66">
        <f>-$AG$7-$AG$13-AH158</f>
        <v>-41784.859598580602</v>
      </c>
      <c r="AJ158" s="66">
        <f>-$AG$13-AH158-$AG$18</f>
        <v>-17784.859598580599</v>
      </c>
      <c r="AK158" s="67">
        <f>-($AG$7/$AG$9)-$AG$13-AH158</f>
        <v>-17784.859598580599</v>
      </c>
      <c r="AL158" s="67">
        <f>-($AG$7/$AG$9)-$AG$13-AH158-$AG$18</f>
        <v>-23784.859598580599</v>
      </c>
      <c r="AM158" s="68">
        <f>AF158+AI158</f>
        <v>-25851.52963962916</v>
      </c>
      <c r="AN158" s="68">
        <f>AF158+AJ158</f>
        <v>-1851.529639629156</v>
      </c>
      <c r="AO158" s="68">
        <f>AF158+AK158</f>
        <v>-1851.529639629156</v>
      </c>
      <c r="AP158" s="68">
        <f>AF158+AL158</f>
        <v>-7851.529639629156</v>
      </c>
    </row>
    <row r="159" spans="1:42">
      <c r="A159" t="s">
        <v>294</v>
      </c>
      <c r="B159" t="s">
        <v>292</v>
      </c>
      <c r="C159" t="s">
        <v>107</v>
      </c>
      <c r="D159">
        <v>1</v>
      </c>
      <c r="E159">
        <v>1185</v>
      </c>
      <c r="F159">
        <f>F$2</f>
        <v>0.97299999999999998</v>
      </c>
      <c r="G159" s="60">
        <f>E159*12*F159</f>
        <v>13836.06</v>
      </c>
      <c r="H159">
        <v>289</v>
      </c>
      <c r="I159" s="61">
        <v>0.27950000000000003</v>
      </c>
      <c r="J159">
        <v>157</v>
      </c>
      <c r="K159">
        <v>320</v>
      </c>
      <c r="L159">
        <f>K159-J159</f>
        <v>163</v>
      </c>
      <c r="M159">
        <f>H159-J159</f>
        <v>132</v>
      </c>
      <c r="N159" s="62">
        <f>0.8*M159/L159+0.1</f>
        <v>0.74785276073619633</v>
      </c>
      <c r="O159" s="61">
        <v>0.27950000000000003</v>
      </c>
      <c r="P159" s="63">
        <v>100</v>
      </c>
      <c r="Q159" s="64">
        <f>0.1+0.8*(P159-J159)/(K159-J159)</f>
        <v>-0.17975460122699385</v>
      </c>
      <c r="R159" s="64">
        <f>$Q$2*Q159+$R$2</f>
        <v>0.99306717681381729</v>
      </c>
      <c r="S159" s="63">
        <f>365*P159*R159</f>
        <v>36246.951953704331</v>
      </c>
      <c r="T159" s="65">
        <f>S159*(1-$T$1)</f>
        <v>25372.866367593029</v>
      </c>
      <c r="U159" s="60">
        <f>J159</f>
        <v>157</v>
      </c>
      <c r="V159" s="63">
        <f>1.25*L159</f>
        <v>203.75</v>
      </c>
      <c r="W159" s="63">
        <f>J159-L159/8</f>
        <v>136.625</v>
      </c>
      <c r="X159">
        <f>1.25*L159/(2*$Q$2)</f>
        <v>-128.67103319585468</v>
      </c>
      <c r="Y159" s="63">
        <f>(($Q$2*W159)/V159-$R$2)*X159</f>
        <v>177.77897967352436</v>
      </c>
      <c r="Z159" s="63">
        <f>IF(Y159&gt;U159,Y159,U159)</f>
        <v>177.77897967352436</v>
      </c>
      <c r="AA159" s="64">
        <f>(Z159-W159)/V159</f>
        <v>0.20198272232404593</v>
      </c>
      <c r="AB159" s="64">
        <f>$Q$2*AA159+$R$2</f>
        <v>0.69082751283624488</v>
      </c>
      <c r="AC159" s="63">
        <f>Z159*AB159*365</f>
        <v>44827.33278228555</v>
      </c>
      <c r="AD159" s="65">
        <f>AC159*(1-$T$1)</f>
        <v>31379.132947599883</v>
      </c>
      <c r="AE159" s="63">
        <f>G159</f>
        <v>13836.06</v>
      </c>
      <c r="AF159" s="63">
        <f>AD159-AE159</f>
        <v>17543.072947599881</v>
      </c>
      <c r="AH159" s="66">
        <f>AB159*(365/$AG$23)*$AG$21</f>
        <v>8405.0680728409807</v>
      </c>
      <c r="AI159" s="66">
        <f>-$AG$7-$AG$13-AH159</f>
        <v>-42005.068072840979</v>
      </c>
      <c r="AJ159" s="66">
        <f>-$AG$13-AH159-$AG$18</f>
        <v>-18005.068072840979</v>
      </c>
      <c r="AK159" s="67">
        <f>-($AG$7/$AG$9)-$AG$13-AH159</f>
        <v>-18005.068072840979</v>
      </c>
      <c r="AL159" s="67">
        <f>-($AG$7/$AG$9)-$AG$13-AH159-$AG$18</f>
        <v>-24005.068072840979</v>
      </c>
      <c r="AM159" s="68">
        <f>AF159+AI159</f>
        <v>-24461.995125241097</v>
      </c>
      <c r="AN159" s="68">
        <f>AF159+AJ159</f>
        <v>-461.99512524109741</v>
      </c>
      <c r="AO159" s="68">
        <f>AF159+AK159</f>
        <v>-461.99512524109741</v>
      </c>
      <c r="AP159" s="68">
        <f>AF159+AL159</f>
        <v>-6461.9951252410974</v>
      </c>
    </row>
    <row r="160" spans="1:42">
      <c r="A160" t="s">
        <v>295</v>
      </c>
      <c r="B160" t="s">
        <v>255</v>
      </c>
      <c r="C160" t="s">
        <v>98</v>
      </c>
      <c r="D160">
        <v>1</v>
      </c>
      <c r="E160">
        <v>1700</v>
      </c>
      <c r="F160">
        <f>F$2</f>
        <v>0.97299999999999998</v>
      </c>
      <c r="G160" s="60">
        <f>E160*12*F160</f>
        <v>19849.2</v>
      </c>
      <c r="H160">
        <v>239</v>
      </c>
      <c r="I160" s="61">
        <v>0.67669999999999997</v>
      </c>
      <c r="J160">
        <v>98</v>
      </c>
      <c r="K160">
        <v>430</v>
      </c>
      <c r="L160">
        <f>K160-J160</f>
        <v>332</v>
      </c>
      <c r="M160">
        <f>H160-J160</f>
        <v>141</v>
      </c>
      <c r="N160" s="62">
        <f>0.8*M160/L160+0.1</f>
        <v>0.43975903614457834</v>
      </c>
      <c r="O160" s="61">
        <v>0.67669999999999997</v>
      </c>
      <c r="P160" s="63">
        <v>100</v>
      </c>
      <c r="Q160" s="64">
        <f>0.1+0.8*(P160-J160)/(K160-J160)</f>
        <v>0.10481927710843374</v>
      </c>
      <c r="R160" s="64">
        <f>$Q$2*Q160+$R$2</f>
        <v>0.76775645119546054</v>
      </c>
      <c r="S160" s="63">
        <f>365*P160*R160</f>
        <v>28023.11046863431</v>
      </c>
      <c r="T160" s="65">
        <f>S160*(1-$T$1)</f>
        <v>19616.177328044014</v>
      </c>
      <c r="U160" s="60">
        <f>J160</f>
        <v>98</v>
      </c>
      <c r="V160" s="63">
        <f>1.25*L160</f>
        <v>415</v>
      </c>
      <c r="W160" s="63">
        <f>J160-L160/8</f>
        <v>56.5</v>
      </c>
      <c r="X160">
        <f>1.25*L160/(2*$Q$2)</f>
        <v>-262.07842344186355</v>
      </c>
      <c r="Y160" s="63">
        <f>(($Q$2*W160)/V160-$R$2)*X160</f>
        <v>251.21240031662637</v>
      </c>
      <c r="Z160" s="63">
        <f>IF(Y160&gt;U160,Y160,U160)</f>
        <v>251.21240031662637</v>
      </c>
      <c r="AA160" s="64">
        <f>(Z160-W160)/V160</f>
        <v>0.46918650678705148</v>
      </c>
      <c r="AB160" s="64">
        <f>$Q$2*AA160+$R$2</f>
        <v>0.47926951982056698</v>
      </c>
      <c r="AC160" s="63">
        <f>Z160*AB160*365</f>
        <v>43945.432962543375</v>
      </c>
      <c r="AD160" s="65">
        <f>AC160*(1-$T$1)</f>
        <v>30761.80307378036</v>
      </c>
      <c r="AE160" s="63">
        <f>G160</f>
        <v>19849.2</v>
      </c>
      <c r="AF160" s="63">
        <f>AD160-AE160</f>
        <v>10912.603073780359</v>
      </c>
      <c r="AH160" s="66">
        <f>AB160*(365/$AG$23)*$AG$21</f>
        <v>5831.112491150232</v>
      </c>
      <c r="AI160" s="66">
        <f>-$AG$7-$AG$13-AH160</f>
        <v>-39431.112491150234</v>
      </c>
      <c r="AJ160" s="66">
        <f>-$AG$13-AH160-$AG$18</f>
        <v>-15431.112491150232</v>
      </c>
      <c r="AK160" s="67">
        <f>-($AG$7/$AG$9)-$AG$13-AH160</f>
        <v>-15431.112491150232</v>
      </c>
      <c r="AL160" s="67">
        <f>-($AG$7/$AG$9)-$AG$13-AH160-$AG$18</f>
        <v>-21431.112491150234</v>
      </c>
      <c r="AM160" s="68">
        <f>AF160+AI160</f>
        <v>-28518.509417369874</v>
      </c>
      <c r="AN160" s="68">
        <f>AF160+AJ160</f>
        <v>-4518.5094173698726</v>
      </c>
      <c r="AO160" s="68">
        <f>AF160+AK160</f>
        <v>-4518.5094173698726</v>
      </c>
      <c r="AP160" s="68">
        <f>AF160+AL160</f>
        <v>-10518.509417369874</v>
      </c>
    </row>
    <row r="161" spans="1:42">
      <c r="A161" t="s">
        <v>296</v>
      </c>
      <c r="B161" t="s">
        <v>292</v>
      </c>
      <c r="C161" t="s">
        <v>107</v>
      </c>
      <c r="D161">
        <v>2</v>
      </c>
      <c r="E161">
        <v>1340</v>
      </c>
      <c r="F161">
        <f>F$2</f>
        <v>0.97299999999999998</v>
      </c>
      <c r="G161" s="60">
        <f>E161*12*F161</f>
        <v>15645.84</v>
      </c>
      <c r="H161">
        <v>278</v>
      </c>
      <c r="I161" s="61">
        <v>0.38900000000000001</v>
      </c>
      <c r="J161">
        <v>135</v>
      </c>
      <c r="K161">
        <v>347</v>
      </c>
      <c r="L161">
        <f>K161-J161</f>
        <v>212</v>
      </c>
      <c r="M161">
        <f>H161-J161</f>
        <v>143</v>
      </c>
      <c r="N161" s="62">
        <f>0.8*M161/L161+0.1</f>
        <v>0.63962264150943393</v>
      </c>
      <c r="O161" s="61">
        <v>0.38900000000000001</v>
      </c>
      <c r="P161" s="63">
        <v>100</v>
      </c>
      <c r="Q161" s="64">
        <f>0.1+0.8*(P161-J161)/(K161-J161)</f>
        <v>-3.20754716981132E-2</v>
      </c>
      <c r="R161" s="64">
        <f>$Q$2*Q161+$R$2</f>
        <v>0.87614255946148367</v>
      </c>
      <c r="S161" s="63">
        <f>365*P161*R161</f>
        <v>31979.203420344154</v>
      </c>
      <c r="T161" s="65">
        <f>S161*(1-$T$1)</f>
        <v>22385.442394240908</v>
      </c>
      <c r="U161" s="60">
        <f>J161</f>
        <v>135</v>
      </c>
      <c r="V161" s="63">
        <f>1.25*L161</f>
        <v>265</v>
      </c>
      <c r="W161" s="63">
        <f>J161-L161/8</f>
        <v>108.5</v>
      </c>
      <c r="X161">
        <f>1.25*L161/(2*$Q$2)</f>
        <v>-167.35128243878032</v>
      </c>
      <c r="Y161" s="63">
        <f>(($Q$2*W161)/V161-$R$2)*X161</f>
        <v>196.62358092507466</v>
      </c>
      <c r="Z161" s="63">
        <f>IF(Y161&gt;U161,Y161,U161)</f>
        <v>196.62358092507466</v>
      </c>
      <c r="AA161" s="64">
        <f>(Z161-W161)/V161</f>
        <v>0.3325418148116025</v>
      </c>
      <c r="AB161" s="64">
        <f>$Q$2*AA161+$R$2</f>
        <v>0.58745764615518437</v>
      </c>
      <c r="AC161" s="63">
        <f>Z161*AB161*365</f>
        <v>42160.429500529433</v>
      </c>
      <c r="AD161" s="65">
        <f>AC161*(1-$T$1)</f>
        <v>29512.300650370602</v>
      </c>
      <c r="AE161" s="63">
        <f>G161</f>
        <v>15645.84</v>
      </c>
      <c r="AF161" s="63">
        <f>AD161-AE161</f>
        <v>13866.460650370602</v>
      </c>
      <c r="AH161" s="66">
        <f>AB161*(365/$AG$23)*$AG$21</f>
        <v>7147.4013615547437</v>
      </c>
      <c r="AI161" s="66">
        <f>-$AG$7-$AG$13-AH161</f>
        <v>-40747.401361554745</v>
      </c>
      <c r="AJ161" s="66">
        <f>-$AG$13-AH161-$AG$18</f>
        <v>-16747.401361554745</v>
      </c>
      <c r="AK161" s="67">
        <f>-($AG$7/$AG$9)-$AG$13-AH161</f>
        <v>-16747.401361554745</v>
      </c>
      <c r="AL161" s="67">
        <f>-($AG$7/$AG$9)-$AG$13-AH161-$AG$18</f>
        <v>-22747.401361554745</v>
      </c>
      <c r="AM161" s="68">
        <f>AF161+AI161</f>
        <v>-26880.940711184143</v>
      </c>
      <c r="AN161" s="68">
        <f>AF161+AJ161</f>
        <v>-2880.9407111841429</v>
      </c>
      <c r="AO161" s="68">
        <f>AF161+AK161</f>
        <v>-2880.9407111841429</v>
      </c>
      <c r="AP161" s="68">
        <f>AF161+AL161</f>
        <v>-8880.9407111841429</v>
      </c>
    </row>
    <row r="162" spans="1:42">
      <c r="A162" t="s">
        <v>297</v>
      </c>
      <c r="B162" t="s">
        <v>298</v>
      </c>
      <c r="C162" t="s">
        <v>98</v>
      </c>
      <c r="D162">
        <v>1</v>
      </c>
      <c r="E162">
        <v>1150</v>
      </c>
      <c r="F162">
        <f>F$2</f>
        <v>0.97299999999999998</v>
      </c>
      <c r="G162" s="60">
        <f>E162*12*F162</f>
        <v>13427.4</v>
      </c>
      <c r="H162">
        <v>183</v>
      </c>
      <c r="I162" s="61">
        <v>0.57530000000000003</v>
      </c>
      <c r="J162">
        <v>80</v>
      </c>
      <c r="K162">
        <v>267</v>
      </c>
      <c r="L162">
        <f>K162-J162</f>
        <v>187</v>
      </c>
      <c r="M162">
        <f>H162-J162</f>
        <v>103</v>
      </c>
      <c r="N162" s="62">
        <f>0.8*M162/L162+0.1</f>
        <v>0.54064171122994653</v>
      </c>
      <c r="O162" s="61">
        <v>0.57530000000000003</v>
      </c>
      <c r="P162" s="63">
        <v>100</v>
      </c>
      <c r="Q162" s="64">
        <f>0.1+0.8*(P162-J162)/(K162-J162)</f>
        <v>0.1855614973262032</v>
      </c>
      <c r="R162" s="64">
        <f>$Q$2*Q162+$R$2</f>
        <v>0.70382898064997446</v>
      </c>
      <c r="S162" s="63">
        <f>365*P162*R162</f>
        <v>25689.757793724068</v>
      </c>
      <c r="T162" s="65">
        <f>S162*(1-$T$1)</f>
        <v>17982.830455606847</v>
      </c>
      <c r="U162" s="60">
        <f>J162</f>
        <v>80</v>
      </c>
      <c r="V162" s="63">
        <f>1.25*L162</f>
        <v>233.75</v>
      </c>
      <c r="W162" s="63">
        <f>J162-L162/8</f>
        <v>56.625</v>
      </c>
      <c r="X162">
        <f>1.25*L162/(2*$Q$2)</f>
        <v>-147.61646139647132</v>
      </c>
      <c r="Y162" s="63">
        <f>(($Q$2*W162)/V162-$R$2)*X162</f>
        <v>153.8967435518347</v>
      </c>
      <c r="Z162" s="63">
        <f>IF(Y162&gt;U162,Y162,U162)</f>
        <v>153.8967435518347</v>
      </c>
      <c r="AA162" s="64">
        <f>(Z162-W162)/V162</f>
        <v>0.41613580129127148</v>
      </c>
      <c r="AB162" s="64">
        <f>$Q$2*AA162+$R$2</f>
        <v>0.52127229611098613</v>
      </c>
      <c r="AC162" s="63">
        <f>Z162*AB162*365</f>
        <v>29281.069739472994</v>
      </c>
      <c r="AD162" s="65">
        <f>AC162*(1-$T$1)</f>
        <v>20496.748817631094</v>
      </c>
      <c r="AE162" s="63">
        <f>G162</f>
        <v>13427.4</v>
      </c>
      <c r="AF162" s="63">
        <f>AD162-AE162</f>
        <v>7069.3488176310948</v>
      </c>
      <c r="AH162" s="66">
        <f>AB162*(365/$AG$23)*$AG$21</f>
        <v>6342.1462693503317</v>
      </c>
      <c r="AI162" s="66">
        <f>-$AG$7-$AG$13-AH162</f>
        <v>-39942.146269350334</v>
      </c>
      <c r="AJ162" s="66">
        <f>-$AG$13-AH162-$AG$18</f>
        <v>-15942.146269350331</v>
      </c>
      <c r="AK162" s="67">
        <f>-($AG$7/$AG$9)-$AG$13-AH162</f>
        <v>-15942.146269350331</v>
      </c>
      <c r="AL162" s="67">
        <f>-($AG$7/$AG$9)-$AG$13-AH162-$AG$18</f>
        <v>-21942.146269350331</v>
      </c>
      <c r="AM162" s="68">
        <f>AF162+AI162</f>
        <v>-32872.797451719242</v>
      </c>
      <c r="AN162" s="68">
        <f>AF162+AJ162</f>
        <v>-8872.7974517192361</v>
      </c>
      <c r="AO162" s="68">
        <f>AF162+AK162</f>
        <v>-8872.7974517192361</v>
      </c>
      <c r="AP162" s="68">
        <f>AF162+AL162</f>
        <v>-14872.797451719236</v>
      </c>
    </row>
    <row r="163" spans="1:42">
      <c r="A163" t="s">
        <v>299</v>
      </c>
      <c r="B163" t="s">
        <v>298</v>
      </c>
      <c r="C163" t="s">
        <v>98</v>
      </c>
      <c r="D163">
        <v>2</v>
      </c>
      <c r="E163">
        <v>2000</v>
      </c>
      <c r="F163">
        <f>F$2</f>
        <v>0.97299999999999998</v>
      </c>
      <c r="G163" s="60">
        <f>E163*12*F163</f>
        <v>23352</v>
      </c>
      <c r="H163">
        <v>237</v>
      </c>
      <c r="I163" s="61">
        <v>0.31230000000000002</v>
      </c>
      <c r="J163">
        <v>160</v>
      </c>
      <c r="K163">
        <v>323</v>
      </c>
      <c r="L163">
        <f>K163-J163</f>
        <v>163</v>
      </c>
      <c r="M163">
        <f>H163-J163</f>
        <v>77</v>
      </c>
      <c r="N163" s="62">
        <f>0.8*M163/L163+0.1</f>
        <v>0.47791411042944787</v>
      </c>
      <c r="O163" s="61">
        <v>0.31230000000000002</v>
      </c>
      <c r="P163" s="63">
        <v>100</v>
      </c>
      <c r="Q163" s="64">
        <f>0.1+0.8*(P163-J163)/(K163-J163)</f>
        <v>-0.19447852760736198</v>
      </c>
      <c r="R163" s="64">
        <f>$Q$2*Q163+$R$2</f>
        <v>1.0047248122795776</v>
      </c>
      <c r="S163" s="63">
        <f>365*P163*R163</f>
        <v>36672.455648204581</v>
      </c>
      <c r="T163" s="65">
        <f>S163*(1-$T$1)</f>
        <v>25670.718953743206</v>
      </c>
      <c r="U163" s="60">
        <f>J163</f>
        <v>160</v>
      </c>
      <c r="V163" s="63">
        <f>1.25*L163</f>
        <v>203.75</v>
      </c>
      <c r="W163" s="63">
        <f>J163-L163/8</f>
        <v>139.625</v>
      </c>
      <c r="X163">
        <f>1.25*L163/(2*$Q$2)</f>
        <v>-128.67103319585468</v>
      </c>
      <c r="Y163" s="63">
        <f>(($Q$2*W163)/V163-$R$2)*X163</f>
        <v>179.27897967352436</v>
      </c>
      <c r="Z163" s="63">
        <f>IF(Y163&gt;U163,Y163,U163)</f>
        <v>179.27897967352436</v>
      </c>
      <c r="AA163" s="64">
        <f>(Z163-W163)/V163</f>
        <v>0.1946207591338619</v>
      </c>
      <c r="AB163" s="64">
        <f>$Q$2*AA163+$R$2</f>
        <v>0.69665633056912502</v>
      </c>
      <c r="AC163" s="63">
        <f>Z163*AB163*365</f>
        <v>45586.980186549998</v>
      </c>
      <c r="AD163" s="65">
        <f>AC163*(1-$T$1)</f>
        <v>31910.886130584997</v>
      </c>
      <c r="AE163" s="63">
        <f>G163</f>
        <v>23352</v>
      </c>
      <c r="AF163" s="63">
        <f>AD163-AE163</f>
        <v>8558.8861305849969</v>
      </c>
      <c r="AH163" s="66">
        <f>AB163*(365/$AG$23)*$AG$21</f>
        <v>8475.9853552576878</v>
      </c>
      <c r="AI163" s="66">
        <f>-$AG$7-$AG$13-AH163</f>
        <v>-42075.98535525769</v>
      </c>
      <c r="AJ163" s="66">
        <f>-$AG$13-AH163-$AG$18</f>
        <v>-18075.98535525769</v>
      </c>
      <c r="AK163" s="67">
        <f>-($AG$7/$AG$9)-$AG$13-AH163</f>
        <v>-18075.98535525769</v>
      </c>
      <c r="AL163" s="67">
        <f>-($AG$7/$AG$9)-$AG$13-AH163-$AG$18</f>
        <v>-24075.98535525769</v>
      </c>
      <c r="AM163" s="68">
        <f>AF163+AI163</f>
        <v>-33517.099224672696</v>
      </c>
      <c r="AN163" s="68">
        <f>AF163+AJ163</f>
        <v>-9517.0992246726928</v>
      </c>
      <c r="AO163" s="68">
        <f>AF163+AK163</f>
        <v>-9517.0992246726928</v>
      </c>
      <c r="AP163" s="68">
        <f>AF163+AL163</f>
        <v>-15517.099224672693</v>
      </c>
    </row>
    <row r="164" spans="1:42">
      <c r="A164" t="s">
        <v>300</v>
      </c>
      <c r="B164" t="s">
        <v>298</v>
      </c>
      <c r="C164" t="s">
        <v>107</v>
      </c>
      <c r="D164">
        <v>1</v>
      </c>
      <c r="E164">
        <v>1600</v>
      </c>
      <c r="F164">
        <f>F$2</f>
        <v>0.97299999999999998</v>
      </c>
      <c r="G164" s="60">
        <f>E164*12*F164</f>
        <v>18681.599999999999</v>
      </c>
      <c r="H164">
        <v>297</v>
      </c>
      <c r="I164" s="61">
        <v>0.4521</v>
      </c>
      <c r="J164">
        <v>225</v>
      </c>
      <c r="K164">
        <v>406</v>
      </c>
      <c r="L164">
        <f>K164-J164</f>
        <v>181</v>
      </c>
      <c r="M164">
        <f>H164-J164</f>
        <v>72</v>
      </c>
      <c r="N164" s="62">
        <f>0.8*M164/L164+0.1</f>
        <v>0.41823204419889504</v>
      </c>
      <c r="O164" s="61">
        <v>0.4521</v>
      </c>
      <c r="P164" s="63">
        <v>100</v>
      </c>
      <c r="Q164" s="64">
        <f>0.1+0.8*(P164-J164)/(K164-J164)</f>
        <v>-0.45248618784530392</v>
      </c>
      <c r="R164" s="64">
        <f>$Q$2*Q164+$R$2</f>
        <v>1.2090017947044542</v>
      </c>
      <c r="S164" s="63">
        <f>365*P164*R164</f>
        <v>44128.565506712577</v>
      </c>
      <c r="T164" s="65">
        <f>S164*(1-$T$1)</f>
        <v>30889.995854698802</v>
      </c>
      <c r="U164" s="60">
        <f>J164</f>
        <v>225</v>
      </c>
      <c r="V164" s="63">
        <f>1.25*L164</f>
        <v>226.25</v>
      </c>
      <c r="W164" s="63">
        <f>J164-L164/8</f>
        <v>202.375</v>
      </c>
      <c r="X164">
        <f>1.25*L164/(2*$Q$2)</f>
        <v>-142.88010434631715</v>
      </c>
      <c r="Y164" s="63">
        <f>(($Q$2*W164)/V164-$R$2)*X164</f>
        <v>222.74230258225711</v>
      </c>
      <c r="Z164" s="63">
        <f>IF(Y164&gt;U164,Y164,U164)</f>
        <v>225</v>
      </c>
      <c r="AA164" s="64">
        <f>(Z164-W164)/V164</f>
        <v>0.1</v>
      </c>
      <c r="AB164" s="64">
        <f>$Q$2*AA164+$R$2</f>
        <v>0.77157210296437406</v>
      </c>
      <c r="AC164" s="63">
        <f>Z164*AB164*365</f>
        <v>63365.358955949217</v>
      </c>
      <c r="AD164" s="65">
        <f>AC164*(1-$T$1)</f>
        <v>44355.751269164452</v>
      </c>
      <c r="AE164" s="63">
        <f>G164</f>
        <v>18681.599999999999</v>
      </c>
      <c r="AF164" s="63">
        <f>AD164-AE164</f>
        <v>25674.151269164453</v>
      </c>
      <c r="AH164" s="66">
        <f>AB164*(365/$AG$23)*$AG$21</f>
        <v>9387.4605860665506</v>
      </c>
      <c r="AI164" s="66">
        <f>-$AG$7-$AG$13-AH164</f>
        <v>-42987.460586066547</v>
      </c>
      <c r="AJ164" s="66">
        <f>-$AG$13-AH164-$AG$18</f>
        <v>-18987.460586066551</v>
      </c>
      <c r="AK164" s="67">
        <f>-($AG$7/$AG$9)-$AG$13-AH164</f>
        <v>-18987.460586066551</v>
      </c>
      <c r="AL164" s="67">
        <f>-($AG$7/$AG$9)-$AG$13-AH164-$AG$18</f>
        <v>-24987.460586066551</v>
      </c>
      <c r="AM164" s="68">
        <f>AF164+AI164</f>
        <v>-17313.309316902094</v>
      </c>
      <c r="AN164" s="68">
        <f>AF164+AJ164</f>
        <v>6686.6906830979024</v>
      </c>
      <c r="AO164" s="68">
        <f>AF164+AK164</f>
        <v>6686.6906830979024</v>
      </c>
      <c r="AP164" s="68">
        <f>AF164+AL164</f>
        <v>686.69068309790237</v>
      </c>
    </row>
    <row r="165" spans="1:42">
      <c r="A165" t="s">
        <v>301</v>
      </c>
      <c r="B165" t="s">
        <v>298</v>
      </c>
      <c r="C165" t="s">
        <v>107</v>
      </c>
      <c r="D165">
        <v>2</v>
      </c>
      <c r="E165">
        <v>2150</v>
      </c>
      <c r="F165">
        <f>F$2</f>
        <v>0.97299999999999998</v>
      </c>
      <c r="G165" s="60">
        <f>E165*12*F165</f>
        <v>25103.399999999998</v>
      </c>
      <c r="H165">
        <v>360</v>
      </c>
      <c r="I165" s="61">
        <v>0.53149999999999997</v>
      </c>
      <c r="J165">
        <v>170</v>
      </c>
      <c r="K165">
        <v>447</v>
      </c>
      <c r="L165">
        <f>K165-J165</f>
        <v>277</v>
      </c>
      <c r="M165">
        <f>H165-J165</f>
        <v>190</v>
      </c>
      <c r="N165" s="62">
        <f>0.8*M165/L165+0.1</f>
        <v>0.64873646209386282</v>
      </c>
      <c r="O165" s="61">
        <v>0.53149999999999997</v>
      </c>
      <c r="P165" s="63">
        <v>100</v>
      </c>
      <c r="Q165" s="64">
        <f>0.1+0.8*(P165-J165)/(K165-J165)</f>
        <v>-0.10216606498194944</v>
      </c>
      <c r="R165" s="64">
        <f>$Q$2*Q165+$R$2</f>
        <v>0.93163662843287409</v>
      </c>
      <c r="S165" s="63">
        <f>365*P165*R165</f>
        <v>34004.736937799906</v>
      </c>
      <c r="T165" s="65">
        <f>S165*(1-$T$1)</f>
        <v>23803.315856459933</v>
      </c>
      <c r="U165" s="60">
        <f>J165</f>
        <v>170</v>
      </c>
      <c r="V165" s="63">
        <f>1.25*L165</f>
        <v>346.25</v>
      </c>
      <c r="W165" s="63">
        <f>J165-L165/8</f>
        <v>135.375</v>
      </c>
      <c r="X165">
        <f>1.25*L165/(2*$Q$2)</f>
        <v>-218.66181714878374</v>
      </c>
      <c r="Y165" s="63">
        <f>(($Q$2*W165)/V165-$R$2)*X165</f>
        <v>253.71335809549848</v>
      </c>
      <c r="Z165" s="63">
        <f>IF(Y165&gt;U165,Y165,U165)</f>
        <v>253.71335809549848</v>
      </c>
      <c r="AA165" s="64">
        <f>(Z165-W165)/V165</f>
        <v>0.34177143132273929</v>
      </c>
      <c r="AB165" s="64">
        <f>$Q$2*AA165+$R$2</f>
        <v>0.58015011812250861</v>
      </c>
      <c r="AC165" s="63">
        <f>Z165*AB165*365</f>
        <v>53725.019653952048</v>
      </c>
      <c r="AD165" s="65">
        <f>AC165*(1-$T$1)</f>
        <v>37607.513757766428</v>
      </c>
      <c r="AE165" s="63">
        <f>G165</f>
        <v>25103.399999999998</v>
      </c>
      <c r="AF165" s="63">
        <f>AD165-AE165</f>
        <v>12504.11375776643</v>
      </c>
      <c r="AH165" s="66">
        <f>AB165*(365/$AG$23)*$AG$21</f>
        <v>7058.4931038238556</v>
      </c>
      <c r="AI165" s="66">
        <f>-$AG$7-$AG$13-AH165</f>
        <v>-40658.493103823857</v>
      </c>
      <c r="AJ165" s="66">
        <f>-$AG$13-AH165-$AG$18</f>
        <v>-16658.493103823857</v>
      </c>
      <c r="AK165" s="67">
        <f>-($AG$7/$AG$9)-$AG$13-AH165</f>
        <v>-16658.493103823857</v>
      </c>
      <c r="AL165" s="67">
        <f>-($AG$7/$AG$9)-$AG$13-AH165-$AG$18</f>
        <v>-22658.493103823857</v>
      </c>
      <c r="AM165" s="68">
        <f>AF165+AI165</f>
        <v>-28154.379346057427</v>
      </c>
      <c r="AN165" s="68">
        <f>AF165+AJ165</f>
        <v>-4154.379346057427</v>
      </c>
      <c r="AO165" s="68">
        <f>AF165+AK165</f>
        <v>-4154.379346057427</v>
      </c>
      <c r="AP165" s="68">
        <f>AF165+AL165</f>
        <v>-10154.379346057427</v>
      </c>
    </row>
    <row r="166" spans="1:42">
      <c r="A166" t="s">
        <v>302</v>
      </c>
      <c r="B166" t="s">
        <v>303</v>
      </c>
      <c r="C166" t="s">
        <v>98</v>
      </c>
      <c r="D166">
        <v>1</v>
      </c>
      <c r="E166">
        <v>1600</v>
      </c>
      <c r="F166">
        <f>F$2</f>
        <v>0.97299999999999998</v>
      </c>
      <c r="G166" s="60">
        <f>E166*12*F166</f>
        <v>18681.599999999999</v>
      </c>
      <c r="H166">
        <v>209</v>
      </c>
      <c r="I166" s="61">
        <v>0.53969999999999996</v>
      </c>
      <c r="J166">
        <v>94</v>
      </c>
      <c r="K166">
        <v>411</v>
      </c>
      <c r="L166">
        <f>K166-J166</f>
        <v>317</v>
      </c>
      <c r="M166">
        <f>H166-J166</f>
        <v>115</v>
      </c>
      <c r="N166" s="62">
        <f>0.8*M166/L166+0.1</f>
        <v>0.39022082018927451</v>
      </c>
      <c r="O166" s="61">
        <v>0.53969999999999996</v>
      </c>
      <c r="P166" s="63">
        <v>100</v>
      </c>
      <c r="Q166" s="64">
        <f>0.1+0.8*(P166-J166)/(K166-J166)</f>
        <v>0.11514195583596215</v>
      </c>
      <c r="R166" s="64">
        <f>$Q$2*Q166+$R$2</f>
        <v>0.75958349362103705</v>
      </c>
      <c r="S166" s="63">
        <f>365*P166*R166</f>
        <v>27724.797517167852</v>
      </c>
      <c r="T166" s="65">
        <f>S166*(1-$T$1)</f>
        <v>19407.358262017497</v>
      </c>
      <c r="U166" s="60">
        <f>J166</f>
        <v>94</v>
      </c>
      <c r="V166" s="63">
        <f>1.25*L166</f>
        <v>396.25</v>
      </c>
      <c r="W166" s="63">
        <f>J166-L166/8</f>
        <v>54.375</v>
      </c>
      <c r="X166">
        <f>1.25*L166/(2*$Q$2)</f>
        <v>-250.23753081647814</v>
      </c>
      <c r="Y166" s="63">
        <f>(($Q$2*W166)/V166-$R$2)*X166</f>
        <v>240.07629789268239</v>
      </c>
      <c r="Z166" s="63">
        <f>IF(Y166&gt;U166,Y166,U166)</f>
        <v>240.07629789268239</v>
      </c>
      <c r="AA166" s="64">
        <f>(Z166-W166)/V166</f>
        <v>0.46864680856197449</v>
      </c>
      <c r="AB166" s="64">
        <f>$Q$2*AA166+$R$2</f>
        <v>0.4796968246716598</v>
      </c>
      <c r="AC166" s="63">
        <f>Z166*AB166*365</f>
        <v>42034.800788987239</v>
      </c>
      <c r="AD166" s="65">
        <f>AC166*(1-$T$1)</f>
        <v>29424.360552291066</v>
      </c>
      <c r="AE166" s="63">
        <f>G166</f>
        <v>18681.599999999999</v>
      </c>
      <c r="AF166" s="63">
        <f>AD166-AE166</f>
        <v>10742.760552291067</v>
      </c>
      <c r="AH166" s="66">
        <f>AB166*(365/$AG$23)*$AG$21</f>
        <v>5836.3113668385286</v>
      </c>
      <c r="AI166" s="66">
        <f>-$AG$7-$AG$13-AH166</f>
        <v>-39436.311366838527</v>
      </c>
      <c r="AJ166" s="66">
        <f>-$AG$13-AH166-$AG$18</f>
        <v>-15436.311366838529</v>
      </c>
      <c r="AK166" s="67">
        <f>-($AG$7/$AG$9)-$AG$13-AH166</f>
        <v>-15436.311366838529</v>
      </c>
      <c r="AL166" s="67">
        <f>-($AG$7/$AG$9)-$AG$13-AH166-$AG$18</f>
        <v>-21436.311366838527</v>
      </c>
      <c r="AM166" s="68">
        <f>AF166+AI166</f>
        <v>-28693.55081454746</v>
      </c>
      <c r="AN166" s="68">
        <f>AF166+AJ166</f>
        <v>-4693.5508145474614</v>
      </c>
      <c r="AO166" s="68">
        <f>AF166+AK166</f>
        <v>-4693.5508145474614</v>
      </c>
      <c r="AP166" s="68">
        <f>AF166+AL166</f>
        <v>-10693.55081454746</v>
      </c>
    </row>
    <row r="167" spans="1:42">
      <c r="A167" t="s">
        <v>304</v>
      </c>
      <c r="B167" t="s">
        <v>303</v>
      </c>
      <c r="C167" t="s">
        <v>98</v>
      </c>
      <c r="D167">
        <v>2</v>
      </c>
      <c r="E167">
        <v>2100</v>
      </c>
      <c r="F167">
        <f>F$2</f>
        <v>0.97299999999999998</v>
      </c>
      <c r="G167" s="60">
        <f>E167*12*F167</f>
        <v>24519.599999999999</v>
      </c>
      <c r="H167">
        <v>265</v>
      </c>
      <c r="I167" s="61">
        <v>0.4027</v>
      </c>
      <c r="J167">
        <v>130</v>
      </c>
      <c r="K167">
        <v>438</v>
      </c>
      <c r="L167">
        <f>K167-J167</f>
        <v>308</v>
      </c>
      <c r="M167">
        <f>H167-J167</f>
        <v>135</v>
      </c>
      <c r="N167" s="62">
        <f>0.8*M167/L167+0.1</f>
        <v>0.45064935064935063</v>
      </c>
      <c r="O167" s="61">
        <v>0.4027</v>
      </c>
      <c r="P167" s="63">
        <v>100</v>
      </c>
      <c r="Q167" s="64">
        <f>0.1+0.8*(P167-J167)/(K167-J167)</f>
        <v>2.2077922077922085E-2</v>
      </c>
      <c r="R167" s="64">
        <f>$Q$2*Q167+$R$2</f>
        <v>0.83326673221498793</v>
      </c>
      <c r="S167" s="63">
        <f>365*P167*R167</f>
        <v>30414.235725847058</v>
      </c>
      <c r="T167" s="65">
        <f>S167*(1-$T$1)</f>
        <v>21289.965008092939</v>
      </c>
      <c r="U167" s="60">
        <f>J167</f>
        <v>130</v>
      </c>
      <c r="V167" s="63">
        <f>1.25*L167</f>
        <v>385</v>
      </c>
      <c r="W167" s="63">
        <f>J167-L167/8</f>
        <v>91.5</v>
      </c>
      <c r="X167">
        <f>1.25*L167/(2*$Q$2)</f>
        <v>-243.1329952412469</v>
      </c>
      <c r="Y167" s="63">
        <f>(($Q$2*W167)/V167-$R$2)*X167</f>
        <v>252.594636438316</v>
      </c>
      <c r="Z167" s="63">
        <f>IF(Y167&gt;U167,Y167,U167)</f>
        <v>252.594636438316</v>
      </c>
      <c r="AA167" s="64">
        <f>(Z167-W167)/V167</f>
        <v>0.41842762711250908</v>
      </c>
      <c r="AB167" s="64">
        <f>$Q$2*AA167+$R$2</f>
        <v>0.51945774819185053</v>
      </c>
      <c r="AC167" s="63">
        <f>Z167*AB167*365</f>
        <v>47892.467983099181</v>
      </c>
      <c r="AD167" s="65">
        <f>AC167*(1-$T$1)</f>
        <v>33524.727588169422</v>
      </c>
      <c r="AE167" s="63">
        <f>G167</f>
        <v>24519.599999999999</v>
      </c>
      <c r="AF167" s="63">
        <f>AD167-AE167</f>
        <v>9005.1275881694237</v>
      </c>
      <c r="AH167" s="66">
        <f>AB167*(365/$AG$23)*$AG$21</f>
        <v>6320.0692696675151</v>
      </c>
      <c r="AI167" s="66">
        <f>-$AG$7-$AG$13-AH167</f>
        <v>-39920.069269667518</v>
      </c>
      <c r="AJ167" s="66">
        <f>-$AG$13-AH167-$AG$18</f>
        <v>-15920.069269667514</v>
      </c>
      <c r="AK167" s="67">
        <f>-($AG$7/$AG$9)-$AG$13-AH167</f>
        <v>-15920.069269667514</v>
      </c>
      <c r="AL167" s="67">
        <f>-($AG$7/$AG$9)-$AG$13-AH167-$AG$18</f>
        <v>-21920.069269667514</v>
      </c>
      <c r="AM167" s="68">
        <f>AF167+AI167</f>
        <v>-30914.941681498094</v>
      </c>
      <c r="AN167" s="68">
        <f>AF167+AJ167</f>
        <v>-6914.9416814980905</v>
      </c>
      <c r="AO167" s="68">
        <f>AF167+AK167</f>
        <v>-6914.9416814980905</v>
      </c>
      <c r="AP167" s="68">
        <f>AF167+AL167</f>
        <v>-12914.94168149809</v>
      </c>
    </row>
    <row r="168" spans="1:42">
      <c r="A168" t="s">
        <v>305</v>
      </c>
      <c r="B168" t="s">
        <v>303</v>
      </c>
      <c r="C168" t="s">
        <v>107</v>
      </c>
      <c r="D168">
        <v>1</v>
      </c>
      <c r="E168">
        <v>1200</v>
      </c>
      <c r="F168">
        <f>F$2</f>
        <v>0.97299999999999998</v>
      </c>
      <c r="G168" s="60">
        <f>E168*12*F168</f>
        <v>14011.199999999999</v>
      </c>
      <c r="H168">
        <v>435</v>
      </c>
      <c r="I168" s="61">
        <v>0.4</v>
      </c>
      <c r="J168">
        <v>162</v>
      </c>
      <c r="K168">
        <v>504</v>
      </c>
      <c r="L168">
        <f>K168-J168</f>
        <v>342</v>
      </c>
      <c r="M168">
        <f>H168-J168</f>
        <v>273</v>
      </c>
      <c r="N168" s="62">
        <f>0.8*M168/L168+0.1</f>
        <v>0.73859649122807014</v>
      </c>
      <c r="O168" s="61">
        <v>0.4</v>
      </c>
      <c r="P168" s="63">
        <v>100</v>
      </c>
      <c r="Q168" s="64">
        <f>0.1+0.8*(P168-J168)/(K168-J168)</f>
        <v>-4.5029239766081863E-2</v>
      </c>
      <c r="R168" s="64">
        <f>$Q$2*Q168+$R$2</f>
        <v>0.8863986760803314</v>
      </c>
      <c r="S168" s="63">
        <f>365*P168*R168</f>
        <v>32353.551676932097</v>
      </c>
      <c r="T168" s="65">
        <f>S168*(1-$T$1)</f>
        <v>22647.486173852467</v>
      </c>
      <c r="U168" s="60">
        <f>J168</f>
        <v>162</v>
      </c>
      <c r="V168" s="63">
        <f>1.25*L168</f>
        <v>427.5</v>
      </c>
      <c r="W168" s="63">
        <f>J168-L168/8</f>
        <v>119.25</v>
      </c>
      <c r="X168">
        <f>1.25*L168/(2*$Q$2)</f>
        <v>-269.97235185878714</v>
      </c>
      <c r="Y168" s="63">
        <f>(($Q$2*W168)/V168-$R$2)*X168</f>
        <v>289.30313526592226</v>
      </c>
      <c r="Z168" s="63">
        <f>IF(Y168&gt;U168,Y168,U168)</f>
        <v>289.30313526592226</v>
      </c>
      <c r="AA168" s="64">
        <f>(Z168-W168)/V168</f>
        <v>0.39778511173315151</v>
      </c>
      <c r="AB168" s="64">
        <f>$Q$2*AA168+$R$2</f>
        <v>0.5358014131336799</v>
      </c>
      <c r="AC168" s="63">
        <f>Z168*AB168*365</f>
        <v>56578.295475312138</v>
      </c>
      <c r="AD168" s="65">
        <f>AC168*(1-$T$1)</f>
        <v>39604.806832718496</v>
      </c>
      <c r="AE168" s="63">
        <f>G168</f>
        <v>14011.199999999999</v>
      </c>
      <c r="AF168" s="63">
        <f>AD168-AE168</f>
        <v>25593.606832718498</v>
      </c>
      <c r="AH168" s="66">
        <f>AB168*(365/$AG$23)*$AG$21</f>
        <v>6518.91719312644</v>
      </c>
      <c r="AI168" s="66">
        <f>-$AG$7-$AG$13-AH168</f>
        <v>-40118.917193126443</v>
      </c>
      <c r="AJ168" s="66">
        <f>-$AG$13-AH168-$AG$18</f>
        <v>-16118.917193126439</v>
      </c>
      <c r="AK168" s="67">
        <f>-($AG$7/$AG$9)-$AG$13-AH168</f>
        <v>-16118.917193126439</v>
      </c>
      <c r="AL168" s="67">
        <f>-($AG$7/$AG$9)-$AG$13-AH168-$AG$18</f>
        <v>-22118.917193126439</v>
      </c>
      <c r="AM168" s="68">
        <f>AF168+AI168</f>
        <v>-14525.310360407944</v>
      </c>
      <c r="AN168" s="68">
        <f>AF168+AJ168</f>
        <v>9474.6896395920594</v>
      </c>
      <c r="AO168" s="68">
        <f>AF168+AK168</f>
        <v>9474.6896395920594</v>
      </c>
      <c r="AP168" s="68">
        <f>AF168+AL168</f>
        <v>3474.6896395920594</v>
      </c>
    </row>
    <row r="169" spans="1:42">
      <c r="A169" t="s">
        <v>306</v>
      </c>
      <c r="B169" t="s">
        <v>303</v>
      </c>
      <c r="C169" t="s">
        <v>107</v>
      </c>
      <c r="D169">
        <v>2</v>
      </c>
      <c r="E169">
        <v>2100</v>
      </c>
      <c r="F169">
        <f>F$2</f>
        <v>0.97299999999999998</v>
      </c>
      <c r="G169" s="60">
        <f>E169*12*F169</f>
        <v>24519.599999999999</v>
      </c>
      <c r="H169">
        <v>487</v>
      </c>
      <c r="I169" s="61">
        <v>0.43009999999999998</v>
      </c>
      <c r="J169">
        <v>175</v>
      </c>
      <c r="K169">
        <v>755</v>
      </c>
      <c r="L169">
        <f>K169-J169</f>
        <v>580</v>
      </c>
      <c r="M169">
        <f>H169-J169</f>
        <v>312</v>
      </c>
      <c r="N169" s="62">
        <f>0.8*M169/L169+0.1</f>
        <v>0.53034482758620693</v>
      </c>
      <c r="O169" s="61">
        <v>0.43009999999999998</v>
      </c>
      <c r="P169" s="63">
        <v>100</v>
      </c>
      <c r="Q169" s="64">
        <f>0.1+0.8*(P169-J169)/(K169-J169)</f>
        <v>-3.4482758620689585E-3</v>
      </c>
      <c r="R169" s="64">
        <f>$Q$2*Q169+$R$2</f>
        <v>0.8534770417970855</v>
      </c>
      <c r="S169" s="63">
        <f>365*P169*R169</f>
        <v>31151.912025593621</v>
      </c>
      <c r="T169" s="65">
        <f>S169*(1-$T$1)</f>
        <v>21806.338417915533</v>
      </c>
      <c r="U169" s="60">
        <f>J169</f>
        <v>175</v>
      </c>
      <c r="V169" s="63">
        <f>1.25*L169</f>
        <v>725</v>
      </c>
      <c r="W169" s="63">
        <f>J169-L169/8</f>
        <v>102.5</v>
      </c>
      <c r="X169">
        <f>1.25*L169/(2*$Q$2)</f>
        <v>-457.84784818156885</v>
      </c>
      <c r="Y169" s="63">
        <f>(($Q$2*W169)/V169-$R$2)*X169</f>
        <v>440.7626270591665</v>
      </c>
      <c r="Z169" s="63">
        <f>IF(Y169&gt;U169,Y169,U169)</f>
        <v>440.7626270591665</v>
      </c>
      <c r="AA169" s="64">
        <f>(Z169-W169)/V169</f>
        <v>0.46656914077126416</v>
      </c>
      <c r="AB169" s="64">
        <f>$Q$2*AA169+$R$2</f>
        <v>0.48134181345368382</v>
      </c>
      <c r="AC169" s="63">
        <f>Z169*AB169*365</f>
        <v>77437.481007113165</v>
      </c>
      <c r="AD169" s="65">
        <f>AC169*(1-$T$1)</f>
        <v>54206.236704979216</v>
      </c>
      <c r="AE169" s="63">
        <f>G169</f>
        <v>24519.599999999999</v>
      </c>
      <c r="AF169" s="63">
        <f>AD169-AE169</f>
        <v>29686.636704979217</v>
      </c>
      <c r="AH169" s="66">
        <f>AB169*(365/$AG$23)*$AG$21</f>
        <v>5856.3253970198193</v>
      </c>
      <c r="AI169" s="66">
        <f>-$AG$7-$AG$13-AH169</f>
        <v>-39456.32539701982</v>
      </c>
      <c r="AJ169" s="66">
        <f>-$AG$13-AH169-$AG$18</f>
        <v>-15456.32539701982</v>
      </c>
      <c r="AK169" s="67">
        <f>-($AG$7/$AG$9)-$AG$13-AH169</f>
        <v>-15456.32539701982</v>
      </c>
      <c r="AL169" s="67">
        <f>-($AG$7/$AG$9)-$AG$13-AH169-$AG$18</f>
        <v>-21456.32539701982</v>
      </c>
      <c r="AM169" s="68">
        <f>AF169+AI169</f>
        <v>-9769.6886920406032</v>
      </c>
      <c r="AN169" s="68">
        <f>AF169+AJ169</f>
        <v>14230.311307959397</v>
      </c>
      <c r="AO169" s="68">
        <f>AF169+AK169</f>
        <v>14230.311307959397</v>
      </c>
      <c r="AP169" s="68">
        <f>AF169+AL169</f>
        <v>8230.3113079593968</v>
      </c>
    </row>
    <row r="170" spans="1:42">
      <c r="A170" t="s">
        <v>307</v>
      </c>
      <c r="B170" t="s">
        <v>308</v>
      </c>
      <c r="C170" t="s">
        <v>98</v>
      </c>
      <c r="D170">
        <v>2</v>
      </c>
      <c r="E170">
        <v>2500</v>
      </c>
      <c r="F170">
        <f>F$2</f>
        <v>0.97299999999999998</v>
      </c>
      <c r="G170" s="60">
        <f>E170*12*F170</f>
        <v>29190</v>
      </c>
      <c r="H170">
        <v>231</v>
      </c>
      <c r="I170" s="61">
        <v>0.4027</v>
      </c>
      <c r="J170">
        <v>129</v>
      </c>
      <c r="K170">
        <v>431</v>
      </c>
      <c r="L170">
        <f>K170-J170</f>
        <v>302</v>
      </c>
      <c r="M170">
        <f>H170-J170</f>
        <v>102</v>
      </c>
      <c r="N170" s="62">
        <f>0.8*M170/L170+0.1</f>
        <v>0.37019867549668872</v>
      </c>
      <c r="O170" s="61">
        <v>0.4027</v>
      </c>
      <c r="P170" s="63">
        <v>100</v>
      </c>
      <c r="Q170" s="64">
        <f>0.1+0.8*(P170-J170)/(K170-J170)</f>
        <v>2.3178807947019861E-2</v>
      </c>
      <c r="R170" s="64">
        <f>$Q$2*Q170+$R$2</f>
        <v>0.83239510831387553</v>
      </c>
      <c r="S170" s="63">
        <f>365*P170*R170</f>
        <v>30382.421453456456</v>
      </c>
      <c r="T170" s="65">
        <f>S170*(1-$T$1)</f>
        <v>21267.695017419519</v>
      </c>
      <c r="U170" s="60">
        <f>J170</f>
        <v>129</v>
      </c>
      <c r="V170" s="63">
        <f>1.25*L170</f>
        <v>377.5</v>
      </c>
      <c r="W170" s="63">
        <f>J170-L170/8</f>
        <v>91.25</v>
      </c>
      <c r="X170">
        <f>1.25*L170/(2*$Q$2)</f>
        <v>-238.39663819109273</v>
      </c>
      <c r="Y170" s="63">
        <f>(($Q$2*W170)/V170-$R$2)*X170</f>
        <v>248.44019546873844</v>
      </c>
      <c r="Z170" s="63">
        <f>IF(Y170&gt;U170,Y170,U170)</f>
        <v>248.44019546873844</v>
      </c>
      <c r="AA170" s="64">
        <f>(Z170-W170)/V170</f>
        <v>0.41639786879136009</v>
      </c>
      <c r="AB170" s="64">
        <f>$Q$2*AA170+$R$2</f>
        <v>0.52106480475952643</v>
      </c>
      <c r="AC170" s="63">
        <f>Z170*AB170*365</f>
        <v>47250.506310412922</v>
      </c>
      <c r="AD170" s="65">
        <f>AC170*(1-$T$1)</f>
        <v>33075.354417289047</v>
      </c>
      <c r="AE170" s="63">
        <f>G170</f>
        <v>29190</v>
      </c>
      <c r="AF170" s="63">
        <f>AD170-AE170</f>
        <v>3885.354417289047</v>
      </c>
      <c r="AH170" s="66">
        <f>AB170*(365/$AG$23)*$AG$21</f>
        <v>6339.6217912409047</v>
      </c>
      <c r="AI170" s="66">
        <f>-$AG$7-$AG$13-AH170</f>
        <v>-39939.621791240905</v>
      </c>
      <c r="AJ170" s="66">
        <f>-$AG$13-AH170-$AG$18</f>
        <v>-15939.621791240905</v>
      </c>
      <c r="AK170" s="67">
        <f>-($AG$7/$AG$9)-$AG$13-AH170</f>
        <v>-15939.621791240905</v>
      </c>
      <c r="AL170" s="67">
        <f>-($AG$7/$AG$9)-$AG$13-AH170-$AG$18</f>
        <v>-21939.621791240905</v>
      </c>
      <c r="AM170" s="68">
        <f>AF170+AI170</f>
        <v>-36054.267373951858</v>
      </c>
      <c r="AN170" s="68">
        <f>AF170+AJ170</f>
        <v>-12054.267373951858</v>
      </c>
      <c r="AO170" s="68">
        <f>AF170+AK170</f>
        <v>-12054.267373951858</v>
      </c>
      <c r="AP170" s="68">
        <f>AF170+AL170</f>
        <v>-18054.267373951858</v>
      </c>
    </row>
    <row r="171" spans="1:42">
      <c r="A171" t="s">
        <v>309</v>
      </c>
      <c r="B171" t="s">
        <v>97</v>
      </c>
      <c r="C171" t="s">
        <v>107</v>
      </c>
      <c r="D171">
        <v>2</v>
      </c>
      <c r="E171">
        <v>2000</v>
      </c>
      <c r="F171">
        <f>F$2</f>
        <v>0.97299999999999998</v>
      </c>
      <c r="G171" s="60">
        <f>E171*12*F171</f>
        <v>23352</v>
      </c>
      <c r="H171">
        <v>199</v>
      </c>
      <c r="I171" s="61">
        <v>0.31230000000000002</v>
      </c>
      <c r="J171">
        <v>97</v>
      </c>
      <c r="K171">
        <v>240</v>
      </c>
      <c r="L171">
        <f>K171-J171</f>
        <v>143</v>
      </c>
      <c r="M171">
        <f>H171-J171</f>
        <v>102</v>
      </c>
      <c r="N171" s="62">
        <f>0.8*M171/L171+0.1</f>
        <v>0.67062937062937067</v>
      </c>
      <c r="O171" s="61">
        <v>0.31230000000000002</v>
      </c>
      <c r="P171" s="63">
        <v>100</v>
      </c>
      <c r="Q171" s="64">
        <f>0.1+0.8*(P171-J171)/(K171-J171)</f>
        <v>0.11678321678321679</v>
      </c>
      <c r="R171" s="64">
        <f>$Q$2*Q171+$R$2</f>
        <v>0.75828402897193414</v>
      </c>
      <c r="S171" s="63">
        <f>365*P171*R171</f>
        <v>27677.367057475596</v>
      </c>
      <c r="T171" s="65">
        <f>S171*(1-$T$1)</f>
        <v>19374.156940232915</v>
      </c>
      <c r="U171" s="60">
        <f>J171</f>
        <v>97</v>
      </c>
      <c r="V171" s="63">
        <f>1.25*L171</f>
        <v>178.75</v>
      </c>
      <c r="W171" s="63">
        <f>J171-L171/8</f>
        <v>79.125</v>
      </c>
      <c r="X171">
        <f>1.25*L171/(2*$Q$2)</f>
        <v>-112.88317636200749</v>
      </c>
      <c r="Y171" s="63">
        <f>(($Q$2*W171)/V171-$R$2)*X171</f>
        <v>135.59750977493243</v>
      </c>
      <c r="Z171" s="63">
        <f>IF(Y171&gt;U171,Y171,U171)</f>
        <v>135.59750977493243</v>
      </c>
      <c r="AA171" s="64">
        <f>(Z171-W171)/V171</f>
        <v>0.31593012461500664</v>
      </c>
      <c r="AB171" s="64">
        <f>$Q$2*AA171+$R$2</f>
        <v>0.60060991435996569</v>
      </c>
      <c r="AC171" s="63">
        <f>Z171*AB171*365</f>
        <v>29726.041187671577</v>
      </c>
      <c r="AD171" s="65">
        <f>AC171*(1-$T$1)</f>
        <v>20808.228831370103</v>
      </c>
      <c r="AE171" s="63">
        <f>G171</f>
        <v>23352</v>
      </c>
      <c r="AF171" s="63">
        <f>AD171-AE171</f>
        <v>-2543.7711686298971</v>
      </c>
      <c r="AH171" s="66">
        <f>AB171*(365/$AG$23)*$AG$21</f>
        <v>7307.4206247129168</v>
      </c>
      <c r="AI171" s="66">
        <f>-$AG$7-$AG$13-AH171</f>
        <v>-40907.420624712919</v>
      </c>
      <c r="AJ171" s="66">
        <f>-$AG$13-AH171-$AG$18</f>
        <v>-16907.420624712919</v>
      </c>
      <c r="AK171" s="67">
        <f>-($AG$7/$AG$9)-$AG$13-AH171</f>
        <v>-16907.420624712919</v>
      </c>
      <c r="AL171" s="67">
        <f>-($AG$7/$AG$9)-$AG$13-AH171-$AG$18</f>
        <v>-22907.420624712919</v>
      </c>
      <c r="AM171" s="68">
        <f>AF171+AI171</f>
        <v>-43451.191793342819</v>
      </c>
      <c r="AN171" s="68">
        <f>AF171+AJ171</f>
        <v>-19451.191793342816</v>
      </c>
      <c r="AO171" s="68">
        <f>AF171+AK171</f>
        <v>-19451.191793342816</v>
      </c>
      <c r="AP171" s="68">
        <f>AF171+AL171</f>
        <v>-25451.191793342816</v>
      </c>
    </row>
    <row r="172" spans="1:42">
      <c r="A172" t="s">
        <v>310</v>
      </c>
      <c r="B172" t="s">
        <v>308</v>
      </c>
      <c r="C172" t="s">
        <v>107</v>
      </c>
      <c r="D172">
        <v>1</v>
      </c>
      <c r="E172">
        <v>2500</v>
      </c>
      <c r="F172">
        <f>F$2</f>
        <v>0.97299999999999998</v>
      </c>
      <c r="G172" s="60">
        <f>E172*12*F172</f>
        <v>29190</v>
      </c>
      <c r="H172">
        <v>490</v>
      </c>
      <c r="I172" s="61">
        <v>0.2301</v>
      </c>
      <c r="J172">
        <v>186</v>
      </c>
      <c r="K172">
        <v>578</v>
      </c>
      <c r="L172">
        <f>K172-J172</f>
        <v>392</v>
      </c>
      <c r="M172">
        <f>H172-J172</f>
        <v>304</v>
      </c>
      <c r="N172" s="62">
        <f>0.8*M172/L172+0.1</f>
        <v>0.7204081632653061</v>
      </c>
      <c r="O172" s="61">
        <v>0.2301</v>
      </c>
      <c r="P172" s="63">
        <v>100</v>
      </c>
      <c r="Q172" s="64">
        <f>0.1+0.8*(P172-J172)/(K172-J172)</f>
        <v>-7.5510204081632643E-2</v>
      </c>
      <c r="R172" s="64">
        <f>$Q$2*Q172+$R$2</f>
        <v>0.91053191075266149</v>
      </c>
      <c r="S172" s="63">
        <f>365*P172*R172</f>
        <v>33234.414742472145</v>
      </c>
      <c r="T172" s="65">
        <f>S172*(1-$T$1)</f>
        <v>23264.090319730502</v>
      </c>
      <c r="U172" s="60">
        <f>J172</f>
        <v>186</v>
      </c>
      <c r="V172" s="63">
        <f>1.25*L172</f>
        <v>490</v>
      </c>
      <c r="W172" s="63">
        <f>J172-L172/8</f>
        <v>137</v>
      </c>
      <c r="X172">
        <f>1.25*L172/(2*$Q$2)</f>
        <v>-309.44199394340512</v>
      </c>
      <c r="Y172" s="63">
        <f>(($Q$2*W172)/V172-$R$2)*X172</f>
        <v>331.75681001240213</v>
      </c>
      <c r="Z172" s="63">
        <f>IF(Y172&gt;U172,Y172,U172)</f>
        <v>331.75681001240213</v>
      </c>
      <c r="AA172" s="64">
        <f>(Z172-W172)/V172</f>
        <v>0.39746287757633086</v>
      </c>
      <c r="AB172" s="64">
        <f>$Q$2*AA172+$R$2</f>
        <v>0.53605654129975377</v>
      </c>
      <c r="AC172" s="63">
        <f>Z172*AB172*365</f>
        <v>64911.74896667905</v>
      </c>
      <c r="AD172" s="65">
        <f>AC172*(1-$T$1)</f>
        <v>45438.224276675333</v>
      </c>
      <c r="AE172" s="63">
        <f>G172</f>
        <v>29190</v>
      </c>
      <c r="AF172" s="63">
        <f>AD172-AE172</f>
        <v>16248.224276675333</v>
      </c>
      <c r="AH172" s="66">
        <f>AB172*(365/$AG$23)*$AG$21</f>
        <v>6522.0212524803374</v>
      </c>
      <c r="AI172" s="66">
        <f>-$AG$7-$AG$13-AH172</f>
        <v>-40122.021252480336</v>
      </c>
      <c r="AJ172" s="66">
        <f>-$AG$13-AH172-$AG$18</f>
        <v>-16122.021252480337</v>
      </c>
      <c r="AK172" s="67">
        <f>-($AG$7/$AG$9)-$AG$13-AH172</f>
        <v>-16122.021252480337</v>
      </c>
      <c r="AL172" s="67">
        <f>-($AG$7/$AG$9)-$AG$13-AH172-$AG$18</f>
        <v>-22122.021252480336</v>
      </c>
      <c r="AM172" s="68">
        <f>AF172+AI172</f>
        <v>-23873.796975805002</v>
      </c>
      <c r="AN172" s="68">
        <f>AF172+AJ172</f>
        <v>126.20302419499603</v>
      </c>
      <c r="AO172" s="68">
        <f>AF172+AK172</f>
        <v>126.20302419499603</v>
      </c>
      <c r="AP172" s="68">
        <f>AF172+AL172</f>
        <v>-5873.7969758050021</v>
      </c>
    </row>
    <row r="173" spans="1:42">
      <c r="A173" t="s">
        <v>311</v>
      </c>
      <c r="B173" t="s">
        <v>308</v>
      </c>
      <c r="C173" t="s">
        <v>107</v>
      </c>
      <c r="D173">
        <v>2</v>
      </c>
      <c r="E173">
        <v>2750</v>
      </c>
      <c r="F173">
        <f>F$2</f>
        <v>0.97299999999999998</v>
      </c>
      <c r="G173" s="60">
        <f>E173*12*F173</f>
        <v>32109</v>
      </c>
      <c r="H173">
        <v>538</v>
      </c>
      <c r="I173" s="61">
        <v>0.6</v>
      </c>
      <c r="J173">
        <v>188</v>
      </c>
      <c r="K173">
        <v>810</v>
      </c>
      <c r="L173">
        <f>K173-J173</f>
        <v>622</v>
      </c>
      <c r="M173">
        <f>H173-J173</f>
        <v>350</v>
      </c>
      <c r="N173" s="62">
        <f>0.8*M173/L173+0.1</f>
        <v>0.5501607717041801</v>
      </c>
      <c r="O173" s="61">
        <v>0.6</v>
      </c>
      <c r="P173" s="63">
        <v>100</v>
      </c>
      <c r="Q173" s="64">
        <f>0.1+0.8*(P173-J173)/(K173-J173)</f>
        <v>-1.3183279742765272E-2</v>
      </c>
      <c r="R173" s="64">
        <f>$Q$2*Q173+$R$2</f>
        <v>0.86118470913847045</v>
      </c>
      <c r="S173" s="63">
        <f>365*P173*R173</f>
        <v>31433.241883554172</v>
      </c>
      <c r="T173" s="65">
        <f>S173*(1-$T$1)</f>
        <v>22003.269318487921</v>
      </c>
      <c r="U173" s="60">
        <f>J173</f>
        <v>188</v>
      </c>
      <c r="V173" s="63">
        <f>1.25*L173</f>
        <v>777.5</v>
      </c>
      <c r="W173" s="63">
        <f>J173-L173/8</f>
        <v>110.25</v>
      </c>
      <c r="X173">
        <f>1.25*L173/(2*$Q$2)</f>
        <v>-491.00234753264795</v>
      </c>
      <c r="Y173" s="63">
        <f>(($Q$2*W173)/V173-$R$2)*X173</f>
        <v>472.8437138462096</v>
      </c>
      <c r="Z173" s="63">
        <f>IF(Y173&gt;U173,Y173,U173)</f>
        <v>472.8437138462096</v>
      </c>
      <c r="AA173" s="64">
        <f>(Z173-W173)/V173</f>
        <v>0.46635847440026956</v>
      </c>
      <c r="AB173" s="64">
        <f>$Q$2*AA173+$R$2</f>
        <v>0.48150860807724455</v>
      </c>
      <c r="AC173" s="63">
        <f>Z173*AB173*365</f>
        <v>83102.5862496396</v>
      </c>
      <c r="AD173" s="65">
        <f>AC173*(1-$T$1)</f>
        <v>58171.810374747714</v>
      </c>
      <c r="AE173" s="63">
        <f>G173</f>
        <v>32109</v>
      </c>
      <c r="AF173" s="63">
        <f>AD173-AE173</f>
        <v>26062.810374747714</v>
      </c>
      <c r="AH173" s="66">
        <f>AB173*(365/$AG$23)*$AG$21</f>
        <v>5858.3547316064751</v>
      </c>
      <c r="AI173" s="66">
        <f>-$AG$7-$AG$13-AH173</f>
        <v>-39458.354731606472</v>
      </c>
      <c r="AJ173" s="66">
        <f>-$AG$13-AH173-$AG$18</f>
        <v>-15458.354731606476</v>
      </c>
      <c r="AK173" s="67">
        <f>-($AG$7/$AG$9)-$AG$13-AH173</f>
        <v>-15458.354731606476</v>
      </c>
      <c r="AL173" s="67">
        <f>-($AG$7/$AG$9)-$AG$13-AH173-$AG$18</f>
        <v>-21458.354731606476</v>
      </c>
      <c r="AM173" s="68">
        <f>AF173+AI173</f>
        <v>-13395.544356858758</v>
      </c>
      <c r="AN173" s="68">
        <f>AF173+AJ173</f>
        <v>10604.455643141238</v>
      </c>
      <c r="AO173" s="68">
        <f>AF173+AK173</f>
        <v>10604.455643141238</v>
      </c>
      <c r="AP173" s="68">
        <f>AF173+AL173</f>
        <v>4604.4556431412384</v>
      </c>
    </row>
    <row r="174" spans="1:42">
      <c r="A174" t="s">
        <v>312</v>
      </c>
      <c r="B174" t="s">
        <v>308</v>
      </c>
      <c r="C174" t="s">
        <v>98</v>
      </c>
      <c r="D174">
        <v>1</v>
      </c>
      <c r="E174">
        <v>1800</v>
      </c>
      <c r="F174">
        <f>F$2</f>
        <v>0.97299999999999998</v>
      </c>
      <c r="G174" s="60">
        <f>E174*12*F174</f>
        <v>21016.799999999999</v>
      </c>
      <c r="H174">
        <v>288</v>
      </c>
      <c r="I174" s="61">
        <v>0.2329</v>
      </c>
      <c r="J174">
        <v>89</v>
      </c>
      <c r="K174">
        <v>390</v>
      </c>
      <c r="L174">
        <f>K174-J174</f>
        <v>301</v>
      </c>
      <c r="M174">
        <f>H174-J174</f>
        <v>199</v>
      </c>
      <c r="N174" s="62">
        <f>0.8*M174/L174+0.1</f>
        <v>0.62890365448504992</v>
      </c>
      <c r="O174" s="61">
        <v>0.2329</v>
      </c>
      <c r="P174" s="63">
        <v>100</v>
      </c>
      <c r="Q174" s="64">
        <f>0.1+0.8*(P174-J174)/(K174-J174)</f>
        <v>0.12923588039867109</v>
      </c>
      <c r="R174" s="64">
        <f>$Q$2*Q174+$R$2</f>
        <v>0.74842466067189561</v>
      </c>
      <c r="S174" s="63">
        <f>365*P174*R174</f>
        <v>27317.500114524191</v>
      </c>
      <c r="T174" s="65">
        <f>S174*(1-$T$1)</f>
        <v>19122.250080166934</v>
      </c>
      <c r="U174" s="60">
        <f>J174</f>
        <v>89</v>
      </c>
      <c r="V174" s="63">
        <f>1.25*L174</f>
        <v>376.25</v>
      </c>
      <c r="W174" s="63">
        <f>J174-L174/8</f>
        <v>51.375</v>
      </c>
      <c r="X174">
        <f>1.25*L174/(2*$Q$2)</f>
        <v>-237.60724534940039</v>
      </c>
      <c r="Y174" s="63">
        <f>(($Q$2*W174)/V174-$R$2)*X174</f>
        <v>227.83112197380885</v>
      </c>
      <c r="Z174" s="63">
        <f>IF(Y174&gt;U174,Y174,U174)</f>
        <v>227.83112197380885</v>
      </c>
      <c r="AA174" s="64">
        <f>(Z174-W174)/V174</f>
        <v>0.46898637069450855</v>
      </c>
      <c r="AB174" s="64">
        <f>$Q$2*AA174+$R$2</f>
        <v>0.47942797711994045</v>
      </c>
      <c r="AC174" s="63">
        <f>Z174*AB174*365</f>
        <v>39868.444085497402</v>
      </c>
      <c r="AD174" s="65">
        <f>AC174*(1-$T$1)</f>
        <v>27907.91085984818</v>
      </c>
      <c r="AE174" s="63">
        <f>G174</f>
        <v>21016.799999999999</v>
      </c>
      <c r="AF174" s="63">
        <f>AD174-AE174</f>
        <v>6891.1108598481806</v>
      </c>
      <c r="AH174" s="66">
        <f>AB174*(365/$AG$23)*$AG$21</f>
        <v>5833.0403882926094</v>
      </c>
      <c r="AI174" s="66">
        <f>-$AG$7-$AG$13-AH174</f>
        <v>-39433.040388292611</v>
      </c>
      <c r="AJ174" s="66">
        <f>-$AG$13-AH174-$AG$18</f>
        <v>-15433.040388292609</v>
      </c>
      <c r="AK174" s="67">
        <f>-($AG$7/$AG$9)-$AG$13-AH174</f>
        <v>-15433.040388292609</v>
      </c>
      <c r="AL174" s="67">
        <f>-($AG$7/$AG$9)-$AG$13-AH174-$AG$18</f>
        <v>-21433.040388292611</v>
      </c>
      <c r="AM174" s="68">
        <f>AF174+AI174</f>
        <v>-32541.929528444431</v>
      </c>
      <c r="AN174" s="68">
        <f>AF174+AJ174</f>
        <v>-8541.9295284444288</v>
      </c>
      <c r="AO174" s="68">
        <f>AF174+AK174</f>
        <v>-8541.9295284444288</v>
      </c>
      <c r="AP174" s="68">
        <f>AF174+AL174</f>
        <v>-14541.929528444431</v>
      </c>
    </row>
    <row r="175" spans="1:42">
      <c r="A175" t="s">
        <v>313</v>
      </c>
      <c r="B175" t="s">
        <v>314</v>
      </c>
      <c r="C175" t="s">
        <v>98</v>
      </c>
      <c r="D175">
        <v>2</v>
      </c>
      <c r="E175">
        <v>3000</v>
      </c>
      <c r="F175">
        <f>F$2</f>
        <v>0.97299999999999998</v>
      </c>
      <c r="G175" s="60">
        <f>E175*12*F175</f>
        <v>35028</v>
      </c>
      <c r="H175">
        <v>415</v>
      </c>
      <c r="I175" s="61">
        <v>0.40820000000000001</v>
      </c>
      <c r="J175">
        <v>193</v>
      </c>
      <c r="K175">
        <v>648</v>
      </c>
      <c r="L175">
        <f>K175-J175</f>
        <v>455</v>
      </c>
      <c r="M175">
        <f>H175-J175</f>
        <v>222</v>
      </c>
      <c r="N175" s="62">
        <f>0.8*M175/L175+0.1</f>
        <v>0.49032967032967034</v>
      </c>
      <c r="O175" s="61">
        <v>0.40820000000000001</v>
      </c>
      <c r="P175" s="63">
        <v>100</v>
      </c>
      <c r="Q175" s="64">
        <f>0.1+0.8*(P175-J175)/(K175-J175)</f>
        <v>-6.3516483516483535E-2</v>
      </c>
      <c r="R175" s="64">
        <f>$Q$2*Q175+$R$2</f>
        <v>0.90103590957643154</v>
      </c>
      <c r="S175" s="63">
        <f>365*P175*R175</f>
        <v>32887.810699539754</v>
      </c>
      <c r="T175" s="65">
        <f>S175*(1-$T$1)</f>
        <v>23021.467489677827</v>
      </c>
      <c r="U175" s="60">
        <f>J175</f>
        <v>193</v>
      </c>
      <c r="V175" s="63">
        <f>1.25*L175</f>
        <v>568.75</v>
      </c>
      <c r="W175" s="63">
        <f>J175-L175/8</f>
        <v>136.125</v>
      </c>
      <c r="X175">
        <f>1.25*L175/(2*$Q$2)</f>
        <v>-359.1737429700238</v>
      </c>
      <c r="Y175" s="63">
        <f>(($Q$2*W175)/V175-$R$2)*X175</f>
        <v>373.62844019296682</v>
      </c>
      <c r="Z175" s="63">
        <f>IF(Y175&gt;U175,Y175,U175)</f>
        <v>373.62844019296682</v>
      </c>
      <c r="AA175" s="64">
        <f>(Z175-W175)/V175</f>
        <v>0.41758846627334828</v>
      </c>
      <c r="AB175" s="64">
        <f>$Q$2*AA175+$R$2</f>
        <v>0.52012215189147248</v>
      </c>
      <c r="AC175" s="63">
        <f>Z175*AB175*365</f>
        <v>70931.336337172383</v>
      </c>
      <c r="AD175" s="65">
        <f>AC175*(1-$T$1)</f>
        <v>49651.935436020663</v>
      </c>
      <c r="AE175" s="63">
        <f>G175</f>
        <v>35028</v>
      </c>
      <c r="AF175" s="63">
        <f>AD175-AE175</f>
        <v>14623.935436020663</v>
      </c>
      <c r="AH175" s="66">
        <f>AB175*(365/$AG$23)*$AG$21</f>
        <v>6328.1528480129155</v>
      </c>
      <c r="AI175" s="66">
        <f>-$AG$7-$AG$13-AH175</f>
        <v>-39928.152848012913</v>
      </c>
      <c r="AJ175" s="66">
        <f>-$AG$13-AH175-$AG$18</f>
        <v>-15928.152848012916</v>
      </c>
      <c r="AK175" s="67">
        <f>-($AG$7/$AG$9)-$AG$13-AH175</f>
        <v>-15928.152848012916</v>
      </c>
      <c r="AL175" s="67">
        <f>-($AG$7/$AG$9)-$AG$13-AH175-$AG$18</f>
        <v>-21928.152848012916</v>
      </c>
      <c r="AM175" s="68">
        <f>AF175+AI175</f>
        <v>-25304.217411992249</v>
      </c>
      <c r="AN175" s="68">
        <f>AF175+AJ175</f>
        <v>-1304.2174119922529</v>
      </c>
      <c r="AO175" s="68">
        <f>AF175+AK175</f>
        <v>-1304.2174119922529</v>
      </c>
      <c r="AP175" s="68">
        <f>AF175+AL175</f>
        <v>-7304.2174119922529</v>
      </c>
    </row>
    <row r="176" spans="1:42">
      <c r="A176" t="s">
        <v>315</v>
      </c>
      <c r="B176" t="s">
        <v>314</v>
      </c>
      <c r="C176" t="s">
        <v>107</v>
      </c>
      <c r="D176">
        <v>1</v>
      </c>
      <c r="E176">
        <v>2000</v>
      </c>
      <c r="F176">
        <f>F$2</f>
        <v>0.97299999999999998</v>
      </c>
      <c r="G176" s="60">
        <f>E176*12*F176</f>
        <v>23352</v>
      </c>
      <c r="H176">
        <v>387</v>
      </c>
      <c r="I176" s="61">
        <v>0.32600000000000001</v>
      </c>
      <c r="J176">
        <v>193</v>
      </c>
      <c r="K176">
        <v>600</v>
      </c>
      <c r="L176">
        <f>K176-J176</f>
        <v>407</v>
      </c>
      <c r="M176">
        <f>H176-J176</f>
        <v>194</v>
      </c>
      <c r="N176" s="62">
        <f>0.8*M176/L176+0.1</f>
        <v>0.48132678132678142</v>
      </c>
      <c r="O176" s="61">
        <v>0.32600000000000001</v>
      </c>
      <c r="P176" s="63">
        <v>100</v>
      </c>
      <c r="Q176" s="64">
        <f>0.1+0.8*(P176-J176)/(K176-J176)</f>
        <v>-8.2800982800982803E-2</v>
      </c>
      <c r="R176" s="64">
        <f>$Q$2*Q176+$R$2</f>
        <v>0.91630436834148987</v>
      </c>
      <c r="S176" s="63">
        <f>365*P176*R176</f>
        <v>33445.109444464382</v>
      </c>
      <c r="T176" s="65">
        <f>S176*(1-$T$1)</f>
        <v>23411.576611125067</v>
      </c>
      <c r="U176" s="60">
        <f>J176</f>
        <v>193</v>
      </c>
      <c r="V176" s="63">
        <f>1.25*L176</f>
        <v>508.75</v>
      </c>
      <c r="W176" s="63">
        <f>J176-L176/8</f>
        <v>142.125</v>
      </c>
      <c r="X176">
        <f>1.25*L176/(2*$Q$2)</f>
        <v>-321.28288656879056</v>
      </c>
      <c r="Y176" s="63">
        <f>(($Q$2*W176)/V176-$R$2)*X176</f>
        <v>344.39291243634619</v>
      </c>
      <c r="Z176" s="63">
        <f>IF(Y176&gt;U176,Y176,U176)</f>
        <v>344.39291243634619</v>
      </c>
      <c r="AA176" s="64">
        <f>(Z176-W176)/V176</f>
        <v>0.39757820626308832</v>
      </c>
      <c r="AB176" s="64">
        <f>$Q$2*AA176+$R$2</f>
        <v>0.53596523007242003</v>
      </c>
      <c r="AC176" s="63">
        <f>Z176*AB176*365</f>
        <v>67372.658690478842</v>
      </c>
      <c r="AD176" s="65">
        <f>AC176*(1-$T$1)</f>
        <v>47160.861083335185</v>
      </c>
      <c r="AE176" s="63">
        <f>G176</f>
        <v>23352</v>
      </c>
      <c r="AF176" s="63">
        <f>AD176-AE176</f>
        <v>23808.861083335185</v>
      </c>
      <c r="AH176" s="66">
        <f>AB176*(365/$AG$23)*$AG$21</f>
        <v>6520.9102992144435</v>
      </c>
      <c r="AI176" s="66">
        <f>-$AG$7-$AG$13-AH176</f>
        <v>-40120.910299214447</v>
      </c>
      <c r="AJ176" s="66">
        <f>-$AG$13-AH176-$AG$18</f>
        <v>-16120.910299214444</v>
      </c>
      <c r="AK176" s="67">
        <f>-($AG$7/$AG$9)-$AG$13-AH176</f>
        <v>-16120.910299214444</v>
      </c>
      <c r="AL176" s="67">
        <f>-($AG$7/$AG$9)-$AG$13-AH176-$AG$18</f>
        <v>-22120.910299214444</v>
      </c>
      <c r="AM176" s="68">
        <f>AF176+AI176</f>
        <v>-16312.049215879262</v>
      </c>
      <c r="AN176" s="68">
        <f>AF176+AJ176</f>
        <v>7687.9507841207414</v>
      </c>
      <c r="AO176" s="68">
        <f>AF176+AK176</f>
        <v>7687.9507841207414</v>
      </c>
      <c r="AP176" s="68">
        <f>AF176+AL176</f>
        <v>1687.9507841207414</v>
      </c>
    </row>
    <row r="177" spans="1:42">
      <c r="A177" t="s">
        <v>316</v>
      </c>
      <c r="B177" t="s">
        <v>314</v>
      </c>
      <c r="C177" t="s">
        <v>107</v>
      </c>
      <c r="D177">
        <v>2</v>
      </c>
      <c r="E177">
        <v>2950</v>
      </c>
      <c r="F177">
        <f>F$2</f>
        <v>0.97299999999999998</v>
      </c>
      <c r="G177" s="60">
        <f>E177*12*F177</f>
        <v>34444.199999999997</v>
      </c>
      <c r="H177">
        <v>575</v>
      </c>
      <c r="I177" s="61">
        <v>0.38900000000000001</v>
      </c>
      <c r="J177">
        <v>192</v>
      </c>
      <c r="K177">
        <v>829</v>
      </c>
      <c r="L177">
        <f>K177-J177</f>
        <v>637</v>
      </c>
      <c r="M177">
        <f>H177-J177</f>
        <v>383</v>
      </c>
      <c r="N177" s="62">
        <f>0.8*M177/L177+0.1</f>
        <v>0.58100470957613826</v>
      </c>
      <c r="O177" s="61">
        <v>0.38900000000000001</v>
      </c>
      <c r="P177" s="63">
        <v>100</v>
      </c>
      <c r="Q177" s="64">
        <f>0.1+0.8*(P177-J177)/(K177-J177)</f>
        <v>-1.554160125588698E-2</v>
      </c>
      <c r="R177" s="64">
        <f>$Q$2*Q177+$R$2</f>
        <v>0.8630519048715114</v>
      </c>
      <c r="S177" s="63">
        <f>365*P177*R177</f>
        <v>31501.394527810167</v>
      </c>
      <c r="T177" s="65">
        <f>S177*(1-$T$1)</f>
        <v>22050.976169467114</v>
      </c>
      <c r="U177" s="60">
        <f>J177</f>
        <v>192</v>
      </c>
      <c r="V177" s="63">
        <f>1.25*L177</f>
        <v>796.25</v>
      </c>
      <c r="W177" s="63">
        <f>J177-L177/8</f>
        <v>112.375</v>
      </c>
      <c r="X177">
        <f>1.25*L177/(2*$Q$2)</f>
        <v>-502.84324015803332</v>
      </c>
      <c r="Y177" s="63">
        <f>(($Q$2*W177)/V177-$R$2)*X177</f>
        <v>483.97981627015355</v>
      </c>
      <c r="Z177" s="63">
        <f>IF(Y177&gt;U177,Y177,U177)</f>
        <v>483.97981627015355</v>
      </c>
      <c r="AA177" s="64">
        <f>(Z177-W177)/V177</f>
        <v>0.46669364680710024</v>
      </c>
      <c r="AB177" s="64">
        <f>$Q$2*AA177+$R$2</f>
        <v>0.48124323608093905</v>
      </c>
      <c r="AC177" s="63">
        <f>Z177*AB177*365</f>
        <v>85012.884737593064</v>
      </c>
      <c r="AD177" s="65">
        <f>AC177*(1-$T$1)</f>
        <v>59509.019316315142</v>
      </c>
      <c r="AE177" s="63">
        <f>G177</f>
        <v>34444.199999999997</v>
      </c>
      <c r="AF177" s="63">
        <f>AD177-AE177</f>
        <v>25064.819316315145</v>
      </c>
      <c r="AH177" s="66">
        <f>AB177*(365/$AG$23)*$AG$21</f>
        <v>5855.1260389847585</v>
      </c>
      <c r="AI177" s="66">
        <f>-$AG$7-$AG$13-AH177</f>
        <v>-39455.126038984759</v>
      </c>
      <c r="AJ177" s="66">
        <f>-$AG$13-AH177-$AG$18</f>
        <v>-15455.126038984759</v>
      </c>
      <c r="AK177" s="67">
        <f>-($AG$7/$AG$9)-$AG$13-AH177</f>
        <v>-15455.126038984759</v>
      </c>
      <c r="AL177" s="67">
        <f>-($AG$7/$AG$9)-$AG$13-AH177-$AG$18</f>
        <v>-21455.126038984759</v>
      </c>
      <c r="AM177" s="68">
        <f>AF177+AI177</f>
        <v>-14390.306722669615</v>
      </c>
      <c r="AN177" s="68">
        <f>AF177+AJ177</f>
        <v>9609.6932773303852</v>
      </c>
      <c r="AO177" s="68">
        <f>AF177+AK177</f>
        <v>9609.6932773303852</v>
      </c>
      <c r="AP177" s="68">
        <f>AF177+AL177</f>
        <v>3609.6932773303852</v>
      </c>
    </row>
    <row r="178" spans="1:42">
      <c r="A178" t="s">
        <v>317</v>
      </c>
      <c r="B178" t="s">
        <v>314</v>
      </c>
      <c r="C178" t="s">
        <v>98</v>
      </c>
      <c r="D178">
        <v>1</v>
      </c>
      <c r="E178">
        <v>1700</v>
      </c>
      <c r="F178">
        <f>F$2</f>
        <v>0.97299999999999998</v>
      </c>
      <c r="G178" s="60">
        <f>E178*12*F178</f>
        <v>19849.2</v>
      </c>
      <c r="H178">
        <v>228</v>
      </c>
      <c r="I178" s="61">
        <v>0.52049999999999996</v>
      </c>
      <c r="J178">
        <v>98</v>
      </c>
      <c r="K178">
        <v>432</v>
      </c>
      <c r="L178">
        <f>K178-J178</f>
        <v>334</v>
      </c>
      <c r="M178">
        <f>H178-J178</f>
        <v>130</v>
      </c>
      <c r="N178" s="62">
        <f>0.8*M178/L178+0.1</f>
        <v>0.41137724550898203</v>
      </c>
      <c r="O178" s="61">
        <v>0.52049999999999996</v>
      </c>
      <c r="P178" s="63">
        <v>100</v>
      </c>
      <c r="Q178" s="64">
        <f>0.1+0.8*(P178-J178)/(K178-J178)</f>
        <v>0.10479041916167665</v>
      </c>
      <c r="R178" s="64">
        <f>$Q$2*Q178+$R$2</f>
        <v>0.76777929940964562</v>
      </c>
      <c r="S178" s="63">
        <f>365*P178*R178</f>
        <v>28023.944428452065</v>
      </c>
      <c r="T178" s="65">
        <f>S178*(1-$T$1)</f>
        <v>19616.761099916443</v>
      </c>
      <c r="U178" s="60">
        <f>J178</f>
        <v>98</v>
      </c>
      <c r="V178" s="63">
        <f>1.25*L178</f>
        <v>417.5</v>
      </c>
      <c r="W178" s="63">
        <f>J178-L178/8</f>
        <v>56.25</v>
      </c>
      <c r="X178">
        <f>1.25*L178/(2*$Q$2)</f>
        <v>-263.65720912524824</v>
      </c>
      <c r="Y178" s="63">
        <f>(($Q$2*W178)/V178-$R$2)*X178</f>
        <v>252.43054730648552</v>
      </c>
      <c r="Z178" s="63">
        <f>IF(Y178&gt;U178,Y178,U178)</f>
        <v>252.43054730648552</v>
      </c>
      <c r="AA178" s="64">
        <f>(Z178-W178)/V178</f>
        <v>0.46989352648260008</v>
      </c>
      <c r="AB178" s="64">
        <f>$Q$2*AA178+$R$2</f>
        <v>0.47870973857303184</v>
      </c>
      <c r="AC178" s="63">
        <f>Z178*AB178*365</f>
        <v>44106.950877761286</v>
      </c>
      <c r="AD178" s="65">
        <f>AC178*(1-$T$1)</f>
        <v>30874.8656144329</v>
      </c>
      <c r="AE178" s="63">
        <f>G178</f>
        <v>19849.2</v>
      </c>
      <c r="AF178" s="63">
        <f>AD178-AE178</f>
        <v>11025.665614432899</v>
      </c>
      <c r="AH178" s="66">
        <f>AB178*(365/$AG$23)*$AG$21</f>
        <v>5824.3018193052212</v>
      </c>
      <c r="AI178" s="66">
        <f>-$AG$7-$AG$13-AH178</f>
        <v>-39424.301819305219</v>
      </c>
      <c r="AJ178" s="66">
        <f>-$AG$13-AH178-$AG$18</f>
        <v>-15424.301819305221</v>
      </c>
      <c r="AK178" s="67">
        <f>-($AG$7/$AG$9)-$AG$13-AH178</f>
        <v>-15424.301819305221</v>
      </c>
      <c r="AL178" s="67">
        <f>-($AG$7/$AG$9)-$AG$13-AH178-$AG$18</f>
        <v>-21424.301819305219</v>
      </c>
      <c r="AM178" s="68">
        <f>AF178+AI178</f>
        <v>-28398.63620487232</v>
      </c>
      <c r="AN178" s="68">
        <f>AF178+AJ178</f>
        <v>-4398.6362048723222</v>
      </c>
      <c r="AO178" s="68">
        <f>AF178+AK178</f>
        <v>-4398.6362048723222</v>
      </c>
      <c r="AP178" s="68">
        <f>AF178+AL178</f>
        <v>-10398.63620487232</v>
      </c>
    </row>
    <row r="179" spans="1:42">
      <c r="A179" t="s">
        <v>318</v>
      </c>
      <c r="B179" t="s">
        <v>319</v>
      </c>
      <c r="C179" t="s">
        <v>98</v>
      </c>
      <c r="D179">
        <v>1</v>
      </c>
      <c r="E179">
        <v>3000</v>
      </c>
      <c r="F179">
        <f>F$2</f>
        <v>0.97299999999999998</v>
      </c>
      <c r="G179" s="60">
        <f>E179*12*F179</f>
        <v>35028</v>
      </c>
      <c r="H179">
        <v>337</v>
      </c>
      <c r="I179" s="61">
        <v>0.46300000000000002</v>
      </c>
      <c r="J179">
        <v>87</v>
      </c>
      <c r="K179">
        <v>512</v>
      </c>
      <c r="L179">
        <f>K179-J179</f>
        <v>425</v>
      </c>
      <c r="M179">
        <f>H179-J179</f>
        <v>250</v>
      </c>
      <c r="N179" s="62">
        <f>0.8*M179/L179+0.1</f>
        <v>0.57058823529411762</v>
      </c>
      <c r="O179" s="61">
        <v>0.46300000000000002</v>
      </c>
      <c r="P179" s="63">
        <v>100</v>
      </c>
      <c r="Q179" s="64">
        <f>0.1+0.8*(P179-J179)/(K179-J179)</f>
        <v>0.12447058823529412</v>
      </c>
      <c r="R179" s="64">
        <f>$Q$2*Q179+$R$2</f>
        <v>0.75219756998245568</v>
      </c>
      <c r="S179" s="63">
        <f>365*P179*R179</f>
        <v>27455.211304359633</v>
      </c>
      <c r="T179" s="65">
        <f>S179*(1-$T$1)</f>
        <v>19218.64791305174</v>
      </c>
      <c r="U179" s="60">
        <f>J179</f>
        <v>87</v>
      </c>
      <c r="V179" s="63">
        <f>1.25*L179</f>
        <v>531.25</v>
      </c>
      <c r="W179" s="63">
        <f>J179-L179/8</f>
        <v>33.875</v>
      </c>
      <c r="X179">
        <f>1.25*L179/(2*$Q$2)</f>
        <v>-335.49195771925304</v>
      </c>
      <c r="Y179" s="63">
        <f>(($Q$2*W179)/V179-$R$2)*X179</f>
        <v>302.35623534507891</v>
      </c>
      <c r="Z179" s="63">
        <f>IF(Y179&gt;U179,Y179,U179)</f>
        <v>302.35623534507891</v>
      </c>
      <c r="AA179" s="64">
        <f>(Z179-W179)/V179</f>
        <v>0.50537644300250151</v>
      </c>
      <c r="AB179" s="64">
        <f>$Q$2*AA179+$R$2</f>
        <v>0.45061621953706738</v>
      </c>
      <c r="AC179" s="63">
        <f>Z179*AB179*365</f>
        <v>49730.017659500641</v>
      </c>
      <c r="AD179" s="65">
        <f>AC179*(1-$T$1)</f>
        <v>34811.01236165045</v>
      </c>
      <c r="AE179" s="63">
        <f>G179</f>
        <v>35028</v>
      </c>
      <c r="AF179" s="63">
        <f>AD179-AE179</f>
        <v>-216.98763834955025</v>
      </c>
      <c r="AH179" s="66">
        <f>AB179*(365/$AG$23)*$AG$21</f>
        <v>5482.4973377009865</v>
      </c>
      <c r="AI179" s="66">
        <f>-$AG$7-$AG$13-AH179</f>
        <v>-39082.497337700988</v>
      </c>
      <c r="AJ179" s="66">
        <f>-$AG$13-AH179-$AG$18</f>
        <v>-15082.497337700986</v>
      </c>
      <c r="AK179" s="67">
        <f>-($AG$7/$AG$9)-$AG$13-AH179</f>
        <v>-15082.497337700986</v>
      </c>
      <c r="AL179" s="67">
        <f>-($AG$7/$AG$9)-$AG$13-AH179-$AG$18</f>
        <v>-21082.497337700988</v>
      </c>
      <c r="AM179" s="68">
        <f>AF179+AI179</f>
        <v>-39299.484976050539</v>
      </c>
      <c r="AN179" s="68">
        <f>AF179+AJ179</f>
        <v>-15299.484976050537</v>
      </c>
      <c r="AO179" s="68">
        <f>AF179+AK179</f>
        <v>-15299.484976050537</v>
      </c>
      <c r="AP179" s="68">
        <f>AF179+AL179</f>
        <v>-21299.484976050539</v>
      </c>
    </row>
    <row r="180" spans="1:42">
      <c r="A180" t="s">
        <v>320</v>
      </c>
      <c r="B180" t="s">
        <v>319</v>
      </c>
      <c r="C180" t="s">
        <v>98</v>
      </c>
      <c r="D180">
        <v>2</v>
      </c>
      <c r="E180">
        <v>3200</v>
      </c>
      <c r="F180">
        <f>F$2</f>
        <v>0.97299999999999998</v>
      </c>
      <c r="G180" s="60">
        <f>E180*12*F180</f>
        <v>37363.199999999997</v>
      </c>
      <c r="H180">
        <v>154</v>
      </c>
      <c r="I180" s="61">
        <v>0.67949999999999999</v>
      </c>
      <c r="J180">
        <v>154</v>
      </c>
      <c r="K180">
        <v>480</v>
      </c>
      <c r="L180">
        <f>K180-J180</f>
        <v>326</v>
      </c>
      <c r="M180">
        <f>H180-J180</f>
        <v>0</v>
      </c>
      <c r="N180" s="62">
        <f>0.8*M180/L180+0.1</f>
        <v>0.1</v>
      </c>
      <c r="O180" s="61">
        <v>0.67949999999999999</v>
      </c>
      <c r="P180" s="63">
        <v>100</v>
      </c>
      <c r="Q180" s="64">
        <f>0.1+0.8*(P180-J180)/(K180-J180)</f>
        <v>-3.251533742331289E-2</v>
      </c>
      <c r="R180" s="64">
        <f>$Q$2*Q180+$R$2</f>
        <v>0.87649082215621554</v>
      </c>
      <c r="S180" s="63">
        <f>365*P180*R180</f>
        <v>31991.915008701868</v>
      </c>
      <c r="T180" s="65">
        <f>S180*(1-$T$1)</f>
        <v>22394.340506091306</v>
      </c>
      <c r="U180" s="60">
        <f>J180</f>
        <v>154</v>
      </c>
      <c r="V180" s="63">
        <f>1.25*L180</f>
        <v>407.5</v>
      </c>
      <c r="W180" s="63">
        <f>J180-L180/8</f>
        <v>113.25</v>
      </c>
      <c r="X180">
        <f>1.25*L180/(2*$Q$2)</f>
        <v>-257.34206639170935</v>
      </c>
      <c r="Y180" s="63">
        <f>(($Q$2*W180)/V180-$R$2)*X180</f>
        <v>275.55795934704872</v>
      </c>
      <c r="Z180" s="63">
        <f>IF(Y180&gt;U180,Y180,U180)</f>
        <v>275.55795934704872</v>
      </c>
      <c r="AA180" s="64">
        <f>(Z180-W180)/V180</f>
        <v>0.39830174072895391</v>
      </c>
      <c r="AB180" s="64">
        <f>$Q$2*AA180+$R$2</f>
        <v>0.53539237329277589</v>
      </c>
      <c r="AC180" s="63">
        <f>Z180*AB180*365</f>
        <v>53849.044889603691</v>
      </c>
      <c r="AD180" s="65">
        <f>AC180*(1-$T$1)</f>
        <v>37694.331422722578</v>
      </c>
      <c r="AE180" s="63">
        <f>G180</f>
        <v>37363.199999999997</v>
      </c>
      <c r="AF180" s="63">
        <f>AD180-AE180</f>
        <v>331.13142272258119</v>
      </c>
      <c r="AH180" s="66">
        <f>AB180*(365/$AG$23)*$AG$21</f>
        <v>6513.9405417287735</v>
      </c>
      <c r="AI180" s="66">
        <f>-$AG$7-$AG$13-AH180</f>
        <v>-40113.940541728771</v>
      </c>
      <c r="AJ180" s="66">
        <f>-$AG$13-AH180-$AG$18</f>
        <v>-16113.940541728774</v>
      </c>
      <c r="AK180" s="67">
        <f>-($AG$7/$AG$9)-$AG$13-AH180</f>
        <v>-16113.940541728774</v>
      </c>
      <c r="AL180" s="67">
        <f>-($AG$7/$AG$9)-$AG$13-AH180-$AG$18</f>
        <v>-22113.940541728774</v>
      </c>
      <c r="AM180" s="68">
        <f>AF180+AI180</f>
        <v>-39782.80911900619</v>
      </c>
      <c r="AN180" s="68">
        <f>AF180+AJ180</f>
        <v>-15782.809119006193</v>
      </c>
      <c r="AO180" s="68">
        <f>AF180+AK180</f>
        <v>-15782.809119006193</v>
      </c>
      <c r="AP180" s="68">
        <f>AF180+AL180</f>
        <v>-21782.809119006193</v>
      </c>
    </row>
    <row r="181" spans="1:42">
      <c r="A181" t="s">
        <v>321</v>
      </c>
      <c r="B181" t="s">
        <v>322</v>
      </c>
      <c r="C181" t="s">
        <v>98</v>
      </c>
      <c r="D181">
        <v>2</v>
      </c>
      <c r="E181">
        <v>4500</v>
      </c>
      <c r="F181">
        <f>F$2</f>
        <v>0.97299999999999998</v>
      </c>
      <c r="G181" s="60">
        <f>E181*12*F181</f>
        <v>52542</v>
      </c>
      <c r="H181">
        <v>432</v>
      </c>
      <c r="I181" s="61">
        <v>0.68220000000000003</v>
      </c>
      <c r="J181">
        <v>273</v>
      </c>
      <c r="K181">
        <v>853</v>
      </c>
      <c r="L181">
        <f>K181-J181</f>
        <v>580</v>
      </c>
      <c r="M181">
        <f>H181-J181</f>
        <v>159</v>
      </c>
      <c r="N181" s="62">
        <f>0.8*M181/L181+0.1</f>
        <v>0.31931034482758625</v>
      </c>
      <c r="O181" s="61">
        <v>0.68220000000000003</v>
      </c>
      <c r="P181" s="63">
        <v>100</v>
      </c>
      <c r="Q181" s="64">
        <f>0.1+0.8*(P181-J181)/(K181-J181)</f>
        <v>-0.13862068965517241</v>
      </c>
      <c r="R181" s="64">
        <f>$Q$2*Q181+$R$2</f>
        <v>0.96049949520516198</v>
      </c>
      <c r="S181" s="63">
        <f>365*P181*R181</f>
        <v>35058.231574988415</v>
      </c>
      <c r="T181" s="65">
        <f>S181*(1-$T$1)</f>
        <v>24540.762102491888</v>
      </c>
      <c r="U181" s="60">
        <f>J181</f>
        <v>273</v>
      </c>
      <c r="V181" s="63">
        <f>1.25*L181</f>
        <v>725</v>
      </c>
      <c r="W181" s="63">
        <f>J181-L181/8</f>
        <v>200.5</v>
      </c>
      <c r="X181">
        <f>1.25*L181/(2*$Q$2)</f>
        <v>-457.84784818156885</v>
      </c>
      <c r="Y181" s="63">
        <f>(($Q$2*W181)/V181-$R$2)*X181</f>
        <v>489.76262705916656</v>
      </c>
      <c r="Z181" s="63">
        <f>IF(Y181&gt;U181,Y181,U181)</f>
        <v>489.76262705916656</v>
      </c>
      <c r="AA181" s="64">
        <f>(Z181-W181)/V181</f>
        <v>0.39898293387471251</v>
      </c>
      <c r="AB181" s="64">
        <f>$Q$2*AA181+$R$2</f>
        <v>0.53485304015772195</v>
      </c>
      <c r="AC181" s="63">
        <f>Z181*AB181*365</f>
        <v>95612.125963953164</v>
      </c>
      <c r="AD181" s="65">
        <f>AC181*(1-$T$1)</f>
        <v>66928.488174767204</v>
      </c>
      <c r="AE181" s="63">
        <f>G181</f>
        <v>52542</v>
      </c>
      <c r="AF181" s="63">
        <f>AD181-AE181</f>
        <v>14386.488174767204</v>
      </c>
      <c r="AH181" s="66">
        <f>AB181*(365/$AG$23)*$AG$21</f>
        <v>6507.3786552522834</v>
      </c>
      <c r="AI181" s="66">
        <f>-$AG$7-$AG$13-AH181</f>
        <v>-40107.37865525228</v>
      </c>
      <c r="AJ181" s="66">
        <f>-$AG$13-AH181-$AG$18</f>
        <v>-16107.378655252283</v>
      </c>
      <c r="AK181" s="67">
        <f>-($AG$7/$AG$9)-$AG$13-AH181</f>
        <v>-16107.378655252283</v>
      </c>
      <c r="AL181" s="67">
        <f>-($AG$7/$AG$9)-$AG$13-AH181-$AG$18</f>
        <v>-22107.378655252283</v>
      </c>
      <c r="AM181" s="68">
        <f>AF181+AI181</f>
        <v>-25720.890480485075</v>
      </c>
      <c r="AN181" s="68">
        <f>AF181+AJ181</f>
        <v>-1720.890480485079</v>
      </c>
      <c r="AO181" s="68">
        <f>AF181+AK181</f>
        <v>-1720.890480485079</v>
      </c>
      <c r="AP181" s="68">
        <f>AF181+AL181</f>
        <v>-7720.890480485079</v>
      </c>
    </row>
    <row r="182" spans="1:42">
      <c r="A182" t="s">
        <v>323</v>
      </c>
      <c r="B182" t="s">
        <v>97</v>
      </c>
      <c r="C182" t="s">
        <v>98</v>
      </c>
      <c r="D182">
        <v>1</v>
      </c>
      <c r="E182">
        <v>800</v>
      </c>
      <c r="F182">
        <f>F$2</f>
        <v>0.97299999999999998</v>
      </c>
      <c r="G182" s="60">
        <f>E182*12*F182</f>
        <v>9340.7999999999993</v>
      </c>
      <c r="H182">
        <v>104</v>
      </c>
      <c r="I182" s="61">
        <v>0.56989999999999996</v>
      </c>
      <c r="J182">
        <v>53</v>
      </c>
      <c r="K182">
        <v>188</v>
      </c>
      <c r="L182">
        <f>K182-J182</f>
        <v>135</v>
      </c>
      <c r="M182">
        <f>H182-J182</f>
        <v>51</v>
      </c>
      <c r="N182" s="62">
        <f>0.8*M182/L182+0.1</f>
        <v>0.40222222222222226</v>
      </c>
      <c r="O182" s="61">
        <v>0.56989999999999996</v>
      </c>
      <c r="P182" s="63">
        <v>100</v>
      </c>
      <c r="Q182" s="64">
        <f>0.1+0.8*(P182-J182)/(K182-J182)</f>
        <v>0.37851851851851859</v>
      </c>
      <c r="R182" s="64">
        <f>$Q$2*Q182+$R$2</f>
        <v>0.55105569480835248</v>
      </c>
      <c r="S182" s="63">
        <f>365*P182*R182</f>
        <v>20113.532860504867</v>
      </c>
      <c r="T182" s="65">
        <f>S182*(1-$T$1)</f>
        <v>14079.473002353407</v>
      </c>
      <c r="U182" s="60">
        <f>J182</f>
        <v>53</v>
      </c>
      <c r="V182" s="63">
        <f>1.25*L182</f>
        <v>168.75</v>
      </c>
      <c r="W182" s="63">
        <f>J182-L182/8</f>
        <v>36.125</v>
      </c>
      <c r="X182">
        <f>1.25*L182/(2*$Q$2)</f>
        <v>-106.56803362846861</v>
      </c>
      <c r="Y182" s="63">
        <f>(($Q$2*W182)/V182-$R$2)*X182</f>
        <v>108.72492181549566</v>
      </c>
      <c r="Z182" s="63">
        <f>IF(Y182&gt;U182,Y182,U182)</f>
        <v>108.72492181549566</v>
      </c>
      <c r="AA182" s="64">
        <f>(Z182-W182)/V182</f>
        <v>0.43022175890664094</v>
      </c>
      <c r="AB182" s="64">
        <f>$Q$2*AA182+$R$2</f>
        <v>0.51011977097441186</v>
      </c>
      <c r="AC182" s="63">
        <f>Z182*AB182*365</f>
        <v>20243.897258741992</v>
      </c>
      <c r="AD182" s="65">
        <f>AC182*(1-$T$1)</f>
        <v>14170.728081119394</v>
      </c>
      <c r="AE182" s="63">
        <f>G182</f>
        <v>9340.7999999999993</v>
      </c>
      <c r="AF182" s="63">
        <f>AD182-AE182</f>
        <v>4829.9280811193948</v>
      </c>
      <c r="AH182" s="66">
        <f>AB182*(365/$AG$23)*$AG$21</f>
        <v>6206.4572135220114</v>
      </c>
      <c r="AI182" s="66">
        <f>-$AG$7-$AG$13-AH182</f>
        <v>-39806.457213522008</v>
      </c>
      <c r="AJ182" s="66">
        <f>-$AG$13-AH182-$AG$18</f>
        <v>-15806.457213522011</v>
      </c>
      <c r="AK182" s="67">
        <f>-($AG$7/$AG$9)-$AG$13-AH182</f>
        <v>-15806.457213522011</v>
      </c>
      <c r="AL182" s="67">
        <f>-($AG$7/$AG$9)-$AG$13-AH182-$AG$18</f>
        <v>-21806.457213522011</v>
      </c>
      <c r="AM182" s="68">
        <f>AF182+AI182</f>
        <v>-34976.529132402611</v>
      </c>
      <c r="AN182" s="68">
        <f>AF182+AJ182</f>
        <v>-10976.529132402617</v>
      </c>
      <c r="AO182" s="68">
        <f>AF182+AK182</f>
        <v>-10976.529132402617</v>
      </c>
      <c r="AP182" s="68">
        <f>AF182+AL182</f>
        <v>-16976.529132402618</v>
      </c>
    </row>
    <row r="183" spans="1:42">
      <c r="A183" t="s">
        <v>324</v>
      </c>
      <c r="B183" t="s">
        <v>322</v>
      </c>
      <c r="C183" t="s">
        <v>107</v>
      </c>
      <c r="D183">
        <v>1</v>
      </c>
      <c r="E183">
        <v>4500</v>
      </c>
      <c r="F183">
        <f>F$2</f>
        <v>0.97299999999999998</v>
      </c>
      <c r="G183" s="60">
        <f>E183*12*F183</f>
        <v>52542</v>
      </c>
      <c r="H183">
        <v>200</v>
      </c>
      <c r="I183" s="61">
        <v>0.86850000000000005</v>
      </c>
      <c r="J183">
        <v>103</v>
      </c>
      <c r="K183">
        <v>807</v>
      </c>
      <c r="L183">
        <f>K183-J183</f>
        <v>704</v>
      </c>
      <c r="M183">
        <f>H183-J183</f>
        <v>97</v>
      </c>
      <c r="N183" s="62">
        <f>0.8*M183/L183+0.1</f>
        <v>0.21022727272727276</v>
      </c>
      <c r="O183" s="61">
        <v>0.86850000000000005</v>
      </c>
      <c r="P183" s="63">
        <v>100</v>
      </c>
      <c r="Q183" s="64">
        <f>0.1+0.8*(P183-J183)/(K183-J183)</f>
        <v>9.6590909090909102E-2</v>
      </c>
      <c r="R183" s="64">
        <f>$Q$2*Q183+$R$2</f>
        <v>0.77427124299408834</v>
      </c>
      <c r="S183" s="63">
        <f>365*P183*R183</f>
        <v>28260.900369284223</v>
      </c>
      <c r="T183" s="65">
        <f>S183*(1-$T$1)</f>
        <v>19782.630258498953</v>
      </c>
      <c r="U183" s="60">
        <f>J183</f>
        <v>103</v>
      </c>
      <c r="V183" s="63">
        <f>1.25*L183</f>
        <v>880</v>
      </c>
      <c r="W183" s="63">
        <f>J183-L183/8</f>
        <v>15</v>
      </c>
      <c r="X183">
        <f>1.25*L183/(2*$Q$2)</f>
        <v>-555.73256055142144</v>
      </c>
      <c r="Y183" s="63">
        <f>(($Q$2*W183)/V183-$R$2)*X183</f>
        <v>480.2877404304366</v>
      </c>
      <c r="Z183" s="63">
        <f>IF(Y183&gt;U183,Y183,U183)</f>
        <v>480.2877404304366</v>
      </c>
      <c r="AA183" s="64">
        <f>(Z183-W183)/V183</f>
        <v>0.52873606867095069</v>
      </c>
      <c r="AB183" s="64">
        <f>$Q$2*AA183+$R$2</f>
        <v>0.43212128865895011</v>
      </c>
      <c r="AC183" s="63">
        <f>Z183*AB183*365</f>
        <v>75753.033422491892</v>
      </c>
      <c r="AD183" s="65">
        <f>AC183*(1-$T$1)</f>
        <v>53027.123395744318</v>
      </c>
      <c r="AE183" s="63">
        <f>G183</f>
        <v>52542</v>
      </c>
      <c r="AF183" s="63">
        <f>AD183-AE183</f>
        <v>485.12339574431826</v>
      </c>
      <c r="AH183" s="66">
        <f>AB183*(365/$AG$23)*$AG$21</f>
        <v>5257.4756786838934</v>
      </c>
      <c r="AI183" s="66">
        <f>-$AG$7-$AG$13-AH183</f>
        <v>-38857.475678683892</v>
      </c>
      <c r="AJ183" s="66">
        <f>-$AG$13-AH183-$AG$18</f>
        <v>-14857.475678683893</v>
      </c>
      <c r="AK183" s="67">
        <f>-($AG$7/$AG$9)-$AG$13-AH183</f>
        <v>-14857.475678683893</v>
      </c>
      <c r="AL183" s="67">
        <f>-($AG$7/$AG$9)-$AG$13-AH183-$AG$18</f>
        <v>-20857.475678683892</v>
      </c>
      <c r="AM183" s="68">
        <f>AF183+AI183</f>
        <v>-38372.352282939573</v>
      </c>
      <c r="AN183" s="68">
        <f>AF183+AJ183</f>
        <v>-14372.352282939575</v>
      </c>
      <c r="AO183" s="68">
        <f>AF183+AK183</f>
        <v>-14372.352282939575</v>
      </c>
      <c r="AP183" s="68">
        <f>AF183+AL183</f>
        <v>-20372.352282939573</v>
      </c>
    </row>
    <row r="184" spans="1:42">
      <c r="A184" t="s">
        <v>325</v>
      </c>
      <c r="B184" t="s">
        <v>322</v>
      </c>
      <c r="C184" t="s">
        <v>107</v>
      </c>
      <c r="D184">
        <v>2</v>
      </c>
      <c r="E184">
        <v>5500</v>
      </c>
      <c r="F184">
        <f>F$2</f>
        <v>0.97299999999999998</v>
      </c>
      <c r="G184" s="60">
        <f>E184*12*F184</f>
        <v>64218</v>
      </c>
      <c r="H184">
        <v>428</v>
      </c>
      <c r="I184" s="61">
        <v>0.52329999999999999</v>
      </c>
      <c r="J184">
        <v>200</v>
      </c>
      <c r="K184">
        <v>770</v>
      </c>
      <c r="L184">
        <f>K184-J184</f>
        <v>570</v>
      </c>
      <c r="M184">
        <f>H184-J184</f>
        <v>228</v>
      </c>
      <c r="N184" s="62">
        <f>0.8*M184/L184+0.1</f>
        <v>0.42000000000000004</v>
      </c>
      <c r="O184" s="61">
        <v>0.52329999999999999</v>
      </c>
      <c r="P184" s="63">
        <v>100</v>
      </c>
      <c r="Q184" s="64">
        <f>0.1+0.8*(P184-J184)/(K184-J184)</f>
        <v>-4.0350877192982443E-2</v>
      </c>
      <c r="R184" s="64">
        <f>$Q$2*Q184+$R$2</f>
        <v>0.88269459307659082</v>
      </c>
      <c r="S184" s="63">
        <f>365*P184*R184</f>
        <v>32218.352647295564</v>
      </c>
      <c r="T184" s="65">
        <f>S184*(1-$T$1)</f>
        <v>22552.846853106894</v>
      </c>
      <c r="U184" s="60">
        <f>J184</f>
        <v>200</v>
      </c>
      <c r="V184" s="63">
        <f>1.25*L184</f>
        <v>712.5</v>
      </c>
      <c r="W184" s="63">
        <f>J184-L184/8</f>
        <v>128.75</v>
      </c>
      <c r="X184">
        <f>1.25*L184/(2*$Q$2)</f>
        <v>-449.95391976464521</v>
      </c>
      <c r="Y184" s="63">
        <f>(($Q$2*W184)/V184-$R$2)*X184</f>
        <v>447.1718921098705</v>
      </c>
      <c r="Z184" s="63">
        <f>IF(Y184&gt;U184,Y184,U184)</f>
        <v>447.1718921098705</v>
      </c>
      <c r="AA184" s="64">
        <f>(Z184-W184)/V184</f>
        <v>0.44690791875069541</v>
      </c>
      <c r="AB184" s="64">
        <f>$Q$2*AA184+$R$2</f>
        <v>0.4969085415944039</v>
      </c>
      <c r="AC184" s="63">
        <f>Z184*AB184*365</f>
        <v>81104.289453868943</v>
      </c>
      <c r="AD184" s="65">
        <f>AC184*(1-$T$1)</f>
        <v>56773.002617708255</v>
      </c>
      <c r="AE184" s="63">
        <f>G184</f>
        <v>64218</v>
      </c>
      <c r="AF184" s="63">
        <f>AD184-AE184</f>
        <v>-7444.9973822917455</v>
      </c>
      <c r="AH184" s="66">
        <f>AB184*(365/$AG$23)*$AG$21</f>
        <v>6045.7205893985811</v>
      </c>
      <c r="AI184" s="66">
        <f>-$AG$7-$AG$13-AH184</f>
        <v>-39645.720589398581</v>
      </c>
      <c r="AJ184" s="66">
        <f>-$AG$13-AH184-$AG$18</f>
        <v>-15645.720589398581</v>
      </c>
      <c r="AK184" s="67">
        <f>-($AG$7/$AG$9)-$AG$13-AH184</f>
        <v>-15645.720589398581</v>
      </c>
      <c r="AL184" s="67">
        <f>-($AG$7/$AG$9)-$AG$13-AH184-$AG$18</f>
        <v>-21645.720589398581</v>
      </c>
      <c r="AM184" s="68">
        <f>AF184+AI184</f>
        <v>-47090.717971690327</v>
      </c>
      <c r="AN184" s="68">
        <f>AF184+AJ184</f>
        <v>-23090.717971690327</v>
      </c>
      <c r="AO184" s="68">
        <f>AF184+AK184</f>
        <v>-23090.717971690327</v>
      </c>
      <c r="AP184" s="68">
        <f>AF184+AL184</f>
        <v>-29090.717971690327</v>
      </c>
    </row>
    <row r="185" spans="1:42">
      <c r="A185" t="s">
        <v>326</v>
      </c>
      <c r="B185" t="s">
        <v>322</v>
      </c>
      <c r="C185" t="s">
        <v>98</v>
      </c>
      <c r="D185">
        <v>1</v>
      </c>
      <c r="E185">
        <v>3500</v>
      </c>
      <c r="F185">
        <f>F$2</f>
        <v>0.97299999999999998</v>
      </c>
      <c r="G185" s="60">
        <f>E185*12*F185</f>
        <v>40866</v>
      </c>
      <c r="H185">
        <v>576</v>
      </c>
      <c r="I185" s="61">
        <v>0.46029999999999999</v>
      </c>
      <c r="J185">
        <v>151</v>
      </c>
      <c r="K185">
        <v>890</v>
      </c>
      <c r="L185">
        <f>K185-J185</f>
        <v>739</v>
      </c>
      <c r="M185">
        <f>H185-J185</f>
        <v>425</v>
      </c>
      <c r="N185" s="62">
        <f>0.8*M185/L185+0.1</f>
        <v>0.56008119079837615</v>
      </c>
      <c r="O185" s="61">
        <v>0.46029999999999999</v>
      </c>
      <c r="P185" s="63">
        <v>100</v>
      </c>
      <c r="Q185" s="64">
        <f>0.1+0.8*(P185-J185)/(K185-J185)</f>
        <v>4.4790257104194861E-2</v>
      </c>
      <c r="R185" s="64">
        <f>$Q$2*Q185+$R$2</f>
        <v>0.81528429224126364</v>
      </c>
      <c r="S185" s="63">
        <f>365*P185*R185</f>
        <v>29757.876666806122</v>
      </c>
      <c r="T185" s="65">
        <f>S185*(1-$T$1)</f>
        <v>20830.513666764284</v>
      </c>
      <c r="U185" s="60">
        <f>J185</f>
        <v>151</v>
      </c>
      <c r="V185" s="63">
        <f>1.25*L185</f>
        <v>923.75</v>
      </c>
      <c r="W185" s="63">
        <f>J185-L185/8</f>
        <v>58.625</v>
      </c>
      <c r="X185">
        <f>1.25*L185/(2*$Q$2)</f>
        <v>-583.36131001065405</v>
      </c>
      <c r="Y185" s="63">
        <f>(($Q$2*W185)/V185-$R$2)*X185</f>
        <v>525.6053127529724</v>
      </c>
      <c r="Z185" s="63">
        <f>IF(Y185&gt;U185,Y185,U185)</f>
        <v>525.6053127529724</v>
      </c>
      <c r="AA185" s="64">
        <f>(Z185-W185)/V185</f>
        <v>0.50552672557831924</v>
      </c>
      <c r="AB185" s="64">
        <f>$Q$2*AA185+$R$2</f>
        <v>0.45049723364699429</v>
      </c>
      <c r="AC185" s="63">
        <f>Z185*AB185*365</f>
        <v>86426.06487566272</v>
      </c>
      <c r="AD185" s="65">
        <f>AC185*(1-$T$1)</f>
        <v>60498.245412963901</v>
      </c>
      <c r="AE185" s="63">
        <f>G185</f>
        <v>40866</v>
      </c>
      <c r="AF185" s="63">
        <f>AD185-AE185</f>
        <v>19632.245412963901</v>
      </c>
      <c r="AH185" s="66">
        <f>AB185*(365/$AG$23)*$AG$21</f>
        <v>5481.0496760384312</v>
      </c>
      <c r="AI185" s="66">
        <f>-$AG$7-$AG$13-AH185</f>
        <v>-39081.049676038434</v>
      </c>
      <c r="AJ185" s="66">
        <f>-$AG$13-AH185-$AG$18</f>
        <v>-15081.04967603843</v>
      </c>
      <c r="AK185" s="67">
        <f>-($AG$7/$AG$9)-$AG$13-AH185</f>
        <v>-15081.04967603843</v>
      </c>
      <c r="AL185" s="67">
        <f>-($AG$7/$AG$9)-$AG$13-AH185-$AG$18</f>
        <v>-21081.04967603843</v>
      </c>
      <c r="AM185" s="68">
        <f>AF185+AI185</f>
        <v>-19448.804263074533</v>
      </c>
      <c r="AN185" s="68">
        <f>AF185+AJ185</f>
        <v>4551.1957369254706</v>
      </c>
      <c r="AO185" s="68">
        <f>AF185+AK185</f>
        <v>4551.1957369254706</v>
      </c>
      <c r="AP185" s="68">
        <f>AF185+AL185</f>
        <v>-1448.8042630745294</v>
      </c>
    </row>
    <row r="186" spans="1:42">
      <c r="A186" t="s">
        <v>327</v>
      </c>
      <c r="B186" t="s">
        <v>328</v>
      </c>
      <c r="C186" t="s">
        <v>98</v>
      </c>
      <c r="D186">
        <v>2</v>
      </c>
      <c r="E186">
        <v>4000</v>
      </c>
      <c r="F186">
        <f>F$2</f>
        <v>0.97299999999999998</v>
      </c>
      <c r="G186" s="60">
        <f>E186*12*F186</f>
        <v>46704</v>
      </c>
      <c r="H186">
        <v>560</v>
      </c>
      <c r="I186" s="61">
        <v>0.35339999999999999</v>
      </c>
      <c r="J186">
        <v>218</v>
      </c>
      <c r="K186">
        <v>681</v>
      </c>
      <c r="L186">
        <f>K186-J186</f>
        <v>463</v>
      </c>
      <c r="M186">
        <f>H186-J186</f>
        <v>342</v>
      </c>
      <c r="N186" s="62">
        <f>0.8*M186/L186+0.1</f>
        <v>0.69092872570194386</v>
      </c>
      <c r="O186" s="61">
        <v>0.35339999999999999</v>
      </c>
      <c r="P186" s="63">
        <v>100</v>
      </c>
      <c r="Q186" s="64">
        <f>0.1+0.8*(P186-J186)/(K186-J186)</f>
        <v>-0.10388768898488121</v>
      </c>
      <c r="R186" s="64">
        <f>$Q$2*Q186+$R$2</f>
        <v>0.93299972034985357</v>
      </c>
      <c r="S186" s="63">
        <f>365*P186*R186</f>
        <v>34054.489792769658</v>
      </c>
      <c r="T186" s="65">
        <f>S186*(1-$T$1)</f>
        <v>23838.14285493876</v>
      </c>
      <c r="U186" s="60">
        <f>J186</f>
        <v>218</v>
      </c>
      <c r="V186" s="63">
        <f>1.25*L186</f>
        <v>578.75</v>
      </c>
      <c r="W186" s="63">
        <f>J186-L186/8</f>
        <v>160.125</v>
      </c>
      <c r="X186">
        <f>1.25*L186/(2*$Q$2)</f>
        <v>-365.48888570356269</v>
      </c>
      <c r="Y186" s="63">
        <f>(($Q$2*W186)/V186-$R$2)*X186</f>
        <v>391.00102815240365</v>
      </c>
      <c r="Z186" s="63">
        <f>IF(Y186&gt;U186,Y186,U186)</f>
        <v>391.00102815240365</v>
      </c>
      <c r="AA186" s="64">
        <f>(Z186-W186)/V186</f>
        <v>0.39892186289832166</v>
      </c>
      <c r="AB186" s="64">
        <f>$Q$2*AA186+$R$2</f>
        <v>0.53490139296538419</v>
      </c>
      <c r="AC186" s="63">
        <f>Z186*AB186*365</f>
        <v>76338.653032510614</v>
      </c>
      <c r="AD186" s="65">
        <f>AC186*(1-$T$1)</f>
        <v>53437.057122757426</v>
      </c>
      <c r="AE186" s="63">
        <f>G186</f>
        <v>46704</v>
      </c>
      <c r="AF186" s="63">
        <f>AD186-AE186</f>
        <v>6733.0571227574255</v>
      </c>
      <c r="AH186" s="66">
        <f>AB186*(365/$AG$23)*$AG$21</f>
        <v>6507.9669477455082</v>
      </c>
      <c r="AI186" s="66">
        <f>-$AG$7-$AG$13-AH186</f>
        <v>-40107.96694774551</v>
      </c>
      <c r="AJ186" s="66">
        <f>-$AG$13-AH186-$AG$18</f>
        <v>-16107.966947745508</v>
      </c>
      <c r="AK186" s="67">
        <f>-($AG$7/$AG$9)-$AG$13-AH186</f>
        <v>-16107.966947745508</v>
      </c>
      <c r="AL186" s="67">
        <f>-($AG$7/$AG$9)-$AG$13-AH186-$AG$18</f>
        <v>-22107.96694774551</v>
      </c>
      <c r="AM186" s="68">
        <f>AF186+AI186</f>
        <v>-33374.909824988084</v>
      </c>
      <c r="AN186" s="68">
        <f>AF186+AJ186</f>
        <v>-9374.9098249880826</v>
      </c>
      <c r="AO186" s="68">
        <f>AF186+AK186</f>
        <v>-9374.9098249880826</v>
      </c>
      <c r="AP186" s="68">
        <f>AF186+AL186</f>
        <v>-15374.909824988084</v>
      </c>
    </row>
    <row r="187" spans="1:42">
      <c r="A187" t="s">
        <v>329</v>
      </c>
      <c r="B187" t="s">
        <v>328</v>
      </c>
      <c r="C187" t="s">
        <v>98</v>
      </c>
      <c r="D187">
        <v>1</v>
      </c>
      <c r="E187">
        <v>3000</v>
      </c>
      <c r="F187">
        <f>F$2</f>
        <v>0.97299999999999998</v>
      </c>
      <c r="G187" s="60">
        <f>E187*12*F187</f>
        <v>35028</v>
      </c>
      <c r="H187">
        <v>288</v>
      </c>
      <c r="I187" s="61">
        <v>0.49859999999999999</v>
      </c>
      <c r="J187">
        <v>109</v>
      </c>
      <c r="K187">
        <v>640</v>
      </c>
      <c r="L187">
        <f>K187-J187</f>
        <v>531</v>
      </c>
      <c r="M187">
        <f>H187-J187</f>
        <v>179</v>
      </c>
      <c r="N187" s="62">
        <f>0.8*M187/L187+0.1</f>
        <v>0.36967984934086628</v>
      </c>
      <c r="O187" s="61">
        <v>0.49859999999999999</v>
      </c>
      <c r="P187" s="63">
        <v>100</v>
      </c>
      <c r="Q187" s="64">
        <f>0.1+0.8*(P187-J187)/(K187-J187)</f>
        <v>8.6440677966101706E-2</v>
      </c>
      <c r="R187" s="64">
        <f>$Q$2*Q187+$R$2</f>
        <v>0.78230766556843567</v>
      </c>
      <c r="S187" s="63">
        <f>365*P187*R187</f>
        <v>28554.229793247901</v>
      </c>
      <c r="T187" s="65">
        <f>S187*(1-$T$1)</f>
        <v>19987.96085527353</v>
      </c>
      <c r="U187" s="60">
        <f>J187</f>
        <v>109</v>
      </c>
      <c r="V187" s="63">
        <f>1.25*L187</f>
        <v>663.75</v>
      </c>
      <c r="W187" s="63">
        <f>J187-L187/8</f>
        <v>42.625</v>
      </c>
      <c r="X187">
        <f>1.25*L187/(2*$Q$2)</f>
        <v>-419.16759893864321</v>
      </c>
      <c r="Y187" s="63">
        <f>(($Q$2*W187)/V187-$R$2)*X187</f>
        <v>377.91802580761623</v>
      </c>
      <c r="Z187" s="63">
        <f>IF(Y187&gt;U187,Y187,U187)</f>
        <v>377.91802580761623</v>
      </c>
      <c r="AA187" s="64">
        <f>(Z187-W187)/V187</f>
        <v>0.50514956807173816</v>
      </c>
      <c r="AB187" s="64">
        <f>$Q$2*AA187+$R$2</f>
        <v>0.4507958472512269</v>
      </c>
      <c r="AC187" s="63">
        <f>Z187*AB187*365</f>
        <v>62182.814971941218</v>
      </c>
      <c r="AD187" s="65">
        <f>AC187*(1-$T$1)</f>
        <v>43527.970480358847</v>
      </c>
      <c r="AE187" s="63">
        <f>G187</f>
        <v>35028</v>
      </c>
      <c r="AF187" s="63">
        <f>AD187-AE187</f>
        <v>8499.9704803588465</v>
      </c>
      <c r="AH187" s="66">
        <f>AB187*(365/$AG$23)*$AG$21</f>
        <v>5484.6828082232605</v>
      </c>
      <c r="AI187" s="66">
        <f>-$AG$7-$AG$13-AH187</f>
        <v>-39084.682808223261</v>
      </c>
      <c r="AJ187" s="66">
        <f>-$AG$13-AH187-$AG$18</f>
        <v>-15084.682808223261</v>
      </c>
      <c r="AK187" s="67">
        <f>-($AG$7/$AG$9)-$AG$13-AH187</f>
        <v>-15084.682808223261</v>
      </c>
      <c r="AL187" s="67">
        <f>-($AG$7/$AG$9)-$AG$13-AH187-$AG$18</f>
        <v>-21084.682808223261</v>
      </c>
      <c r="AM187" s="68">
        <f>AF187+AI187</f>
        <v>-30584.712327864414</v>
      </c>
      <c r="AN187" s="68">
        <f>AF187+AJ187</f>
        <v>-6584.712327864414</v>
      </c>
      <c r="AO187" s="68">
        <f>AF187+AK187</f>
        <v>-6584.712327864414</v>
      </c>
      <c r="AP187" s="68">
        <f>AF187+AL187</f>
        <v>-12584.712327864414</v>
      </c>
    </row>
    <row r="188" spans="1:42">
      <c r="A188" t="s">
        <v>330</v>
      </c>
      <c r="B188" t="s">
        <v>331</v>
      </c>
      <c r="C188" t="s">
        <v>98</v>
      </c>
      <c r="D188">
        <v>2</v>
      </c>
      <c r="E188">
        <v>5600</v>
      </c>
      <c r="F188">
        <f>F$2</f>
        <v>0.97299999999999998</v>
      </c>
      <c r="G188" s="60">
        <f>E188*12*F188</f>
        <v>65385.599999999999</v>
      </c>
      <c r="H188">
        <v>373</v>
      </c>
      <c r="I188" s="61">
        <v>0.5151</v>
      </c>
      <c r="J188">
        <v>196</v>
      </c>
      <c r="K188">
        <v>612</v>
      </c>
      <c r="L188">
        <f>K188-J188</f>
        <v>416</v>
      </c>
      <c r="M188">
        <f>H188-J188</f>
        <v>177</v>
      </c>
      <c r="N188" s="62">
        <f>0.8*M188/L188+0.1</f>
        <v>0.44038461538461537</v>
      </c>
      <c r="O188" s="61">
        <v>0.5151</v>
      </c>
      <c r="P188" s="63">
        <v>100</v>
      </c>
      <c r="Q188" s="64">
        <f>0.1+0.8*(P188-J188)/(K188-J188)</f>
        <v>-8.4615384615384648E-2</v>
      </c>
      <c r="R188" s="64">
        <f>$Q$2*Q188+$R$2</f>
        <v>0.91774091688121306</v>
      </c>
      <c r="S188" s="63">
        <f>365*P188*R188</f>
        <v>33497.543466164279</v>
      </c>
      <c r="T188" s="65">
        <f>S188*(1-$T$1)</f>
        <v>23448.280426314996</v>
      </c>
      <c r="U188" s="60">
        <f>J188</f>
        <v>196</v>
      </c>
      <c r="V188" s="63">
        <f>1.25*L188</f>
        <v>520</v>
      </c>
      <c r="W188" s="63">
        <f>J188-L188/8</f>
        <v>144</v>
      </c>
      <c r="X188">
        <f>1.25*L188/(2*$Q$2)</f>
        <v>-328.3874221440218</v>
      </c>
      <c r="Y188" s="63">
        <f>(($Q$2*W188)/V188-$R$2)*X188</f>
        <v>351.37457389071255</v>
      </c>
      <c r="Z188" s="63">
        <f>IF(Y188&gt;U188,Y188,U188)</f>
        <v>351.37457389071255</v>
      </c>
      <c r="AA188" s="64">
        <f>(Z188-W188)/V188</f>
        <v>0.39879725748213951</v>
      </c>
      <c r="AB188" s="64">
        <f>$Q$2*AA188+$R$2</f>
        <v>0.53500004902229348</v>
      </c>
      <c r="AC188" s="63">
        <f>Z188*AB188*365</f>
        <v>68614.676203702329</v>
      </c>
      <c r="AD188" s="65">
        <f>AC188*(1-$T$1)</f>
        <v>48030.27334259163</v>
      </c>
      <c r="AE188" s="63">
        <f>G188</f>
        <v>65385.599999999999</v>
      </c>
      <c r="AF188" s="63">
        <f>AD188-AE188</f>
        <v>-17355.326657408368</v>
      </c>
      <c r="AH188" s="66">
        <f>AB188*(365/$AG$23)*$AG$21</f>
        <v>6509.1672631045712</v>
      </c>
      <c r="AI188" s="66">
        <f>-$AG$7-$AG$13-AH188</f>
        <v>-40109.167263104573</v>
      </c>
      <c r="AJ188" s="66">
        <f>-$AG$13-AH188-$AG$18</f>
        <v>-16109.167263104571</v>
      </c>
      <c r="AK188" s="67">
        <f>-($AG$7/$AG$9)-$AG$13-AH188</f>
        <v>-16109.167263104571</v>
      </c>
      <c r="AL188" s="67">
        <f>-($AG$7/$AG$9)-$AG$13-AH188-$AG$18</f>
        <v>-22109.167263104573</v>
      </c>
      <c r="AM188" s="68">
        <f>AF188+AI188</f>
        <v>-57464.493920512941</v>
      </c>
      <c r="AN188" s="68">
        <f>AF188+AJ188</f>
        <v>-33464.493920512941</v>
      </c>
      <c r="AO188" s="68">
        <f>AF188+AK188</f>
        <v>-33464.493920512941</v>
      </c>
      <c r="AP188" s="68">
        <f>AF188+AL188</f>
        <v>-39464.493920512941</v>
      </c>
    </row>
    <row r="189" spans="1:42">
      <c r="A189" t="s">
        <v>332</v>
      </c>
      <c r="B189" t="s">
        <v>331</v>
      </c>
      <c r="C189" t="s">
        <v>107</v>
      </c>
      <c r="D189">
        <v>1</v>
      </c>
      <c r="E189">
        <v>3200</v>
      </c>
      <c r="F189">
        <f>F$2</f>
        <v>0.97299999999999998</v>
      </c>
      <c r="G189" s="60">
        <f>E189*12*F189</f>
        <v>37363.199999999997</v>
      </c>
      <c r="H189">
        <v>420</v>
      </c>
      <c r="I189" s="61">
        <v>0.87119999999999997</v>
      </c>
      <c r="J189">
        <v>165</v>
      </c>
      <c r="K189">
        <v>1296</v>
      </c>
      <c r="L189">
        <f>K189-J189</f>
        <v>1131</v>
      </c>
      <c r="M189">
        <f>H189-J189</f>
        <v>255</v>
      </c>
      <c r="N189" s="62">
        <f>0.8*M189/L189+0.1</f>
        <v>0.28037135278514591</v>
      </c>
      <c r="O189" s="61">
        <v>0.87119999999999997</v>
      </c>
      <c r="P189" s="63">
        <v>100</v>
      </c>
      <c r="Q189" s="64">
        <f>0.1+0.8*(P189-J189)/(K189-J189)</f>
        <v>5.4022988505747133E-2</v>
      </c>
      <c r="R189" s="64">
        <f>$Q$2*Q189+$R$2</f>
        <v>0.80797429800113474</v>
      </c>
      <c r="S189" s="63">
        <f>365*P189*R189</f>
        <v>29491.061877041418</v>
      </c>
      <c r="T189" s="65">
        <f>S189*(1-$T$1)</f>
        <v>20643.743313928993</v>
      </c>
      <c r="U189" s="60">
        <f>J189</f>
        <v>165</v>
      </c>
      <c r="V189" s="63">
        <f>1.25*L189</f>
        <v>1413.75</v>
      </c>
      <c r="W189" s="63">
        <f>J189-L189/8</f>
        <v>23.625</v>
      </c>
      <c r="X189">
        <f>1.25*L189/(2*$Q$2)</f>
        <v>-892.80330395405917</v>
      </c>
      <c r="Y189" s="63">
        <f>(($Q$2*W189)/V189-$R$2)*X189</f>
        <v>771.36212276537458</v>
      </c>
      <c r="Z189" s="63">
        <f>IF(Y189&gt;U189,Y189,U189)</f>
        <v>771.36212276537458</v>
      </c>
      <c r="AA189" s="64">
        <f>(Z189-W189)/V189</f>
        <v>0.52890335827789536</v>
      </c>
      <c r="AB189" s="64">
        <f>$Q$2*AA189+$R$2</f>
        <v>0.4319888374903833</v>
      </c>
      <c r="AC189" s="63">
        <f>Z189*AB189*365</f>
        <v>121625.2367445979</v>
      </c>
      <c r="AD189" s="65">
        <f>AC189*(1-$T$1)</f>
        <v>85137.665721218524</v>
      </c>
      <c r="AE189" s="63">
        <f>G189</f>
        <v>37363.199999999997</v>
      </c>
      <c r="AF189" s="63">
        <f>AD189-AE189</f>
        <v>47774.465721218527</v>
      </c>
      <c r="AH189" s="66">
        <f>AB189*(365/$AG$23)*$AG$21</f>
        <v>5255.8641894663306</v>
      </c>
      <c r="AI189" s="66">
        <f>-$AG$7-$AG$13-AH189</f>
        <v>-38855.864189466331</v>
      </c>
      <c r="AJ189" s="66">
        <f>-$AG$13-AH189-$AG$18</f>
        <v>-14855.864189466331</v>
      </c>
      <c r="AK189" s="67">
        <f>-($AG$7/$AG$9)-$AG$13-AH189</f>
        <v>-14855.864189466331</v>
      </c>
      <c r="AL189" s="67">
        <f>-($AG$7/$AG$9)-$AG$13-AH189-$AG$18</f>
        <v>-20855.864189466331</v>
      </c>
      <c r="AM189" s="68">
        <f>AF189+AI189</f>
        <v>8918.601531752196</v>
      </c>
      <c r="AN189" s="68">
        <f>AF189+AJ189</f>
        <v>32918.601531752196</v>
      </c>
      <c r="AO189" s="68">
        <f>AF189+AK189</f>
        <v>32918.601531752196</v>
      </c>
      <c r="AP189" s="68">
        <f>AF189+AL189</f>
        <v>26918.601531752196</v>
      </c>
    </row>
    <row r="190" spans="1:42">
      <c r="A190" t="s">
        <v>333</v>
      </c>
      <c r="B190" t="s">
        <v>331</v>
      </c>
      <c r="C190" t="s">
        <v>107</v>
      </c>
      <c r="D190">
        <v>2</v>
      </c>
      <c r="E190">
        <v>3500</v>
      </c>
      <c r="F190">
        <f>F$2</f>
        <v>0.97299999999999998</v>
      </c>
      <c r="G190" s="60">
        <f>E190*12*F190</f>
        <v>40866</v>
      </c>
      <c r="H190">
        <v>593</v>
      </c>
      <c r="I190" s="61">
        <v>0.50680000000000003</v>
      </c>
      <c r="J190">
        <v>268</v>
      </c>
      <c r="K190">
        <v>1032</v>
      </c>
      <c r="L190">
        <f>K190-J190</f>
        <v>764</v>
      </c>
      <c r="M190">
        <f>H190-J190</f>
        <v>325</v>
      </c>
      <c r="N190" s="62">
        <f>0.8*M190/L190+0.1</f>
        <v>0.44031413612565451</v>
      </c>
      <c r="O190" s="61">
        <v>0.50680000000000003</v>
      </c>
      <c r="P190" s="63">
        <v>100</v>
      </c>
      <c r="Q190" s="64">
        <f>0.1+0.8*(P190-J190)/(K190-J190)</f>
        <v>-7.5916230366492143E-2</v>
      </c>
      <c r="R190" s="64">
        <f>$Q$2*Q190+$R$2</f>
        <v>0.91085338114691172</v>
      </c>
      <c r="S190" s="63">
        <f>365*P190*R190</f>
        <v>33246.148411862276</v>
      </c>
      <c r="T190" s="65">
        <f>S190*(1-$T$1)</f>
        <v>23272.303888303592</v>
      </c>
      <c r="U190" s="60">
        <f>J190</f>
        <v>268</v>
      </c>
      <c r="V190" s="63">
        <f>1.25*L190</f>
        <v>955</v>
      </c>
      <c r="W190" s="63">
        <f>J190-L190/8</f>
        <v>172.5</v>
      </c>
      <c r="X190">
        <f>1.25*L190/(2*$Q$2)</f>
        <v>-603.09613105296307</v>
      </c>
      <c r="Y190" s="63">
        <f>(($Q$2*W190)/V190-$R$2)*X190</f>
        <v>599.33215012621247</v>
      </c>
      <c r="Z190" s="63">
        <f>IF(Y190&gt;U190,Y190,U190)</f>
        <v>599.33215012621247</v>
      </c>
      <c r="AA190" s="64">
        <f>(Z190-W190)/V190</f>
        <v>0.4469446598180235</v>
      </c>
      <c r="AB190" s="64">
        <f>$Q$2*AA190+$R$2</f>
        <v>0.49687945193730637</v>
      </c>
      <c r="AC190" s="63">
        <f>Z190*AB190*365</f>
        <v>108695.47805333875</v>
      </c>
      <c r="AD190" s="65">
        <f>AC190*(1-$T$1)</f>
        <v>76086.834637337117</v>
      </c>
      <c r="AE190" s="63">
        <f>G190</f>
        <v>40866</v>
      </c>
      <c r="AF190" s="63">
        <f>AD190-AE190</f>
        <v>35220.834637337117</v>
      </c>
      <c r="AH190" s="66">
        <f>AB190*(365/$AG$23)*$AG$21</f>
        <v>6045.3666652372276</v>
      </c>
      <c r="AI190" s="66">
        <f>-$AG$7-$AG$13-AH190</f>
        <v>-39645.366665237227</v>
      </c>
      <c r="AJ190" s="66">
        <f>-$AG$13-AH190-$AG$18</f>
        <v>-15645.366665237227</v>
      </c>
      <c r="AK190" s="67">
        <f>-($AG$7/$AG$9)-$AG$13-AH190</f>
        <v>-15645.366665237227</v>
      </c>
      <c r="AL190" s="67">
        <f>-($AG$7/$AG$9)-$AG$13-AH190-$AG$18</f>
        <v>-21645.366665237227</v>
      </c>
      <c r="AM190" s="68">
        <f>AF190+AI190</f>
        <v>-4424.5320279001098</v>
      </c>
      <c r="AN190" s="68">
        <f>AF190+AJ190</f>
        <v>19575.46797209989</v>
      </c>
      <c r="AO190" s="68">
        <f>AF190+AK190</f>
        <v>19575.46797209989</v>
      </c>
      <c r="AP190" s="68">
        <f>AF190+AL190</f>
        <v>13575.46797209989</v>
      </c>
    </row>
    <row r="191" spans="1:42">
      <c r="A191" t="s">
        <v>334</v>
      </c>
      <c r="B191" t="s">
        <v>331</v>
      </c>
      <c r="C191" t="s">
        <v>98</v>
      </c>
      <c r="D191">
        <v>1</v>
      </c>
      <c r="E191">
        <v>3400</v>
      </c>
      <c r="F191">
        <f>F$2</f>
        <v>0.97299999999999998</v>
      </c>
      <c r="G191" s="60">
        <f>E191*12*F191</f>
        <v>39698.400000000001</v>
      </c>
      <c r="H191">
        <v>436</v>
      </c>
      <c r="I191" s="61">
        <v>0.28220000000000001</v>
      </c>
      <c r="J191">
        <v>106</v>
      </c>
      <c r="K191">
        <v>624</v>
      </c>
      <c r="L191">
        <f>K191-J191</f>
        <v>518</v>
      </c>
      <c r="M191">
        <f>H191-J191</f>
        <v>330</v>
      </c>
      <c r="N191" s="62">
        <f>0.8*M191/L191+0.1</f>
        <v>0.60965250965250961</v>
      </c>
      <c r="O191" s="61">
        <v>0.28220000000000001</v>
      </c>
      <c r="P191" s="63">
        <v>100</v>
      </c>
      <c r="Q191" s="64">
        <f>0.1+0.8*(P191-J191)/(K191-J191)</f>
        <v>9.0733590733590733E-2</v>
      </c>
      <c r="R191" s="64">
        <f>$Q$2*Q191+$R$2</f>
        <v>0.77890876157796052</v>
      </c>
      <c r="S191" s="63">
        <f>365*P191*R191</f>
        <v>28430.169797595558</v>
      </c>
      <c r="T191" s="65">
        <f>S191*(1-$T$1)</f>
        <v>19901.118858316888</v>
      </c>
      <c r="U191" s="60">
        <f>J191</f>
        <v>106</v>
      </c>
      <c r="V191" s="63">
        <f>1.25*L191</f>
        <v>647.5</v>
      </c>
      <c r="W191" s="63">
        <f>J191-L191/8</f>
        <v>41.25</v>
      </c>
      <c r="X191">
        <f>1.25*L191/(2*$Q$2)</f>
        <v>-408.90549199664252</v>
      </c>
      <c r="Y191" s="63">
        <f>(($Q$2*W191)/V191-$R$2)*X191</f>
        <v>368.50007037353151</v>
      </c>
      <c r="Z191" s="63">
        <f>IF(Y191&gt;U191,Y191,U191)</f>
        <v>368.50007037353151</v>
      </c>
      <c r="AA191" s="64">
        <f>(Z191-W191)/V191</f>
        <v>0.50540551409039614</v>
      </c>
      <c r="AB191" s="64">
        <f>$Q$2*AA191+$R$2</f>
        <v>0.45059320256886787</v>
      </c>
      <c r="AC191" s="63">
        <f>Z191*AB191*365</f>
        <v>60605.923802608901</v>
      </c>
      <c r="AD191" s="65">
        <f>AC191*(1-$T$1)</f>
        <v>42424.146661826228</v>
      </c>
      <c r="AE191" s="63">
        <f>G191</f>
        <v>39698.400000000001</v>
      </c>
      <c r="AF191" s="63">
        <f>AD191-AE191</f>
        <v>2725.746661826226</v>
      </c>
      <c r="AH191" s="66">
        <f>AB191*(365/$AG$23)*$AG$21</f>
        <v>5482.2172979212264</v>
      </c>
      <c r="AI191" s="66">
        <f>-$AG$7-$AG$13-AH191</f>
        <v>-39082.217297921226</v>
      </c>
      <c r="AJ191" s="66">
        <f>-$AG$13-AH191-$AG$18</f>
        <v>-15082.217297921226</v>
      </c>
      <c r="AK191" s="67">
        <f>-($AG$7/$AG$9)-$AG$13-AH191</f>
        <v>-15082.217297921226</v>
      </c>
      <c r="AL191" s="67">
        <f>-($AG$7/$AG$9)-$AG$13-AH191-$AG$18</f>
        <v>-21082.217297921226</v>
      </c>
      <c r="AM191" s="68">
        <f>AF191+AI191</f>
        <v>-36356.470636095</v>
      </c>
      <c r="AN191" s="68">
        <f>AF191+AJ191</f>
        <v>-12356.470636095</v>
      </c>
      <c r="AO191" s="68">
        <f>AF191+AK191</f>
        <v>-12356.470636095</v>
      </c>
      <c r="AP191" s="68">
        <f>AF191+AL191</f>
        <v>-18356.470636095</v>
      </c>
    </row>
    <row r="192" spans="1:42">
      <c r="A192" t="s">
        <v>335</v>
      </c>
      <c r="B192" t="s">
        <v>336</v>
      </c>
      <c r="C192" t="s">
        <v>98</v>
      </c>
      <c r="D192">
        <v>2</v>
      </c>
      <c r="E192">
        <v>4200</v>
      </c>
      <c r="F192">
        <f>F$2</f>
        <v>0.97299999999999998</v>
      </c>
      <c r="G192" s="60">
        <f>E192*12*F192</f>
        <v>49039.199999999997</v>
      </c>
      <c r="H192">
        <v>426</v>
      </c>
      <c r="I192" s="61">
        <v>0.54249999999999998</v>
      </c>
      <c r="J192">
        <v>210</v>
      </c>
      <c r="K192">
        <v>654</v>
      </c>
      <c r="L192">
        <f>K192-J192</f>
        <v>444</v>
      </c>
      <c r="M192">
        <f>H192-J192</f>
        <v>216</v>
      </c>
      <c r="N192" s="62">
        <f>0.8*M192/L192+0.1</f>
        <v>0.48918918918918919</v>
      </c>
      <c r="O192" s="61">
        <v>0.54249999999999998</v>
      </c>
      <c r="P192" s="63">
        <v>100</v>
      </c>
      <c r="Q192" s="64">
        <f>0.1+0.8*(P192-J192)/(K192-J192)</f>
        <v>-9.8198198198198194E-2</v>
      </c>
      <c r="R192" s="64">
        <f>$Q$2*Q192+$R$2</f>
        <v>0.92849507886608562</v>
      </c>
      <c r="S192" s="63">
        <f>365*P192*R192</f>
        <v>33890.070378612123</v>
      </c>
      <c r="T192" s="65">
        <f>S192*(1-$T$1)</f>
        <v>23723.049265028483</v>
      </c>
      <c r="U192" s="60">
        <f>J192</f>
        <v>210</v>
      </c>
      <c r="V192" s="63">
        <f>1.25*L192</f>
        <v>555</v>
      </c>
      <c r="W192" s="63">
        <f>J192-L192/8</f>
        <v>154.5</v>
      </c>
      <c r="X192">
        <f>1.25*L192/(2*$Q$2)</f>
        <v>-350.49042171140786</v>
      </c>
      <c r="Y192" s="63">
        <f>(($Q$2*W192)/V192-$R$2)*X192</f>
        <v>375.42863174874122</v>
      </c>
      <c r="Z192" s="63">
        <f>IF(Y192&gt;U192,Y192,U192)</f>
        <v>375.42863174874122</v>
      </c>
      <c r="AA192" s="64">
        <f>(Z192-W192)/V192</f>
        <v>0.39806960675448871</v>
      </c>
      <c r="AB192" s="64">
        <f>$Q$2*AA192+$R$2</f>
        <v>0.53557616484291182</v>
      </c>
      <c r="AC192" s="63">
        <f>Z192*AB192*365</f>
        <v>73390.778768937627</v>
      </c>
      <c r="AD192" s="65">
        <f>AC192*(1-$T$1)</f>
        <v>51373.545138256333</v>
      </c>
      <c r="AE192" s="63">
        <f>G192</f>
        <v>49039.199999999997</v>
      </c>
      <c r="AF192" s="63">
        <f>AD192-AE192</f>
        <v>2334.3451382563362</v>
      </c>
      <c r="AH192" s="66">
        <f>AB192*(365/$AG$23)*$AG$21</f>
        <v>6516.1766722554275</v>
      </c>
      <c r="AI192" s="66">
        <f>-$AG$7-$AG$13-AH192</f>
        <v>-40116.176672255431</v>
      </c>
      <c r="AJ192" s="66">
        <f>-$AG$13-AH192-$AG$18</f>
        <v>-16116.176672255428</v>
      </c>
      <c r="AK192" s="67">
        <f>-($AG$7/$AG$9)-$AG$13-AH192</f>
        <v>-16116.176672255428</v>
      </c>
      <c r="AL192" s="67">
        <f>-($AG$7/$AG$9)-$AG$13-AH192-$AG$18</f>
        <v>-22116.176672255428</v>
      </c>
      <c r="AM192" s="68">
        <f>AF192+AI192</f>
        <v>-37781.831533999095</v>
      </c>
      <c r="AN192" s="68">
        <f>AF192+AJ192</f>
        <v>-13781.831533999091</v>
      </c>
      <c r="AO192" s="68">
        <f>AF192+AK192</f>
        <v>-13781.831533999091</v>
      </c>
      <c r="AP192" s="68">
        <f>AF192+AL192</f>
        <v>-19781.831533999091</v>
      </c>
    </row>
    <row r="193" spans="1:42">
      <c r="A193" t="s">
        <v>337</v>
      </c>
      <c r="B193" t="s">
        <v>338</v>
      </c>
      <c r="C193" t="s">
        <v>98</v>
      </c>
      <c r="D193">
        <v>2</v>
      </c>
      <c r="E193">
        <v>1100</v>
      </c>
      <c r="F193">
        <f>F$2</f>
        <v>0.97299999999999998</v>
      </c>
      <c r="G193" s="60">
        <f>E193*12*F193</f>
        <v>12843.6</v>
      </c>
      <c r="H193">
        <v>142</v>
      </c>
      <c r="I193" s="61">
        <v>8.2199999999999995E-2</v>
      </c>
      <c r="J193">
        <v>111</v>
      </c>
      <c r="K193">
        <v>148</v>
      </c>
      <c r="L193">
        <f>K193-J193</f>
        <v>37</v>
      </c>
      <c r="M193">
        <f>H193-J193</f>
        <v>31</v>
      </c>
      <c r="N193" s="62">
        <f>0.8*M193/L193+0.1</f>
        <v>0.77027027027027029</v>
      </c>
      <c r="O193" s="61">
        <v>8.2199999999999995E-2</v>
      </c>
      <c r="P193" s="63">
        <v>100</v>
      </c>
      <c r="Q193" s="64">
        <f>0.1+0.8*(P193-J193)/(K193-J193)</f>
        <v>-0.13783783783783785</v>
      </c>
      <c r="R193" s="64">
        <f>$Q$2*Q193+$R$2</f>
        <v>0.95987967404642793</v>
      </c>
      <c r="S193" s="63">
        <f>365*P193*R193</f>
        <v>35035.608102694619</v>
      </c>
      <c r="T193" s="65">
        <f>S193*(1-$T$1)</f>
        <v>24524.925671886231</v>
      </c>
      <c r="U193" s="60">
        <f>J193</f>
        <v>111</v>
      </c>
      <c r="V193" s="63">
        <f>1.25*L193</f>
        <v>46.25</v>
      </c>
      <c r="W193" s="63">
        <f>J193-L193/8</f>
        <v>106.375</v>
      </c>
      <c r="X193">
        <f>1.25*L193/(2*$Q$2)</f>
        <v>-29.207535142617321</v>
      </c>
      <c r="Y193" s="63">
        <f>(($Q$2*W193)/V193-$R$2)*X193</f>
        <v>78.035719312395116</v>
      </c>
      <c r="Z193" s="63">
        <f>IF(Y193&gt;U193,Y193,U193)</f>
        <v>111</v>
      </c>
      <c r="AA193" s="64">
        <f>(Z193-W193)/V193</f>
        <v>0.1</v>
      </c>
      <c r="AB193" s="64">
        <f>$Q$2*AA193+$R$2</f>
        <v>0.77157210296437406</v>
      </c>
      <c r="AC193" s="63">
        <f>Z193*AB193*365</f>
        <v>31260.243751601614</v>
      </c>
      <c r="AD193" s="65">
        <f>AC193*(1-$T$1)</f>
        <v>21882.170626121129</v>
      </c>
      <c r="AE193" s="63">
        <f>G193</f>
        <v>12843.6</v>
      </c>
      <c r="AF193" s="63">
        <f>AD193-AE193</f>
        <v>9038.570626121129</v>
      </c>
      <c r="AH193" s="66">
        <f>AB193*(365/$AG$23)*$AG$21</f>
        <v>9387.4605860665506</v>
      </c>
      <c r="AI193" s="66">
        <f>-$AG$7-$AG$13-AH193</f>
        <v>-42987.460586066547</v>
      </c>
      <c r="AJ193" s="66">
        <f>-$AG$13-AH193-$AG$18</f>
        <v>-18987.460586066551</v>
      </c>
      <c r="AK193" s="67">
        <f>-($AG$7/$AG$9)-$AG$13-AH193</f>
        <v>-18987.460586066551</v>
      </c>
      <c r="AL193" s="67">
        <f>-($AG$7/$AG$9)-$AG$13-AH193-$AG$18</f>
        <v>-24987.460586066551</v>
      </c>
      <c r="AM193" s="68">
        <f>AF193+AI193</f>
        <v>-33948.889959945416</v>
      </c>
      <c r="AN193" s="68">
        <f>AF193+AJ193</f>
        <v>-9948.8899599454217</v>
      </c>
      <c r="AO193" s="68">
        <f>AF193+AK193</f>
        <v>-9948.8899599454217</v>
      </c>
      <c r="AP193" s="68">
        <f>AF193+AL193</f>
        <v>-15948.889959945422</v>
      </c>
    </row>
    <row r="194" spans="1:42">
      <c r="A194" t="s">
        <v>339</v>
      </c>
      <c r="B194" t="s">
        <v>336</v>
      </c>
      <c r="C194" t="s">
        <v>107</v>
      </c>
      <c r="D194">
        <v>1</v>
      </c>
      <c r="E194">
        <v>3000</v>
      </c>
      <c r="F194">
        <f>F$2</f>
        <v>0.97299999999999998</v>
      </c>
      <c r="G194" s="60">
        <f>E194*12*F194</f>
        <v>35028</v>
      </c>
      <c r="H194">
        <v>621</v>
      </c>
      <c r="I194" s="61">
        <v>0.34789999999999999</v>
      </c>
      <c r="J194">
        <v>133</v>
      </c>
      <c r="K194">
        <v>1040</v>
      </c>
      <c r="L194">
        <f>K194-J194</f>
        <v>907</v>
      </c>
      <c r="M194">
        <f>H194-J194</f>
        <v>488</v>
      </c>
      <c r="N194" s="62">
        <f>0.8*M194/L194+0.1</f>
        <v>0.53042998897464166</v>
      </c>
      <c r="O194" s="61">
        <v>0.34789999999999999</v>
      </c>
      <c r="P194" s="63">
        <v>100</v>
      </c>
      <c r="Q194" s="64">
        <f>0.1+0.8*(P194-J194)/(K194-J194)</f>
        <v>7.0893054024255789E-2</v>
      </c>
      <c r="R194" s="64">
        <f>$Q$2*Q194+$R$2</f>
        <v>0.79461746171862757</v>
      </c>
      <c r="S194" s="63">
        <f>365*P194*R194</f>
        <v>29003.537352729905</v>
      </c>
      <c r="T194" s="65">
        <f>S194*(1-$T$1)</f>
        <v>20302.476146910933</v>
      </c>
      <c r="U194" s="60">
        <f>J194</f>
        <v>133</v>
      </c>
      <c r="V194" s="63">
        <f>1.25*L194</f>
        <v>1133.75</v>
      </c>
      <c r="W194" s="63">
        <f>J194-L194/8</f>
        <v>19.625</v>
      </c>
      <c r="X194">
        <f>1.25*L194/(2*$Q$2)</f>
        <v>-715.97930741497055</v>
      </c>
      <c r="Y194" s="63">
        <f>(($Q$2*W194)/V194-$R$2)*X194</f>
        <v>618.92965990114487</v>
      </c>
      <c r="Z194" s="63">
        <f>IF(Y194&gt;U194,Y194,U194)</f>
        <v>618.92965990114487</v>
      </c>
      <c r="AA194" s="64">
        <f>(Z194-W194)/V194</f>
        <v>0.52860388965922367</v>
      </c>
      <c r="AB194" s="64">
        <f>$Q$2*AA194+$R$2</f>
        <v>0.43222594109303131</v>
      </c>
      <c r="AC194" s="63">
        <f>Z194*AB194*365</f>
        <v>97643.870973224184</v>
      </c>
      <c r="AD194" s="65">
        <f>AC194*(1-$T$1)</f>
        <v>68350.709681256922</v>
      </c>
      <c r="AE194" s="63">
        <f>G194</f>
        <v>35028</v>
      </c>
      <c r="AF194" s="63">
        <f>AD194-AE194</f>
        <v>33322.709681256922</v>
      </c>
      <c r="AH194" s="66">
        <f>AB194*(365/$AG$23)*$AG$21</f>
        <v>5258.7489499652147</v>
      </c>
      <c r="AI194" s="66">
        <f>-$AG$7-$AG$13-AH194</f>
        <v>-38858.748949965215</v>
      </c>
      <c r="AJ194" s="66">
        <f>-$AG$13-AH194-$AG$18</f>
        <v>-14858.748949965215</v>
      </c>
      <c r="AK194" s="67">
        <f>-($AG$7/$AG$9)-$AG$13-AH194</f>
        <v>-14858.748949965215</v>
      </c>
      <c r="AL194" s="67">
        <f>-($AG$7/$AG$9)-$AG$13-AH194-$AG$18</f>
        <v>-20858.748949965215</v>
      </c>
      <c r="AM194" s="68">
        <f>AF194+AI194</f>
        <v>-5536.0392687082931</v>
      </c>
      <c r="AN194" s="68">
        <f>AF194+AJ194</f>
        <v>18463.960731291707</v>
      </c>
      <c r="AO194" s="68">
        <f>AF194+AK194</f>
        <v>18463.960731291707</v>
      </c>
      <c r="AP194" s="68">
        <f>AF194+AL194</f>
        <v>12463.960731291707</v>
      </c>
    </row>
    <row r="195" spans="1:42">
      <c r="A195" t="s">
        <v>340</v>
      </c>
      <c r="B195" t="s">
        <v>336</v>
      </c>
      <c r="C195" t="s">
        <v>107</v>
      </c>
      <c r="D195">
        <v>2</v>
      </c>
      <c r="E195">
        <v>3900</v>
      </c>
      <c r="F195">
        <f>F$2</f>
        <v>0.97299999999999998</v>
      </c>
      <c r="G195" s="60">
        <f>E195*12*F195</f>
        <v>45536.4</v>
      </c>
      <c r="H195">
        <v>535</v>
      </c>
      <c r="I195" s="61">
        <v>0.47670000000000001</v>
      </c>
      <c r="J195">
        <v>231</v>
      </c>
      <c r="K195">
        <v>888</v>
      </c>
      <c r="L195">
        <f>K195-J195</f>
        <v>657</v>
      </c>
      <c r="M195">
        <f>H195-J195</f>
        <v>304</v>
      </c>
      <c r="N195" s="62">
        <f>0.8*M195/L195+0.1</f>
        <v>0.4701674277016743</v>
      </c>
      <c r="O195" s="61">
        <v>0.47670000000000001</v>
      </c>
      <c r="P195" s="63">
        <v>100</v>
      </c>
      <c r="Q195" s="64">
        <f>0.1+0.8*(P195-J195)/(K195-J195)</f>
        <v>-5.9512937595129378E-2</v>
      </c>
      <c r="R195" s="64">
        <f>$Q$2*Q195+$R$2</f>
        <v>0.89786611113300763</v>
      </c>
      <c r="S195" s="63">
        <f>365*P195*R195</f>
        <v>32772.113056354778</v>
      </c>
      <c r="T195" s="65">
        <f>S195*(1-$T$1)</f>
        <v>22940.479139448344</v>
      </c>
      <c r="U195" s="60">
        <f>J195</f>
        <v>231</v>
      </c>
      <c r="V195" s="63">
        <f>1.25*L195</f>
        <v>821.25</v>
      </c>
      <c r="W195" s="63">
        <f>J195-L195/8</f>
        <v>148.875</v>
      </c>
      <c r="X195">
        <f>1.25*L195/(2*$Q$2)</f>
        <v>-518.63109699188055</v>
      </c>
      <c r="Y195" s="63">
        <f>(($Q$2*W195)/V195-$R$2)*X195</f>
        <v>515.66128616874551</v>
      </c>
      <c r="Z195" s="63">
        <f>IF(Y195&gt;U195,Y195,U195)</f>
        <v>515.66128616874551</v>
      </c>
      <c r="AA195" s="64">
        <f>(Z195-W195)/V195</f>
        <v>0.44661952653728526</v>
      </c>
      <c r="AB195" s="64">
        <f>$Q$2*AA195+$R$2</f>
        <v>0.49713687547819607</v>
      </c>
      <c r="AC195" s="63">
        <f>Z195*AB195*365</f>
        <v>93569.297823014305</v>
      </c>
      <c r="AD195" s="65">
        <f>AC195*(1-$T$1)</f>
        <v>65498.508476110008</v>
      </c>
      <c r="AE195" s="63">
        <f>G195</f>
        <v>45536.4</v>
      </c>
      <c r="AF195" s="63">
        <f>AD195-AE195</f>
        <v>19962.108476110006</v>
      </c>
      <c r="AH195" s="66">
        <f>AB195*(365/$AG$23)*$AG$21</f>
        <v>6048.4986516513854</v>
      </c>
      <c r="AI195" s="66">
        <f>-$AG$7-$AG$13-AH195</f>
        <v>-39648.498651651389</v>
      </c>
      <c r="AJ195" s="66">
        <f>-$AG$13-AH195-$AG$18</f>
        <v>-15648.498651651385</v>
      </c>
      <c r="AK195" s="67">
        <f>-($AG$7/$AG$9)-$AG$13-AH195</f>
        <v>-15648.498651651385</v>
      </c>
      <c r="AL195" s="67">
        <f>-($AG$7/$AG$9)-$AG$13-AH195-$AG$18</f>
        <v>-21648.498651651385</v>
      </c>
      <c r="AM195" s="68">
        <f>AF195+AI195</f>
        <v>-19686.390175541383</v>
      </c>
      <c r="AN195" s="68">
        <f>AF195+AJ195</f>
        <v>4313.609824458621</v>
      </c>
      <c r="AO195" s="68">
        <f>AF195+AK195</f>
        <v>4313.609824458621</v>
      </c>
      <c r="AP195" s="68">
        <f>AF195+AL195</f>
        <v>-1686.390175541379</v>
      </c>
    </row>
    <row r="196" spans="1:42">
      <c r="A196" t="s">
        <v>341</v>
      </c>
      <c r="B196" t="s">
        <v>336</v>
      </c>
      <c r="C196" t="s">
        <v>98</v>
      </c>
      <c r="D196">
        <v>1</v>
      </c>
      <c r="E196">
        <v>3600</v>
      </c>
      <c r="F196">
        <f>F$2</f>
        <v>0.97299999999999998</v>
      </c>
      <c r="G196" s="60">
        <f>E196*12*F196</f>
        <v>42033.599999999999</v>
      </c>
      <c r="H196">
        <v>196</v>
      </c>
      <c r="I196" s="61">
        <v>0.77810000000000001</v>
      </c>
      <c r="J196">
        <v>137</v>
      </c>
      <c r="K196">
        <v>808</v>
      </c>
      <c r="L196">
        <f>K196-J196</f>
        <v>671</v>
      </c>
      <c r="M196">
        <f>H196-J196</f>
        <v>59</v>
      </c>
      <c r="N196" s="62">
        <f>0.8*M196/L196+0.1</f>
        <v>0.17034277198211625</v>
      </c>
      <c r="O196" s="61">
        <v>0.77810000000000001</v>
      </c>
      <c r="P196" s="63">
        <v>100</v>
      </c>
      <c r="Q196" s="64">
        <f>0.1+0.8*(P196-J196)/(K196-J196)</f>
        <v>5.5886736214605069E-2</v>
      </c>
      <c r="R196" s="64">
        <f>$Q$2*Q196+$R$2</f>
        <v>0.80649867996089641</v>
      </c>
      <c r="S196" s="63">
        <f>365*P196*R196</f>
        <v>29437.201818572717</v>
      </c>
      <c r="T196" s="65">
        <f>S196*(1-$T$1)</f>
        <v>20606.041273000901</v>
      </c>
      <c r="U196" s="60">
        <f>J196</f>
        <v>137</v>
      </c>
      <c r="V196" s="63">
        <f>1.25*L196</f>
        <v>838.75</v>
      </c>
      <c r="W196" s="63">
        <f>J196-L196/8</f>
        <v>53.125</v>
      </c>
      <c r="X196">
        <f>1.25*L196/(2*$Q$2)</f>
        <v>-529.68259677557364</v>
      </c>
      <c r="Y196" s="63">
        <f>(($Q$2*W196)/V196-$R$2)*X196</f>
        <v>477.18831509775993</v>
      </c>
      <c r="Z196" s="63">
        <f>IF(Y196&gt;U196,Y196,U196)</f>
        <v>477.18831509775993</v>
      </c>
      <c r="AA196" s="64">
        <f>(Z196-W196)/V196</f>
        <v>0.50558964542206841</v>
      </c>
      <c r="AB196" s="64">
        <f>$Q$2*AA196+$R$2</f>
        <v>0.45044741700277574</v>
      </c>
      <c r="AC196" s="63">
        <f>Z196*AB196*365</f>
        <v>78456.109045287798</v>
      </c>
      <c r="AD196" s="65">
        <f>AC196*(1-$T$1)</f>
        <v>54919.276331701454</v>
      </c>
      <c r="AE196" s="63">
        <f>G196</f>
        <v>42033.599999999999</v>
      </c>
      <c r="AF196" s="63">
        <f>AD196-AE196</f>
        <v>12885.676331701456</v>
      </c>
      <c r="AH196" s="66">
        <f>AB196*(365/$AG$23)*$AG$21</f>
        <v>5480.443573533772</v>
      </c>
      <c r="AI196" s="66">
        <f>-$AG$7-$AG$13-AH196</f>
        <v>-39080.443573533776</v>
      </c>
      <c r="AJ196" s="66">
        <f>-$AG$13-AH196-$AG$18</f>
        <v>-15080.443573533772</v>
      </c>
      <c r="AK196" s="67">
        <f>-($AG$7/$AG$9)-$AG$13-AH196</f>
        <v>-15080.443573533772</v>
      </c>
      <c r="AL196" s="67">
        <f>-($AG$7/$AG$9)-$AG$13-AH196-$AG$18</f>
        <v>-21080.443573533772</v>
      </c>
      <c r="AM196" s="68">
        <f>AF196+AI196</f>
        <v>-26194.76724183232</v>
      </c>
      <c r="AN196" s="68">
        <f>AF196+AJ196</f>
        <v>-2194.7672418323164</v>
      </c>
      <c r="AO196" s="68">
        <f>AF196+AK196</f>
        <v>-2194.7672418323164</v>
      </c>
      <c r="AP196" s="68">
        <f>AF196+AL196</f>
        <v>-8194.7672418323164</v>
      </c>
    </row>
    <row r="197" spans="1:42">
      <c r="A197" t="s">
        <v>342</v>
      </c>
      <c r="B197" t="s">
        <v>343</v>
      </c>
      <c r="C197" t="s">
        <v>98</v>
      </c>
      <c r="D197">
        <v>2</v>
      </c>
      <c r="E197">
        <v>3500</v>
      </c>
      <c r="F197">
        <f>F$2</f>
        <v>0.97299999999999998</v>
      </c>
      <c r="G197" s="60">
        <f>E197*12*F197</f>
        <v>40866</v>
      </c>
      <c r="H197">
        <v>294</v>
      </c>
      <c r="I197" s="61">
        <v>0.39729999999999999</v>
      </c>
      <c r="J197">
        <v>155</v>
      </c>
      <c r="K197">
        <v>483</v>
      </c>
      <c r="L197">
        <f>K197-J197</f>
        <v>328</v>
      </c>
      <c r="M197">
        <f>H197-J197</f>
        <v>139</v>
      </c>
      <c r="N197" s="62">
        <f>0.8*M197/L197+0.1</f>
        <v>0.4390243902439025</v>
      </c>
      <c r="O197" s="61">
        <v>0.39729999999999999</v>
      </c>
      <c r="P197" s="63">
        <v>100</v>
      </c>
      <c r="Q197" s="64">
        <f>0.1+0.8*(P197-J197)/(K197-J197)</f>
        <v>-3.4146341463414637E-2</v>
      </c>
      <c r="R197" s="64">
        <f>$Q$2*Q197+$R$2</f>
        <v>0.87778216592223979</v>
      </c>
      <c r="S197" s="63">
        <f>365*P197*R197</f>
        <v>32039.049056161752</v>
      </c>
      <c r="T197" s="65">
        <f>S197*(1-$T$1)</f>
        <v>22427.334339313224</v>
      </c>
      <c r="U197" s="60">
        <f>J197</f>
        <v>155</v>
      </c>
      <c r="V197" s="63">
        <f>1.25*L197</f>
        <v>410</v>
      </c>
      <c r="W197" s="63">
        <f>J197-L197/8</f>
        <v>114</v>
      </c>
      <c r="X197">
        <f>1.25*L197/(2*$Q$2)</f>
        <v>-258.9208520750941</v>
      </c>
      <c r="Y197" s="63">
        <f>(($Q$2*W197)/V197-$R$2)*X197</f>
        <v>277.27610633690796</v>
      </c>
      <c r="Z197" s="63">
        <f>IF(Y197&gt;U197,Y197,U197)</f>
        <v>277.27610633690796</v>
      </c>
      <c r="AA197" s="64">
        <f>(Z197-W197)/V197</f>
        <v>0.39823440569977553</v>
      </c>
      <c r="AB197" s="64">
        <f>$Q$2*AA197+$R$2</f>
        <v>0.53544568565008877</v>
      </c>
      <c r="AC197" s="63">
        <f>Z197*AB197*365</f>
        <v>54190.1976282627</v>
      </c>
      <c r="AD197" s="65">
        <f>AC197*(1-$T$1)</f>
        <v>37933.138339783887</v>
      </c>
      <c r="AE197" s="63">
        <f>G197</f>
        <v>40866</v>
      </c>
      <c r="AF197" s="63">
        <f>AD197-AE197</f>
        <v>-2932.8616602161128</v>
      </c>
      <c r="AH197" s="66">
        <f>AB197*(365/$AG$23)*$AG$21</f>
        <v>6514.5891754094137</v>
      </c>
      <c r="AI197" s="66">
        <f>-$AG$7-$AG$13-AH197</f>
        <v>-40114.589175409412</v>
      </c>
      <c r="AJ197" s="66">
        <f>-$AG$13-AH197-$AG$18</f>
        <v>-16114.589175409414</v>
      </c>
      <c r="AK197" s="67">
        <f>-($AG$7/$AG$9)-$AG$13-AH197</f>
        <v>-16114.589175409414</v>
      </c>
      <c r="AL197" s="67">
        <f>-($AG$7/$AG$9)-$AG$13-AH197-$AG$18</f>
        <v>-22114.589175409412</v>
      </c>
      <c r="AM197" s="68">
        <f>AF197+AI197</f>
        <v>-43047.450835625525</v>
      </c>
      <c r="AN197" s="68">
        <f>AF197+AJ197</f>
        <v>-19047.450835625525</v>
      </c>
      <c r="AO197" s="68">
        <f>AF197+AK197</f>
        <v>-19047.450835625525</v>
      </c>
      <c r="AP197" s="68">
        <f>AF197+AL197</f>
        <v>-25047.450835625525</v>
      </c>
    </row>
    <row r="198" spans="1:42">
      <c r="A198" t="s">
        <v>344</v>
      </c>
      <c r="B198" t="s">
        <v>343</v>
      </c>
      <c r="C198" t="s">
        <v>107</v>
      </c>
      <c r="D198">
        <v>1</v>
      </c>
      <c r="E198">
        <v>2500</v>
      </c>
      <c r="F198">
        <f>F$2</f>
        <v>0.97299999999999998</v>
      </c>
      <c r="G198" s="60">
        <f>E198*12*F198</f>
        <v>29190</v>
      </c>
      <c r="H198">
        <v>471</v>
      </c>
      <c r="I198" s="61">
        <v>0.6</v>
      </c>
      <c r="J198">
        <v>111</v>
      </c>
      <c r="K198">
        <v>868</v>
      </c>
      <c r="L198">
        <f>K198-J198</f>
        <v>757</v>
      </c>
      <c r="M198">
        <f>H198-J198</f>
        <v>360</v>
      </c>
      <c r="N198" s="62">
        <f>0.8*M198/L198+0.1</f>
        <v>0.480449141347424</v>
      </c>
      <c r="O198" s="61">
        <v>0.6</v>
      </c>
      <c r="P198" s="63">
        <v>100</v>
      </c>
      <c r="Q198" s="64">
        <f>0.1+0.8*(P198-J198)/(K198-J198)</f>
        <v>8.8375165125495384E-2</v>
      </c>
      <c r="R198" s="64">
        <f>$Q$2*Q198+$R$2</f>
        <v>0.78077603972796183</v>
      </c>
      <c r="S198" s="63">
        <f>365*P198*R198</f>
        <v>28498.325450070606</v>
      </c>
      <c r="T198" s="65">
        <f>S198*(1-$T$1)</f>
        <v>19948.827815049422</v>
      </c>
      <c r="U198" s="60">
        <f>J198</f>
        <v>111</v>
      </c>
      <c r="V198" s="63">
        <f>1.25*L198</f>
        <v>946.25</v>
      </c>
      <c r="W198" s="63">
        <f>J198-L198/8</f>
        <v>16.375</v>
      </c>
      <c r="X198">
        <f>1.25*L198/(2*$Q$2)</f>
        <v>-597.57038116111653</v>
      </c>
      <c r="Y198" s="63">
        <f>(($Q$2*W198)/V198-$R$2)*X198</f>
        <v>516.56863566170523</v>
      </c>
      <c r="Z198" s="63">
        <f>IF(Y198&gt;U198,Y198,U198)</f>
        <v>516.56863566170523</v>
      </c>
      <c r="AA198" s="64">
        <f>(Z198-W198)/V198</f>
        <v>0.52860621998595003</v>
      </c>
      <c r="AB198" s="64">
        <f>$Q$2*AA198+$R$2</f>
        <v>0.43222409606210749</v>
      </c>
      <c r="AC198" s="63">
        <f>Z198*AB198*365</f>
        <v>81494.795235064594</v>
      </c>
      <c r="AD198" s="65">
        <f>AC198*(1-$T$1)</f>
        <v>57046.356664545216</v>
      </c>
      <c r="AE198" s="63">
        <f>G198</f>
        <v>29190</v>
      </c>
      <c r="AF198" s="63">
        <f>AD198-AE198</f>
        <v>27856.356664545216</v>
      </c>
      <c r="AH198" s="66">
        <f>AB198*(365/$AG$23)*$AG$21</f>
        <v>5258.7265020889745</v>
      </c>
      <c r="AI198" s="66">
        <f>-$AG$7-$AG$13-AH198</f>
        <v>-38858.726502088975</v>
      </c>
      <c r="AJ198" s="66">
        <f>-$AG$13-AH198-$AG$18</f>
        <v>-14858.726502088975</v>
      </c>
      <c r="AK198" s="67">
        <f>-($AG$7/$AG$9)-$AG$13-AH198</f>
        <v>-14858.726502088975</v>
      </c>
      <c r="AL198" s="67">
        <f>-($AG$7/$AG$9)-$AG$13-AH198-$AG$18</f>
        <v>-20858.726502088975</v>
      </c>
      <c r="AM198" s="68">
        <f>AF198+AI198</f>
        <v>-11002.36983754376</v>
      </c>
      <c r="AN198" s="68">
        <f>AF198+AJ198</f>
        <v>12997.63016245624</v>
      </c>
      <c r="AO198" s="68">
        <f>AF198+AK198</f>
        <v>12997.63016245624</v>
      </c>
      <c r="AP198" s="68">
        <f>AF198+AL198</f>
        <v>6997.6301624562402</v>
      </c>
    </row>
    <row r="199" spans="1:42">
      <c r="A199" t="s">
        <v>345</v>
      </c>
      <c r="B199" t="s">
        <v>343</v>
      </c>
      <c r="C199" t="s">
        <v>107</v>
      </c>
      <c r="D199">
        <v>2</v>
      </c>
      <c r="E199">
        <v>3000</v>
      </c>
      <c r="F199">
        <f>F$2</f>
        <v>0.97299999999999998</v>
      </c>
      <c r="G199" s="60">
        <f>E199*12*F199</f>
        <v>35028</v>
      </c>
      <c r="H199">
        <v>620</v>
      </c>
      <c r="I199" s="61">
        <v>0.29320000000000002</v>
      </c>
      <c r="J199">
        <v>195</v>
      </c>
      <c r="K199">
        <v>752</v>
      </c>
      <c r="L199">
        <f>K199-J199</f>
        <v>557</v>
      </c>
      <c r="M199">
        <f>H199-J199</f>
        <v>425</v>
      </c>
      <c r="N199" s="62">
        <f>0.8*M199/L199+0.1</f>
        <v>0.71041292639138243</v>
      </c>
      <c r="O199" s="61">
        <v>0.29320000000000002</v>
      </c>
      <c r="P199" s="63">
        <v>100</v>
      </c>
      <c r="Q199" s="64">
        <f>0.1+0.8*(P199-J199)/(K199-J199)</f>
        <v>-3.6445242369838426E-2</v>
      </c>
      <c r="R199" s="64">
        <f>$Q$2*Q199+$R$2</f>
        <v>0.87960231552409651</v>
      </c>
      <c r="S199" s="63">
        <f>365*P199*R199</f>
        <v>32105.484516629524</v>
      </c>
      <c r="T199" s="65">
        <f>S199*(1-$T$1)</f>
        <v>22473.839161640666</v>
      </c>
      <c r="U199" s="60">
        <f>J199</f>
        <v>195</v>
      </c>
      <c r="V199" s="63">
        <f>1.25*L199</f>
        <v>696.25</v>
      </c>
      <c r="W199" s="63">
        <f>J199-L199/8</f>
        <v>125.375</v>
      </c>
      <c r="X199">
        <f>1.25*L199/(2*$Q$2)</f>
        <v>-439.69181282264452</v>
      </c>
      <c r="Y199" s="63">
        <f>(($Q$2*W199)/V199-$R$2)*X199</f>
        <v>436.75393667578578</v>
      </c>
      <c r="Z199" s="63">
        <f>IF(Y199&gt;U199,Y199,U199)</f>
        <v>436.75393667578578</v>
      </c>
      <c r="AA199" s="64">
        <f>(Z199-W199)/V199</f>
        <v>0.44722288930094906</v>
      </c>
      <c r="AB199" s="64">
        <f>$Q$2*AA199+$R$2</f>
        <v>0.49665916437242846</v>
      </c>
      <c r="AC199" s="63">
        <f>Z199*AB199*365</f>
        <v>79175.013507403972</v>
      </c>
      <c r="AD199" s="65">
        <f>AC199*(1-$T$1)</f>
        <v>55422.509455182779</v>
      </c>
      <c r="AE199" s="63">
        <f>G199</f>
        <v>35028</v>
      </c>
      <c r="AF199" s="63">
        <f>AD199-AE199</f>
        <v>20394.509455182779</v>
      </c>
      <c r="AH199" s="66">
        <f>AB199*(365/$AG$23)*$AG$21</f>
        <v>6042.686499864546</v>
      </c>
      <c r="AI199" s="66">
        <f>-$AG$7-$AG$13-AH199</f>
        <v>-39642.686499864547</v>
      </c>
      <c r="AJ199" s="66">
        <f>-$AG$13-AH199-$AG$18</f>
        <v>-15642.686499864547</v>
      </c>
      <c r="AK199" s="67">
        <f>-($AG$7/$AG$9)-$AG$13-AH199</f>
        <v>-15642.686499864547</v>
      </c>
      <c r="AL199" s="67">
        <f>-($AG$7/$AG$9)-$AG$13-AH199-$AG$18</f>
        <v>-21642.686499864547</v>
      </c>
      <c r="AM199" s="68">
        <f>AF199+AI199</f>
        <v>-19248.177044681768</v>
      </c>
      <c r="AN199" s="68">
        <f>AF199+AJ199</f>
        <v>4751.8229553182318</v>
      </c>
      <c r="AO199" s="68">
        <f>AF199+AK199</f>
        <v>4751.8229553182318</v>
      </c>
      <c r="AP199" s="68">
        <f>AF199+AL199</f>
        <v>-1248.1770446817682</v>
      </c>
    </row>
    <row r="200" spans="1:42">
      <c r="A200" t="s">
        <v>346</v>
      </c>
      <c r="B200" t="s">
        <v>343</v>
      </c>
      <c r="C200" t="s">
        <v>98</v>
      </c>
      <c r="D200">
        <v>1</v>
      </c>
      <c r="E200">
        <v>3000</v>
      </c>
      <c r="F200">
        <f>F$2</f>
        <v>0.97299999999999998</v>
      </c>
      <c r="G200" s="60">
        <f>E200*12*F200</f>
        <v>35028</v>
      </c>
      <c r="H200">
        <v>235</v>
      </c>
      <c r="I200" s="61">
        <v>0.6411</v>
      </c>
      <c r="J200">
        <v>80</v>
      </c>
      <c r="K200">
        <v>469</v>
      </c>
      <c r="L200">
        <f>K200-J200</f>
        <v>389</v>
      </c>
      <c r="M200">
        <f>H200-J200</f>
        <v>155</v>
      </c>
      <c r="N200" s="62">
        <f>0.8*M200/L200+0.1</f>
        <v>0.41876606683804629</v>
      </c>
      <c r="O200" s="61">
        <v>0.6411</v>
      </c>
      <c r="P200" s="63">
        <v>100</v>
      </c>
      <c r="Q200" s="64">
        <f>0.1+0.8*(P200-J200)/(K200-J200)</f>
        <v>0.14113110539845758</v>
      </c>
      <c r="R200" s="64">
        <f>$Q$2*Q200+$R$2</f>
        <v>0.73900664313714337</v>
      </c>
      <c r="S200" s="63">
        <f>365*P200*R200</f>
        <v>26973.742474505732</v>
      </c>
      <c r="T200" s="65">
        <f>S200*(1-$T$1)</f>
        <v>18881.619732154013</v>
      </c>
      <c r="U200" s="60">
        <f>J200</f>
        <v>80</v>
      </c>
      <c r="V200" s="63">
        <f>1.25*L200</f>
        <v>486.25</v>
      </c>
      <c r="W200" s="63">
        <f>J200-L200/8</f>
        <v>31.375</v>
      </c>
      <c r="X200">
        <f>1.25*L200/(2*$Q$2)</f>
        <v>-307.07381541832808</v>
      </c>
      <c r="Y200" s="63">
        <f>(($Q$2*W200)/V200-$R$2)*X200</f>
        <v>276.92958952761342</v>
      </c>
      <c r="Z200" s="63">
        <f>IF(Y200&gt;U200,Y200,U200)</f>
        <v>276.92958952761342</v>
      </c>
      <c r="AA200" s="64">
        <f>(Z200-W200)/V200</f>
        <v>0.50499658514676282</v>
      </c>
      <c r="AB200" s="64">
        <f>$Q$2*AA200+$R$2</f>
        <v>0.45091697113664825</v>
      </c>
      <c r="AC200" s="63">
        <f>Z200*AB200*365</f>
        <v>45578.371880685947</v>
      </c>
      <c r="AD200" s="65">
        <f>AC200*(1-$T$1)</f>
        <v>31904.860316480161</v>
      </c>
      <c r="AE200" s="63">
        <f>G200</f>
        <v>35028</v>
      </c>
      <c r="AF200" s="63">
        <f>AD200-AE200</f>
        <v>-3123.1396835198393</v>
      </c>
      <c r="AH200" s="66">
        <f>AB200*(365/$AG$23)*$AG$21</f>
        <v>5486.1564821625543</v>
      </c>
      <c r="AI200" s="66">
        <f>-$AG$7-$AG$13-AH200</f>
        <v>-39086.156482162551</v>
      </c>
      <c r="AJ200" s="66">
        <f>-$AG$13-AH200-$AG$18</f>
        <v>-15086.156482162554</v>
      </c>
      <c r="AK200" s="67">
        <f>-($AG$7/$AG$9)-$AG$13-AH200</f>
        <v>-15086.156482162554</v>
      </c>
      <c r="AL200" s="67">
        <f>-($AG$7/$AG$9)-$AG$13-AH200-$AG$18</f>
        <v>-21086.156482162554</v>
      </c>
      <c r="AM200" s="68">
        <f>AF200+AI200</f>
        <v>-42209.29616568239</v>
      </c>
      <c r="AN200" s="68">
        <f>AF200+AJ200</f>
        <v>-18209.296165682394</v>
      </c>
      <c r="AO200" s="68">
        <f>AF200+AK200</f>
        <v>-18209.296165682394</v>
      </c>
      <c r="AP200" s="68">
        <f>AF200+AL200</f>
        <v>-24209.296165682394</v>
      </c>
    </row>
    <row r="201" spans="1:42">
      <c r="A201" t="s">
        <v>347</v>
      </c>
      <c r="B201" t="s">
        <v>348</v>
      </c>
      <c r="C201" t="s">
        <v>98</v>
      </c>
      <c r="D201">
        <v>2</v>
      </c>
      <c r="E201">
        <v>3900</v>
      </c>
      <c r="F201">
        <f>F$2</f>
        <v>0.97299999999999998</v>
      </c>
      <c r="G201" s="60">
        <f>E201*12*F201</f>
        <v>45536.4</v>
      </c>
      <c r="H201">
        <v>284</v>
      </c>
      <c r="I201" s="61">
        <v>0.50409999999999999</v>
      </c>
      <c r="J201">
        <v>116</v>
      </c>
      <c r="K201">
        <v>361</v>
      </c>
      <c r="L201">
        <f>K201-J201</f>
        <v>245</v>
      </c>
      <c r="M201">
        <f>H201-J201</f>
        <v>168</v>
      </c>
      <c r="N201" s="62">
        <f>0.8*M201/L201+0.1</f>
        <v>0.64857142857142858</v>
      </c>
      <c r="O201" s="61">
        <v>0.50409999999999999</v>
      </c>
      <c r="P201" s="63">
        <v>100</v>
      </c>
      <c r="Q201" s="64">
        <f>0.1+0.8*(P201-J201)/(K201-J201)</f>
        <v>4.775510204081633E-2</v>
      </c>
      <c r="R201" s="64">
        <f>$Q$2*Q201+$R$2</f>
        <v>0.8129368829571666</v>
      </c>
      <c r="S201" s="63">
        <f>365*P201*R201</f>
        <v>29672.19622793658</v>
      </c>
      <c r="T201" s="65">
        <f>S201*(1-$T$1)</f>
        <v>20770.537359555605</v>
      </c>
      <c r="U201" s="60">
        <f>J201</f>
        <v>116</v>
      </c>
      <c r="V201" s="63">
        <f>1.25*L201</f>
        <v>306.25</v>
      </c>
      <c r="W201" s="63">
        <f>J201-L201/8</f>
        <v>85.375</v>
      </c>
      <c r="X201">
        <f>1.25*L201/(2*$Q$2)</f>
        <v>-193.4012462146282</v>
      </c>
      <c r="Y201" s="63">
        <f>(($Q$2*W201)/V201-$R$2)*X201</f>
        <v>207.22300625775134</v>
      </c>
      <c r="Z201" s="63">
        <f>IF(Y201&gt;U201,Y201,U201)</f>
        <v>207.22300625775134</v>
      </c>
      <c r="AA201" s="64">
        <f>(Z201-W201)/V201</f>
        <v>0.39787104084163699</v>
      </c>
      <c r="AB201" s="64">
        <f>$Q$2*AA201+$R$2</f>
        <v>0.5357333789560601</v>
      </c>
      <c r="AC201" s="63">
        <f>Z201*AB201*365</f>
        <v>40520.942689062736</v>
      </c>
      <c r="AD201" s="65">
        <f>AC201*(1-$T$1)</f>
        <v>28364.659882343913</v>
      </c>
      <c r="AE201" s="63">
        <f>G201</f>
        <v>45536.4</v>
      </c>
      <c r="AF201" s="63">
        <f>AD201-AE201</f>
        <v>-17171.740117656089</v>
      </c>
      <c r="AH201" s="66">
        <f>AB201*(365/$AG$23)*$AG$21</f>
        <v>6518.0894439653985</v>
      </c>
      <c r="AI201" s="66">
        <f>-$AG$7-$AG$13-AH201</f>
        <v>-40118.0894439654</v>
      </c>
      <c r="AJ201" s="66">
        <f>-$AG$13-AH201-$AG$18</f>
        <v>-16118.089443965398</v>
      </c>
      <c r="AK201" s="67">
        <f>-($AG$7/$AG$9)-$AG$13-AH201</f>
        <v>-16118.089443965398</v>
      </c>
      <c r="AL201" s="67">
        <f>-($AG$7/$AG$9)-$AG$13-AH201-$AG$18</f>
        <v>-22118.0894439654</v>
      </c>
      <c r="AM201" s="68">
        <f>AF201+AI201</f>
        <v>-57289.829561621489</v>
      </c>
      <c r="AN201" s="68">
        <f>AF201+AJ201</f>
        <v>-33289.829561621489</v>
      </c>
      <c r="AO201" s="68">
        <f>AF201+AK201</f>
        <v>-33289.829561621489</v>
      </c>
      <c r="AP201" s="68">
        <f>AF201+AL201</f>
        <v>-39289.829561621489</v>
      </c>
    </row>
    <row r="202" spans="1:42">
      <c r="A202" t="s">
        <v>349</v>
      </c>
      <c r="B202" t="s">
        <v>348</v>
      </c>
      <c r="C202" t="s">
        <v>107</v>
      </c>
      <c r="D202">
        <v>1</v>
      </c>
      <c r="E202">
        <v>2800</v>
      </c>
      <c r="F202">
        <f>F$2</f>
        <v>0.97299999999999998</v>
      </c>
      <c r="G202" s="60">
        <f>E202*12*F202</f>
        <v>32692.799999999999</v>
      </c>
      <c r="H202">
        <v>355</v>
      </c>
      <c r="I202" s="61">
        <v>0.4027</v>
      </c>
      <c r="J202">
        <v>102</v>
      </c>
      <c r="K202">
        <v>799</v>
      </c>
      <c r="L202">
        <f>K202-J202</f>
        <v>697</v>
      </c>
      <c r="M202">
        <f>H202-J202</f>
        <v>253</v>
      </c>
      <c r="N202" s="62">
        <f>0.8*M202/L202+0.1</f>
        <v>0.39038737446197991</v>
      </c>
      <c r="O202" s="61">
        <v>0.4027</v>
      </c>
      <c r="P202" s="63">
        <v>100</v>
      </c>
      <c r="Q202" s="64">
        <f>0.1+0.8*(P202-J202)/(K202-J202)</f>
        <v>9.7704447632711633E-2</v>
      </c>
      <c r="R202" s="64">
        <f>$Q$2*Q202+$R$2</f>
        <v>0.77338960136793111</v>
      </c>
      <c r="S202" s="63">
        <f>365*P202*R202</f>
        <v>28228.720449929486</v>
      </c>
      <c r="T202" s="65">
        <f>S202*(1-$T$1)</f>
        <v>19760.10431495064</v>
      </c>
      <c r="U202" s="60">
        <f>J202</f>
        <v>102</v>
      </c>
      <c r="V202" s="63">
        <f>1.25*L202</f>
        <v>871.25</v>
      </c>
      <c r="W202" s="63">
        <f>J202-L202/8</f>
        <v>14.875</v>
      </c>
      <c r="X202">
        <f>1.25*L202/(2*$Q$2)</f>
        <v>-550.2068106595749</v>
      </c>
      <c r="Y202" s="63">
        <f>(($Q$2*W202)/V202-$R$2)*X202</f>
        <v>475.52422596592936</v>
      </c>
      <c r="Z202" s="63">
        <f>IF(Y202&gt;U202,Y202,U202)</f>
        <v>475.52422596592936</v>
      </c>
      <c r="AA202" s="64">
        <f>(Z202-W202)/V202</f>
        <v>0.5287222105778242</v>
      </c>
      <c r="AB202" s="64">
        <f>$Q$2*AA202+$R$2</f>
        <v>0.43213226077289213</v>
      </c>
      <c r="AC202" s="63">
        <f>Z202*AB202*365</f>
        <v>75003.615968911879</v>
      </c>
      <c r="AD202" s="65">
        <f>AC202*(1-$T$1)</f>
        <v>52502.531178238314</v>
      </c>
      <c r="AE202" s="63">
        <f>G202</f>
        <v>32692.799999999999</v>
      </c>
      <c r="AF202" s="63">
        <f>AD202-AE202</f>
        <v>19809.731178238315</v>
      </c>
      <c r="AH202" s="66">
        <f>AB202*(365/$AG$23)*$AG$21</f>
        <v>5257.6091727368539</v>
      </c>
      <c r="AI202" s="66">
        <f>-$AG$7-$AG$13-AH202</f>
        <v>-38857.609172736855</v>
      </c>
      <c r="AJ202" s="66">
        <f>-$AG$13-AH202-$AG$18</f>
        <v>-14857.609172736855</v>
      </c>
      <c r="AK202" s="67">
        <f>-($AG$7/$AG$9)-$AG$13-AH202</f>
        <v>-14857.609172736855</v>
      </c>
      <c r="AL202" s="67">
        <f>-($AG$7/$AG$9)-$AG$13-AH202-$AG$18</f>
        <v>-20857.609172736855</v>
      </c>
      <c r="AM202" s="68">
        <f>AF202+AI202</f>
        <v>-19047.87799449854</v>
      </c>
      <c r="AN202" s="68">
        <f>AF202+AJ202</f>
        <v>4952.1220055014601</v>
      </c>
      <c r="AO202" s="68">
        <f>AF202+AK202</f>
        <v>4952.1220055014601</v>
      </c>
      <c r="AP202" s="68">
        <f>AF202+AL202</f>
        <v>-1047.8779944985399</v>
      </c>
    </row>
    <row r="203" spans="1:42">
      <c r="A203" t="s">
        <v>350</v>
      </c>
      <c r="B203" t="s">
        <v>348</v>
      </c>
      <c r="C203" t="s">
        <v>107</v>
      </c>
      <c r="D203">
        <v>2</v>
      </c>
      <c r="E203">
        <v>3500</v>
      </c>
      <c r="F203">
        <f>F$2</f>
        <v>0.97299999999999998</v>
      </c>
      <c r="G203" s="60">
        <f>E203*12*F203</f>
        <v>40866</v>
      </c>
      <c r="H203">
        <v>436</v>
      </c>
      <c r="I203" s="61">
        <v>0.50680000000000003</v>
      </c>
      <c r="J203">
        <v>188</v>
      </c>
      <c r="K203">
        <v>724</v>
      </c>
      <c r="L203">
        <f>K203-J203</f>
        <v>536</v>
      </c>
      <c r="M203">
        <f>H203-J203</f>
        <v>248</v>
      </c>
      <c r="N203" s="62">
        <f>0.8*M203/L203+0.1</f>
        <v>0.47014925373134331</v>
      </c>
      <c r="O203" s="61">
        <v>0.50680000000000003</v>
      </c>
      <c r="P203" s="63">
        <v>100</v>
      </c>
      <c r="Q203" s="64">
        <f>0.1+0.8*(P203-J203)/(K203-J203)</f>
        <v>-3.1343283582089571E-2</v>
      </c>
      <c r="R203" s="64">
        <f>$Q$2*Q203+$R$2</f>
        <v>0.87556285117386645</v>
      </c>
      <c r="S203" s="63">
        <f>365*P203*R203</f>
        <v>31958.044067846127</v>
      </c>
      <c r="T203" s="65">
        <f>S203*(1-$T$1)</f>
        <v>22370.630847492288</v>
      </c>
      <c r="U203" s="60">
        <f>J203</f>
        <v>188</v>
      </c>
      <c r="V203" s="63">
        <f>1.25*L203</f>
        <v>670</v>
      </c>
      <c r="W203" s="63">
        <f>J203-L203/8</f>
        <v>121</v>
      </c>
      <c r="X203">
        <f>1.25*L203/(2*$Q$2)</f>
        <v>-423.114563147105</v>
      </c>
      <c r="Y203" s="63">
        <f>(($Q$2*W203)/V203-$R$2)*X203</f>
        <v>420.46339328226424</v>
      </c>
      <c r="Z203" s="63">
        <f>IF(Y203&gt;U203,Y203,U203)</f>
        <v>420.46339328226424</v>
      </c>
      <c r="AA203" s="64">
        <f>(Z203-W203)/V203</f>
        <v>0.4469602884809914</v>
      </c>
      <c r="AB203" s="64">
        <f>$Q$2*AA203+$R$2</f>
        <v>0.49686707797869029</v>
      </c>
      <c r="AC203" s="63">
        <f>Z203*AB203*365</f>
        <v>76253.762430264687</v>
      </c>
      <c r="AD203" s="65">
        <f>AC203*(1-$T$1)</f>
        <v>53377.633701185281</v>
      </c>
      <c r="AE203" s="63">
        <f>G203</f>
        <v>40866</v>
      </c>
      <c r="AF203" s="63">
        <f>AD203-AE203</f>
        <v>12511.633701185281</v>
      </c>
      <c r="AH203" s="66">
        <f>AB203*(365/$AG$23)*$AG$21</f>
        <v>6045.2161154073983</v>
      </c>
      <c r="AI203" s="66">
        <f>-$AG$7-$AG$13-AH203</f>
        <v>-39645.216115407398</v>
      </c>
      <c r="AJ203" s="66">
        <f>-$AG$13-AH203-$AG$18</f>
        <v>-15645.216115407398</v>
      </c>
      <c r="AK203" s="67">
        <f>-($AG$7/$AG$9)-$AG$13-AH203</f>
        <v>-15645.216115407398</v>
      </c>
      <c r="AL203" s="67">
        <f>-($AG$7/$AG$9)-$AG$13-AH203-$AG$18</f>
        <v>-21645.216115407398</v>
      </c>
      <c r="AM203" s="68">
        <f>AF203+AI203</f>
        <v>-27133.582414222117</v>
      </c>
      <c r="AN203" s="68">
        <f>AF203+AJ203</f>
        <v>-3133.5824142221172</v>
      </c>
      <c r="AO203" s="68">
        <f>AF203+AK203</f>
        <v>-3133.5824142221172</v>
      </c>
      <c r="AP203" s="68">
        <f>AF203+AL203</f>
        <v>-9133.5824142221172</v>
      </c>
    </row>
    <row r="204" spans="1:42">
      <c r="A204" t="s">
        <v>351</v>
      </c>
      <c r="B204" t="s">
        <v>338</v>
      </c>
      <c r="C204" t="s">
        <v>107</v>
      </c>
      <c r="D204">
        <v>1</v>
      </c>
      <c r="E204">
        <v>900</v>
      </c>
      <c r="F204">
        <f>F$2</f>
        <v>0.97299999999999998</v>
      </c>
      <c r="G204" s="60">
        <f>E204*12*F204</f>
        <v>10508.4</v>
      </c>
      <c r="H204">
        <v>141</v>
      </c>
      <c r="I204" s="61">
        <v>0.54790000000000005</v>
      </c>
      <c r="J204">
        <v>116</v>
      </c>
      <c r="K204">
        <v>296</v>
      </c>
      <c r="L204">
        <f>K204-J204</f>
        <v>180</v>
      </c>
      <c r="M204">
        <f>H204-J204</f>
        <v>25</v>
      </c>
      <c r="N204" s="62">
        <f>0.8*M204/L204+0.1</f>
        <v>0.21111111111111111</v>
      </c>
      <c r="O204" s="61">
        <v>0.54790000000000005</v>
      </c>
      <c r="P204" s="63">
        <v>100</v>
      </c>
      <c r="Q204" s="64">
        <f>0.1+0.8*(P204-J204)/(K204-J204)</f>
        <v>2.8888888888888895E-2</v>
      </c>
      <c r="R204" s="64">
        <f>$Q$2*Q204+$R$2</f>
        <v>0.82787416462123053</v>
      </c>
      <c r="S204" s="63">
        <f>365*P204*R204</f>
        <v>30217.407008674916</v>
      </c>
      <c r="T204" s="65">
        <f>S204*(1-$T$1)</f>
        <v>21152.184906072442</v>
      </c>
      <c r="U204" s="60">
        <f>J204</f>
        <v>116</v>
      </c>
      <c r="V204" s="63">
        <f>1.25*L204</f>
        <v>225</v>
      </c>
      <c r="W204" s="63">
        <f>J204-L204/8</f>
        <v>93.5</v>
      </c>
      <c r="X204">
        <f>1.25*L204/(2*$Q$2)</f>
        <v>-142.09071150462481</v>
      </c>
      <c r="Y204" s="63">
        <f>(($Q$2*W204)/V204-$R$2)*X204</f>
        <v>167.63322908732755</v>
      </c>
      <c r="Z204" s="63">
        <f>IF(Y204&gt;U204,Y204,U204)</f>
        <v>167.63322908732755</v>
      </c>
      <c r="AA204" s="64">
        <f>(Z204-W204)/V204</f>
        <v>0.3294810181659002</v>
      </c>
      <c r="AB204" s="64">
        <f>$Q$2*AA204+$R$2</f>
        <v>0.58988102498829198</v>
      </c>
      <c r="AC204" s="63">
        <f>Z204*AB204*365</f>
        <v>36092.536263587426</v>
      </c>
      <c r="AD204" s="65">
        <f>AC204*(1-$T$1)</f>
        <v>25264.775384511198</v>
      </c>
      <c r="AE204" s="63">
        <f>G204</f>
        <v>10508.4</v>
      </c>
      <c r="AF204" s="63">
        <f>AD204-AE204</f>
        <v>14756.375384511199</v>
      </c>
      <c r="AH204" s="66">
        <f>AB204*(365/$AG$23)*$AG$21</f>
        <v>7176.8858040242194</v>
      </c>
      <c r="AI204" s="66">
        <f>-$AG$7-$AG$13-AH204</f>
        <v>-40776.885804024219</v>
      </c>
      <c r="AJ204" s="66">
        <f>-$AG$13-AH204-$AG$18</f>
        <v>-16776.885804024219</v>
      </c>
      <c r="AK204" s="67">
        <f>-($AG$7/$AG$9)-$AG$13-AH204</f>
        <v>-16776.885804024219</v>
      </c>
      <c r="AL204" s="67">
        <f>-($AG$7/$AG$9)-$AG$13-AH204-$AG$18</f>
        <v>-22776.885804024219</v>
      </c>
      <c r="AM204" s="68">
        <f>AF204+AI204</f>
        <v>-26020.510419513019</v>
      </c>
      <c r="AN204" s="68">
        <f>AF204+AJ204</f>
        <v>-2020.5104195130207</v>
      </c>
      <c r="AO204" s="68">
        <f>AF204+AK204</f>
        <v>-2020.5104195130207</v>
      </c>
      <c r="AP204" s="68">
        <f>AF204+AL204</f>
        <v>-8020.5104195130207</v>
      </c>
    </row>
    <row r="205" spans="1:42">
      <c r="A205" t="s">
        <v>352</v>
      </c>
      <c r="B205" t="s">
        <v>348</v>
      </c>
      <c r="C205" t="s">
        <v>98</v>
      </c>
      <c r="D205">
        <v>1</v>
      </c>
      <c r="E205">
        <v>2600</v>
      </c>
      <c r="F205">
        <f>F$2</f>
        <v>0.97299999999999998</v>
      </c>
      <c r="G205" s="60">
        <f>E205*12*F205</f>
        <v>30357.599999999999</v>
      </c>
      <c r="H205">
        <v>250</v>
      </c>
      <c r="I205" s="61">
        <v>0.36990000000000001</v>
      </c>
      <c r="J205">
        <v>69</v>
      </c>
      <c r="K205">
        <v>406</v>
      </c>
      <c r="L205">
        <f>K205-J205</f>
        <v>337</v>
      </c>
      <c r="M205">
        <f>H205-J205</f>
        <v>181</v>
      </c>
      <c r="N205" s="62">
        <f>0.8*M205/L205+0.1</f>
        <v>0.52967359050445106</v>
      </c>
      <c r="O205" s="61">
        <v>0.36990000000000001</v>
      </c>
      <c r="P205" s="63">
        <v>100</v>
      </c>
      <c r="Q205" s="64">
        <f>0.1+0.8*(P205-J205)/(K205-J205)</f>
        <v>0.17359050445103857</v>
      </c>
      <c r="R205" s="64">
        <f>$Q$2*Q205+$R$2</f>
        <v>0.71330698722897723</v>
      </c>
      <c r="S205" s="63">
        <f>365*P205*R205</f>
        <v>26035.70503385767</v>
      </c>
      <c r="T205" s="65">
        <f>S205*(1-$T$1)</f>
        <v>18224.993523700366</v>
      </c>
      <c r="U205" s="60">
        <f>J205</f>
        <v>69</v>
      </c>
      <c r="V205" s="63">
        <f>1.25*L205</f>
        <v>421.25</v>
      </c>
      <c r="W205" s="63">
        <f>J205-L205/8</f>
        <v>26.875</v>
      </c>
      <c r="X205">
        <f>1.25*L205/(2*$Q$2)</f>
        <v>-266.02538765032534</v>
      </c>
      <c r="Y205" s="63">
        <f>(($Q$2*W205)/V205-$R$2)*X205</f>
        <v>239.75776779127432</v>
      </c>
      <c r="Z205" s="63">
        <f>IF(Y205&gt;U205,Y205,U205)</f>
        <v>239.75776779127432</v>
      </c>
      <c r="AA205" s="64">
        <f>(Z205-W205)/V205</f>
        <v>0.50535968615139304</v>
      </c>
      <c r="AB205" s="64">
        <f>$Q$2*AA205+$R$2</f>
        <v>0.45062948673609637</v>
      </c>
      <c r="AC205" s="63">
        <f>Z205*AB205*365</f>
        <v>39435.300741882558</v>
      </c>
      <c r="AD205" s="65">
        <f>AC205*(1-$T$1)</f>
        <v>27604.710519317789</v>
      </c>
      <c r="AE205" s="63">
        <f>G205</f>
        <v>30357.599999999999</v>
      </c>
      <c r="AF205" s="63">
        <f>AD205-AE205</f>
        <v>-2752.88948068221</v>
      </c>
      <c r="AH205" s="66">
        <f>AB205*(365/$AG$23)*$AG$21</f>
        <v>5482.6587552891733</v>
      </c>
      <c r="AI205" s="66">
        <f>-$AG$7-$AG$13-AH205</f>
        <v>-39082.658755289172</v>
      </c>
      <c r="AJ205" s="66">
        <f>-$AG$13-AH205-$AG$18</f>
        <v>-15082.658755289172</v>
      </c>
      <c r="AK205" s="67">
        <f>-($AG$7/$AG$9)-$AG$13-AH205</f>
        <v>-15082.658755289172</v>
      </c>
      <c r="AL205" s="67">
        <f>-($AG$7/$AG$9)-$AG$13-AH205-$AG$18</f>
        <v>-21082.658755289172</v>
      </c>
      <c r="AM205" s="68">
        <f>AF205+AI205</f>
        <v>-41835.548235971379</v>
      </c>
      <c r="AN205" s="68">
        <f>AF205+AJ205</f>
        <v>-17835.548235971382</v>
      </c>
      <c r="AO205" s="68">
        <f>AF205+AK205</f>
        <v>-17835.548235971382</v>
      </c>
      <c r="AP205" s="68">
        <f>AF205+AL205</f>
        <v>-23835.548235971382</v>
      </c>
    </row>
    <row r="206" spans="1:42">
      <c r="A206" t="s">
        <v>353</v>
      </c>
      <c r="B206" t="s">
        <v>354</v>
      </c>
      <c r="C206" t="s">
        <v>98</v>
      </c>
      <c r="D206">
        <v>2</v>
      </c>
      <c r="E206">
        <v>2695</v>
      </c>
      <c r="F206">
        <f>F$2</f>
        <v>0.97299999999999998</v>
      </c>
      <c r="G206" s="60">
        <f>E206*12*F206</f>
        <v>31466.82</v>
      </c>
      <c r="H206">
        <v>443</v>
      </c>
      <c r="I206" s="61">
        <v>0.2356</v>
      </c>
      <c r="J206">
        <v>265</v>
      </c>
      <c r="K206">
        <v>534</v>
      </c>
      <c r="L206">
        <f>K206-J206</f>
        <v>269</v>
      </c>
      <c r="M206">
        <f>H206-J206</f>
        <v>178</v>
      </c>
      <c r="N206" s="62">
        <f>0.8*M206/L206+0.1</f>
        <v>0.6293680297397769</v>
      </c>
      <c r="O206" s="61">
        <v>0.2356</v>
      </c>
      <c r="P206" s="63">
        <v>100</v>
      </c>
      <c r="Q206" s="64">
        <f>0.1+0.8*(P206-J206)/(K206-J206)</f>
        <v>-0.39070631970260228</v>
      </c>
      <c r="R206" s="64">
        <f>$Q$2*Q206+$R$2</f>
        <v>1.1600877235983516</v>
      </c>
      <c r="S206" s="63">
        <f>365*P206*R206</f>
        <v>42343.201911339835</v>
      </c>
      <c r="T206" s="65">
        <f>S206*(1-$T$1)</f>
        <v>29640.241337937881</v>
      </c>
      <c r="U206" s="60">
        <f>J206</f>
        <v>265</v>
      </c>
      <c r="V206" s="63">
        <f>1.25*L206</f>
        <v>336.25</v>
      </c>
      <c r="W206" s="63">
        <f>J206-L206/8</f>
        <v>231.375</v>
      </c>
      <c r="X206">
        <f>1.25*L206/(2*$Q$2)</f>
        <v>-212.34667441524485</v>
      </c>
      <c r="Y206" s="63">
        <f>(($Q$2*W206)/V206-$R$2)*X206</f>
        <v>296.34077013606168</v>
      </c>
      <c r="Z206" s="63">
        <f>IF(Y206&gt;U206,Y206,U206)</f>
        <v>296.34077013606168</v>
      </c>
      <c r="AA206" s="64">
        <f>(Z206-W206)/V206</f>
        <v>0.19320675133401244</v>
      </c>
      <c r="AB206" s="64">
        <f>$Q$2*AA206+$R$2</f>
        <v>0.69777586805189618</v>
      </c>
      <c r="AC206" s="63">
        <f>Z206*AB206*365</f>
        <v>75474.494914113122</v>
      </c>
      <c r="AD206" s="65">
        <f>AC206*(1-$T$1)</f>
        <v>52832.14643987918</v>
      </c>
      <c r="AE206" s="63">
        <f>G206</f>
        <v>31466.82</v>
      </c>
      <c r="AF206" s="63">
        <f>AD206-AE206</f>
        <v>21365.32643987918</v>
      </c>
      <c r="AH206" s="66">
        <f>AB206*(365/$AG$23)*$AG$21</f>
        <v>8489.6063946314043</v>
      </c>
      <c r="AI206" s="66">
        <f>-$AG$7-$AG$13-AH206</f>
        <v>-42089.606394631403</v>
      </c>
      <c r="AJ206" s="66">
        <f>-$AG$13-AH206-$AG$18</f>
        <v>-18089.606394631403</v>
      </c>
      <c r="AK206" s="67">
        <f>-($AG$7/$AG$9)-$AG$13-AH206</f>
        <v>-18089.606394631403</v>
      </c>
      <c r="AL206" s="67">
        <f>-($AG$7/$AG$9)-$AG$13-AH206-$AG$18</f>
        <v>-24089.606394631403</v>
      </c>
      <c r="AM206" s="68">
        <f>AF206+AI206</f>
        <v>-20724.279954752223</v>
      </c>
      <c r="AN206" s="68">
        <f>AF206+AJ206</f>
        <v>3275.7200452477773</v>
      </c>
      <c r="AO206" s="68">
        <f>AF206+AK206</f>
        <v>3275.7200452477773</v>
      </c>
      <c r="AP206" s="68">
        <f>AF206+AL206</f>
        <v>-2724.2799547522227</v>
      </c>
    </row>
    <row r="207" spans="1:42">
      <c r="A207" t="s">
        <v>355</v>
      </c>
      <c r="B207" t="s">
        <v>354</v>
      </c>
      <c r="C207" t="s">
        <v>107</v>
      </c>
      <c r="D207">
        <v>1</v>
      </c>
      <c r="E207">
        <v>3000</v>
      </c>
      <c r="F207">
        <f>F$2</f>
        <v>0.97299999999999998</v>
      </c>
      <c r="G207" s="60">
        <f>E207*12*F207</f>
        <v>35028</v>
      </c>
      <c r="H207">
        <v>343</v>
      </c>
      <c r="I207" s="61">
        <v>0.58079999999999998</v>
      </c>
      <c r="J207">
        <v>158</v>
      </c>
      <c r="K207">
        <v>706</v>
      </c>
      <c r="L207">
        <f>K207-J207</f>
        <v>548</v>
      </c>
      <c r="M207">
        <f>H207-J207</f>
        <v>185</v>
      </c>
      <c r="N207" s="62">
        <f>0.8*M207/L207+0.1</f>
        <v>0.37007299270072991</v>
      </c>
      <c r="O207" s="61">
        <v>0.58079999999999998</v>
      </c>
      <c r="P207" s="63">
        <v>100</v>
      </c>
      <c r="Q207" s="64">
        <f>0.1+0.8*(P207-J207)/(K207-J207)</f>
        <v>1.5328467153284661E-2</v>
      </c>
      <c r="R207" s="64">
        <f>$Q$2*Q207+$R$2</f>
        <v>0.83861059791163473</v>
      </c>
      <c r="S207" s="63">
        <f>365*P207*R207</f>
        <v>30609.286823774666</v>
      </c>
      <c r="T207" s="65">
        <f>S207*(1-$T$1)</f>
        <v>21426.500776642264</v>
      </c>
      <c r="U207" s="60">
        <f>J207</f>
        <v>158</v>
      </c>
      <c r="V207" s="63">
        <f>1.25*L207</f>
        <v>685</v>
      </c>
      <c r="W207" s="63">
        <f>J207-L207/8</f>
        <v>89.5</v>
      </c>
      <c r="X207">
        <f>1.25*L207/(2*$Q$2)</f>
        <v>-432.58727724741328</v>
      </c>
      <c r="Y207" s="63">
        <f>(($Q$2*W207)/V207-$R$2)*X207</f>
        <v>412.77227522141936</v>
      </c>
      <c r="Z207" s="63">
        <f>IF(Y207&gt;U207,Y207,U207)</f>
        <v>412.77227522141936</v>
      </c>
      <c r="AA207" s="64">
        <f>(Z207-W207)/V207</f>
        <v>0.47193032879039321</v>
      </c>
      <c r="AB207" s="64">
        <f>$Q$2*AA207+$R$2</f>
        <v>0.47709710494483532</v>
      </c>
      <c r="AC207" s="63">
        <f>Z207*AB207*365</f>
        <v>71880.346991015671</v>
      </c>
      <c r="AD207" s="65">
        <f>AC207*(1-$T$1)</f>
        <v>50316.242893710965</v>
      </c>
      <c r="AE207" s="63">
        <f>G207</f>
        <v>35028</v>
      </c>
      <c r="AF207" s="63">
        <f>AD207-AE207</f>
        <v>15288.242893710965</v>
      </c>
      <c r="AH207" s="66">
        <f>AB207*(365/$AG$23)*$AG$21</f>
        <v>5804.6814434954968</v>
      </c>
      <c r="AI207" s="66">
        <f>-$AG$7-$AG$13-AH207</f>
        <v>-39404.681443495494</v>
      </c>
      <c r="AJ207" s="66">
        <f>-$AG$13-AH207-$AG$18</f>
        <v>-15404.681443495498</v>
      </c>
      <c r="AK207" s="67">
        <f>-($AG$7/$AG$9)-$AG$13-AH207</f>
        <v>-15404.681443495498</v>
      </c>
      <c r="AL207" s="67">
        <f>-($AG$7/$AG$9)-$AG$13-AH207-$AG$18</f>
        <v>-21404.681443495498</v>
      </c>
      <c r="AM207" s="68">
        <f>AF207+AI207</f>
        <v>-24116.438549784529</v>
      </c>
      <c r="AN207" s="68">
        <f>AF207+AJ207</f>
        <v>-116.43854978453237</v>
      </c>
      <c r="AO207" s="68">
        <f>AF207+AK207</f>
        <v>-116.43854978453237</v>
      </c>
      <c r="AP207" s="68">
        <f>AF207+AL207</f>
        <v>-6116.4385497845324</v>
      </c>
    </row>
    <row r="208" spans="1:42">
      <c r="A208" t="s">
        <v>356</v>
      </c>
      <c r="B208" t="s">
        <v>354</v>
      </c>
      <c r="C208" t="s">
        <v>107</v>
      </c>
      <c r="D208">
        <v>2</v>
      </c>
      <c r="E208">
        <v>4000</v>
      </c>
      <c r="F208">
        <f>F$2</f>
        <v>0.97299999999999998</v>
      </c>
      <c r="G208" s="60">
        <f>E208*12*F208</f>
        <v>46704</v>
      </c>
      <c r="H208">
        <v>739</v>
      </c>
      <c r="I208" s="61">
        <v>1.9199999999999998E-2</v>
      </c>
      <c r="J208">
        <v>306</v>
      </c>
      <c r="K208">
        <v>781</v>
      </c>
      <c r="L208">
        <f>K208-J208</f>
        <v>475</v>
      </c>
      <c r="M208">
        <f>H208-J208</f>
        <v>433</v>
      </c>
      <c r="N208" s="62">
        <f>0.8*M208/L208+0.1</f>
        <v>0.82926315789473692</v>
      </c>
      <c r="O208" s="61">
        <v>1.9199999999999998E-2</v>
      </c>
      <c r="P208" s="63">
        <v>100</v>
      </c>
      <c r="Q208" s="64">
        <f>0.1+0.8*(P208-J208)/(K208-J208)</f>
        <v>-0.24694736842105267</v>
      </c>
      <c r="R208" s="64">
        <f>$Q$2*Q208+$R$2</f>
        <v>1.046266898521774</v>
      </c>
      <c r="S208" s="63">
        <f>365*P208*R208</f>
        <v>38188.741796044749</v>
      </c>
      <c r="T208" s="65">
        <f>S208*(1-$T$1)</f>
        <v>26732.119257231323</v>
      </c>
      <c r="U208" s="60">
        <f>J208</f>
        <v>306</v>
      </c>
      <c r="V208" s="63">
        <f>1.25*L208</f>
        <v>593.75</v>
      </c>
      <c r="W208" s="63">
        <f>J208-L208/8</f>
        <v>246.625</v>
      </c>
      <c r="X208">
        <f>1.25*L208/(2*$Q$2)</f>
        <v>-374.96159980387102</v>
      </c>
      <c r="Y208" s="63">
        <f>(($Q$2*W208)/V208-$R$2)*X208</f>
        <v>442.30991009155878</v>
      </c>
      <c r="Z208" s="63">
        <f>IF(Y208&gt;U208,Y208,U208)</f>
        <v>442.30991009155878</v>
      </c>
      <c r="AA208" s="64">
        <f>(Z208-W208)/V208</f>
        <v>0.32957458541736218</v>
      </c>
      <c r="AB208" s="64">
        <f>$Q$2*AA208+$R$2</f>
        <v>0.58980694332821715</v>
      </c>
      <c r="AC208" s="63">
        <f>Z208*AB208*365</f>
        <v>95220.271467331506</v>
      </c>
      <c r="AD208" s="65">
        <f>AC208*(1-$T$1)</f>
        <v>66654.190027132048</v>
      </c>
      <c r="AE208" s="63">
        <f>G208</f>
        <v>46704</v>
      </c>
      <c r="AF208" s="63">
        <f>AD208-AE208</f>
        <v>19950.190027132048</v>
      </c>
      <c r="AH208" s="66">
        <f>AB208*(365/$AG$23)*$AG$21</f>
        <v>7175.9844771599755</v>
      </c>
      <c r="AI208" s="66">
        <f>-$AG$7-$AG$13-AH208</f>
        <v>-40775.984477159975</v>
      </c>
      <c r="AJ208" s="66">
        <f>-$AG$13-AH208-$AG$18</f>
        <v>-16775.984477159975</v>
      </c>
      <c r="AK208" s="67">
        <f>-($AG$7/$AG$9)-$AG$13-AH208</f>
        <v>-16775.984477159975</v>
      </c>
      <c r="AL208" s="67">
        <f>-($AG$7/$AG$9)-$AG$13-AH208-$AG$18</f>
        <v>-22775.984477159975</v>
      </c>
      <c r="AM208" s="68">
        <f>AF208+AI208</f>
        <v>-20825.794450027926</v>
      </c>
      <c r="AN208" s="68">
        <f>AF208+AJ208</f>
        <v>3174.2055499720736</v>
      </c>
      <c r="AO208" s="68">
        <f>AF208+AK208</f>
        <v>3174.2055499720736</v>
      </c>
      <c r="AP208" s="68">
        <f>AF208+AL208</f>
        <v>-2825.7944500279264</v>
      </c>
    </row>
    <row r="209" spans="1:42">
      <c r="A209" t="s">
        <v>357</v>
      </c>
      <c r="B209" t="s">
        <v>354</v>
      </c>
      <c r="C209" t="s">
        <v>98</v>
      </c>
      <c r="D209">
        <v>1</v>
      </c>
      <c r="E209">
        <v>2295</v>
      </c>
      <c r="F209">
        <f>F$2</f>
        <v>0.97299999999999998</v>
      </c>
      <c r="G209" s="60">
        <f>E209*12*F209</f>
        <v>26796.42</v>
      </c>
      <c r="H209">
        <v>270</v>
      </c>
      <c r="I209" s="61">
        <v>0.46850000000000003</v>
      </c>
      <c r="J209">
        <v>100</v>
      </c>
      <c r="K209">
        <v>469</v>
      </c>
      <c r="L209">
        <f>K209-J209</f>
        <v>369</v>
      </c>
      <c r="M209">
        <f>H209-J209</f>
        <v>170</v>
      </c>
      <c r="N209" s="62">
        <f>0.8*M209/L209+0.1</f>
        <v>0.46856368563685635</v>
      </c>
      <c r="O209" s="61">
        <v>0.46850000000000003</v>
      </c>
      <c r="P209" s="63">
        <v>100</v>
      </c>
      <c r="Q209" s="64">
        <f>0.1+0.8*(P209-J209)/(K209-J209)</f>
        <v>0.1</v>
      </c>
      <c r="R209" s="64">
        <f>$Q$2*Q209+$R$2</f>
        <v>0.77157210296437406</v>
      </c>
      <c r="S209" s="63">
        <f>365*P209*R209</f>
        <v>28162.381758199652</v>
      </c>
      <c r="T209" s="65">
        <f>S209*(1-$T$1)</f>
        <v>19713.667230739757</v>
      </c>
      <c r="U209" s="60">
        <f>J209</f>
        <v>100</v>
      </c>
      <c r="V209" s="63">
        <f>1.25*L209</f>
        <v>461.25</v>
      </c>
      <c r="W209" s="63">
        <f>J209-L209/8</f>
        <v>53.875</v>
      </c>
      <c r="X209">
        <f>1.25*L209/(2*$Q$2)</f>
        <v>-291.28595858448085</v>
      </c>
      <c r="Y209" s="63">
        <f>(($Q$2*W209)/V209-$R$2)*X209</f>
        <v>274.74811962902146</v>
      </c>
      <c r="Z209" s="63">
        <f>IF(Y209&gt;U209,Y209,U209)</f>
        <v>274.74811962902146</v>
      </c>
      <c r="AA209" s="64">
        <f>(Z209-W209)/V209</f>
        <v>0.47885771193283783</v>
      </c>
      <c r="AB209" s="64">
        <f>$Q$2*AA209+$R$2</f>
        <v>0.47161236498349268</v>
      </c>
      <c r="AC209" s="63">
        <f>Z209*AB209*365</f>
        <v>47294.732822648788</v>
      </c>
      <c r="AD209" s="65">
        <f>AC209*(1-$T$1)</f>
        <v>33106.312975854147</v>
      </c>
      <c r="AE209" s="63">
        <f>G209</f>
        <v>26796.42</v>
      </c>
      <c r="AF209" s="63">
        <f>AD209-AE209</f>
        <v>6309.892975854149</v>
      </c>
      <c r="AH209" s="66">
        <f>AB209*(365/$AG$23)*$AG$21</f>
        <v>5737.950440632495</v>
      </c>
      <c r="AI209" s="66">
        <f>-$AG$7-$AG$13-AH209</f>
        <v>-39337.950440632492</v>
      </c>
      <c r="AJ209" s="66">
        <f>-$AG$13-AH209-$AG$18</f>
        <v>-15337.950440632496</v>
      </c>
      <c r="AK209" s="67">
        <f>-($AG$7/$AG$9)-$AG$13-AH209</f>
        <v>-15337.950440632496</v>
      </c>
      <c r="AL209" s="67">
        <f>-($AG$7/$AG$9)-$AG$13-AH209-$AG$18</f>
        <v>-21337.950440632496</v>
      </c>
      <c r="AM209" s="68">
        <f>AF209+AI209</f>
        <v>-33028.057464778343</v>
      </c>
      <c r="AN209" s="68">
        <f>AF209+AJ209</f>
        <v>-9028.0574647783469</v>
      </c>
      <c r="AO209" s="68">
        <f>AF209+AK209</f>
        <v>-9028.0574647783469</v>
      </c>
      <c r="AP209" s="68">
        <f>AF209+AL209</f>
        <v>-15028.057464778347</v>
      </c>
    </row>
    <row r="210" spans="1:42">
      <c r="A210" t="s">
        <v>358</v>
      </c>
      <c r="B210" t="s">
        <v>359</v>
      </c>
      <c r="C210" t="s">
        <v>98</v>
      </c>
      <c r="D210">
        <v>2</v>
      </c>
      <c r="E210">
        <v>3000</v>
      </c>
      <c r="F210">
        <f>F$2</f>
        <v>0.97299999999999998</v>
      </c>
      <c r="G210" s="60">
        <f>E210*12*F210</f>
        <v>35028</v>
      </c>
      <c r="H210">
        <v>424</v>
      </c>
      <c r="I210" s="61">
        <v>0.34250000000000003</v>
      </c>
      <c r="J210">
        <v>270</v>
      </c>
      <c r="K210">
        <v>543</v>
      </c>
      <c r="L210">
        <f>K210-J210</f>
        <v>273</v>
      </c>
      <c r="M210">
        <f>H210-J210</f>
        <v>154</v>
      </c>
      <c r="N210" s="62">
        <f>0.8*M210/L210+0.1</f>
        <v>0.55128205128205132</v>
      </c>
      <c r="O210" s="61">
        <v>0.34250000000000003</v>
      </c>
      <c r="P210" s="63">
        <v>100</v>
      </c>
      <c r="Q210" s="64">
        <f>0.1+0.8*(P210-J210)/(K210-J210)</f>
        <v>-0.3981684981684982</v>
      </c>
      <c r="R210" s="64">
        <f>$Q$2*Q210+$R$2</f>
        <v>1.1659958865494953</v>
      </c>
      <c r="S210" s="63">
        <f>365*P210*R210</f>
        <v>42558.84985905658</v>
      </c>
      <c r="T210" s="65">
        <f>S210*(1-$T$1)</f>
        <v>29791.194901339604</v>
      </c>
      <c r="U210" s="60">
        <f>J210</f>
        <v>270</v>
      </c>
      <c r="V210" s="63">
        <f>1.25*L210</f>
        <v>341.25</v>
      </c>
      <c r="W210" s="63">
        <f>J210-L210/8</f>
        <v>235.875</v>
      </c>
      <c r="X210">
        <f>1.25*L210/(2*$Q$2)</f>
        <v>-215.50424578201429</v>
      </c>
      <c r="Y210" s="63">
        <f>(($Q$2*W210)/V210-$R$2)*X210</f>
        <v>301.27706411578009</v>
      </c>
      <c r="Z210" s="63">
        <f>IF(Y210&gt;U210,Y210,U210)</f>
        <v>301.27706411578009</v>
      </c>
      <c r="AA210" s="64">
        <f>(Z210-W210)/V210</f>
        <v>0.19165440033928233</v>
      </c>
      <c r="AB210" s="64">
        <f>$Q$2*AA210+$R$2</f>
        <v>0.69900493844684219</v>
      </c>
      <c r="AC210" s="63">
        <f>Z210*AB210*365</f>
        <v>76866.866815059111</v>
      </c>
      <c r="AD210" s="65">
        <f>AC210*(1-$T$1)</f>
        <v>53806.806770541378</v>
      </c>
      <c r="AE210" s="63">
        <f>G210</f>
        <v>35028</v>
      </c>
      <c r="AF210" s="63">
        <f>AD210-AE210</f>
        <v>18778.806770541378</v>
      </c>
      <c r="AH210" s="66">
        <f>AB210*(365/$AG$23)*$AG$21</f>
        <v>8504.5600844365799</v>
      </c>
      <c r="AI210" s="66">
        <f>-$AG$7-$AG$13-AH210</f>
        <v>-42104.560084436584</v>
      </c>
      <c r="AJ210" s="66">
        <f>-$AG$13-AH210-$AG$18</f>
        <v>-18104.56008443658</v>
      </c>
      <c r="AK210" s="67">
        <f>-($AG$7/$AG$9)-$AG$13-AH210</f>
        <v>-18104.56008443658</v>
      </c>
      <c r="AL210" s="67">
        <f>-($AG$7/$AG$9)-$AG$13-AH210-$AG$18</f>
        <v>-24104.56008443658</v>
      </c>
      <c r="AM210" s="68">
        <f>AF210+AI210</f>
        <v>-23325.753313895206</v>
      </c>
      <c r="AN210" s="68">
        <f>AF210+AJ210</f>
        <v>674.24668610479785</v>
      </c>
      <c r="AO210" s="68">
        <f>AF210+AK210</f>
        <v>674.24668610479785</v>
      </c>
      <c r="AP210" s="68">
        <f>AF210+AL210</f>
        <v>-5325.7533138952022</v>
      </c>
    </row>
    <row r="211" spans="1:42">
      <c r="A211" t="s">
        <v>360</v>
      </c>
      <c r="B211" t="s">
        <v>359</v>
      </c>
      <c r="C211" t="s">
        <v>107</v>
      </c>
      <c r="D211">
        <v>1</v>
      </c>
      <c r="E211">
        <v>3300</v>
      </c>
      <c r="F211">
        <f>F$2</f>
        <v>0.97299999999999998</v>
      </c>
      <c r="G211" s="60">
        <f>E211*12*F211</f>
        <v>38530.799999999996</v>
      </c>
      <c r="H211">
        <v>980</v>
      </c>
      <c r="I211" s="61">
        <v>0.2712</v>
      </c>
      <c r="J211">
        <v>283</v>
      </c>
      <c r="K211">
        <v>1261</v>
      </c>
      <c r="L211">
        <f>K211-J211</f>
        <v>978</v>
      </c>
      <c r="M211">
        <f>H211-J211</f>
        <v>697</v>
      </c>
      <c r="N211" s="62">
        <f>0.8*M211/L211+0.1</f>
        <v>0.67014314928425356</v>
      </c>
      <c r="O211" s="61">
        <v>0.2712</v>
      </c>
      <c r="P211" s="63">
        <v>100</v>
      </c>
      <c r="Q211" s="64">
        <f>0.1+0.8*(P211-J211)/(K211-J211)</f>
        <v>-4.9693251533742322E-2</v>
      </c>
      <c r="R211" s="64">
        <f>$Q$2*Q211+$R$2</f>
        <v>0.89009139686626904</v>
      </c>
      <c r="S211" s="63">
        <f>365*P211*R211</f>
        <v>32488.335985618818</v>
      </c>
      <c r="T211" s="65">
        <f>S211*(1-$T$1)</f>
        <v>22741.835189933172</v>
      </c>
      <c r="U211" s="60">
        <f>J211</f>
        <v>283</v>
      </c>
      <c r="V211" s="63">
        <f>1.25*L211</f>
        <v>1222.5</v>
      </c>
      <c r="W211" s="63">
        <f>J211-L211/8</f>
        <v>160.75</v>
      </c>
      <c r="X211">
        <f>1.25*L211/(2*$Q$2)</f>
        <v>-772.02619917512811</v>
      </c>
      <c r="Y211" s="63">
        <f>(($Q$2*W211)/V211-$R$2)*X211</f>
        <v>737.17387804114628</v>
      </c>
      <c r="Z211" s="63">
        <f>IF(Y211&gt;U211,Y211,U211)</f>
        <v>737.17387804114628</v>
      </c>
      <c r="AA211" s="64">
        <f>(Z211-W211)/V211</f>
        <v>0.47151237467578427</v>
      </c>
      <c r="AB211" s="64">
        <f>$Q$2*AA211+$R$2</f>
        <v>0.47742801917135724</v>
      </c>
      <c r="AC211" s="63">
        <f>Z211*AB211*365</f>
        <v>128460.82449798903</v>
      </c>
      <c r="AD211" s="65">
        <f>AC211*(1-$T$1)</f>
        <v>89922.577148592318</v>
      </c>
      <c r="AE211" s="63">
        <f>G211</f>
        <v>38530.799999999996</v>
      </c>
      <c r="AF211" s="63">
        <f>AD211-AE211</f>
        <v>51391.777148592322</v>
      </c>
      <c r="AH211" s="66">
        <f>AB211*(365/$AG$23)*$AG$21</f>
        <v>5808.707566584847</v>
      </c>
      <c r="AI211" s="66">
        <f>-$AG$7-$AG$13-AH211</f>
        <v>-39408.707566584846</v>
      </c>
      <c r="AJ211" s="66">
        <f>-$AG$13-AH211-$AG$18</f>
        <v>-15408.707566584846</v>
      </c>
      <c r="AK211" s="67">
        <f>-($AG$7/$AG$9)-$AG$13-AH211</f>
        <v>-15408.707566584846</v>
      </c>
      <c r="AL211" s="67">
        <f>-($AG$7/$AG$9)-$AG$13-AH211-$AG$18</f>
        <v>-21408.707566584846</v>
      </c>
      <c r="AM211" s="68">
        <f>AF211+AI211</f>
        <v>11983.069582007476</v>
      </c>
      <c r="AN211" s="68">
        <f>AF211+AJ211</f>
        <v>35983.069582007476</v>
      </c>
      <c r="AO211" s="68">
        <f>AF211+AK211</f>
        <v>35983.069582007476</v>
      </c>
      <c r="AP211" s="68">
        <f>AF211+AL211</f>
        <v>29983.069582007476</v>
      </c>
    </row>
    <row r="212" spans="1:42">
      <c r="A212" t="s">
        <v>361</v>
      </c>
      <c r="B212" t="s">
        <v>359</v>
      </c>
      <c r="C212" t="s">
        <v>107</v>
      </c>
      <c r="D212">
        <v>2</v>
      </c>
      <c r="E212">
        <v>4500</v>
      </c>
      <c r="F212">
        <f>F$2</f>
        <v>0.97299999999999998</v>
      </c>
      <c r="G212" s="60">
        <f>E212*12*F212</f>
        <v>52542</v>
      </c>
      <c r="H212">
        <v>994</v>
      </c>
      <c r="I212" s="61">
        <v>0.43009999999999998</v>
      </c>
      <c r="J212">
        <v>530</v>
      </c>
      <c r="K212">
        <v>1354</v>
      </c>
      <c r="L212">
        <f>K212-J212</f>
        <v>824</v>
      </c>
      <c r="M212">
        <f>H212-J212</f>
        <v>464</v>
      </c>
      <c r="N212" s="62">
        <f>0.8*M212/L212+0.1</f>
        <v>0.55048543689320395</v>
      </c>
      <c r="O212" s="61">
        <v>0.43009999999999998</v>
      </c>
      <c r="P212" s="63">
        <v>100</v>
      </c>
      <c r="Q212" s="64">
        <f>0.1+0.8*(P212-J212)/(K212-J212)</f>
        <v>-0.31747572815533975</v>
      </c>
      <c r="R212" s="64">
        <f>$Q$2*Q212+$R$2</f>
        <v>1.102107568091854</v>
      </c>
      <c r="S212" s="63">
        <f>365*P212*R212</f>
        <v>40226.926235352672</v>
      </c>
      <c r="T212" s="65">
        <f>S212*(1-$T$1)</f>
        <v>28158.848364746867</v>
      </c>
      <c r="U212" s="60">
        <f>J212</f>
        <v>530</v>
      </c>
      <c r="V212" s="63">
        <f>1.25*L212</f>
        <v>1030</v>
      </c>
      <c r="W212" s="63">
        <f>J212-L212/8</f>
        <v>427</v>
      </c>
      <c r="X212">
        <f>1.25*L212/(2*$Q$2)</f>
        <v>-650.4597015545047</v>
      </c>
      <c r="Y212" s="63">
        <f>(($Q$2*W212)/V212-$R$2)*X212</f>
        <v>766.87655982198839</v>
      </c>
      <c r="Z212" s="63">
        <f>IF(Y212&gt;U212,Y212,U212)</f>
        <v>766.87655982198839</v>
      </c>
      <c r="AA212" s="64">
        <f>(Z212-W212)/V212</f>
        <v>0.32997724254561978</v>
      </c>
      <c r="AB212" s="64">
        <f>$Q$2*AA212+$R$2</f>
        <v>0.58948814045609899</v>
      </c>
      <c r="AC212" s="63">
        <f>Z212*AB212*365</f>
        <v>165003.59258122451</v>
      </c>
      <c r="AD212" s="65">
        <f>AC212*(1-$T$1)</f>
        <v>115502.51480685714</v>
      </c>
      <c r="AE212" s="63">
        <f>G212</f>
        <v>52542</v>
      </c>
      <c r="AF212" s="63">
        <f>AD212-AE212</f>
        <v>62960.514806857143</v>
      </c>
      <c r="AH212" s="66">
        <f>AB212*(365/$AG$23)*$AG$21</f>
        <v>7172.1057088825373</v>
      </c>
      <c r="AI212" s="66">
        <f>-$AG$7-$AG$13-AH212</f>
        <v>-40772.10570888254</v>
      </c>
      <c r="AJ212" s="66">
        <f>-$AG$13-AH212-$AG$18</f>
        <v>-16772.105708882536</v>
      </c>
      <c r="AK212" s="67">
        <f>-($AG$7/$AG$9)-$AG$13-AH212</f>
        <v>-16772.105708882536</v>
      </c>
      <c r="AL212" s="67">
        <f>-($AG$7/$AG$9)-$AG$13-AH212-$AG$18</f>
        <v>-22772.105708882536</v>
      </c>
      <c r="AM212" s="68">
        <f>AF212+AI212</f>
        <v>22188.409097974603</v>
      </c>
      <c r="AN212" s="68">
        <f>AF212+AJ212</f>
        <v>46188.409097974611</v>
      </c>
      <c r="AO212" s="68">
        <f>AF212+AK212</f>
        <v>46188.409097974611</v>
      </c>
      <c r="AP212" s="68">
        <f>AF212+AL212</f>
        <v>40188.409097974611</v>
      </c>
    </row>
    <row r="213" spans="1:42">
      <c r="A213" t="s">
        <v>362</v>
      </c>
      <c r="B213" t="s">
        <v>359</v>
      </c>
      <c r="C213" t="s">
        <v>98</v>
      </c>
      <c r="D213">
        <v>1</v>
      </c>
      <c r="E213">
        <v>2700</v>
      </c>
      <c r="F213">
        <f>F$2</f>
        <v>0.97299999999999998</v>
      </c>
      <c r="G213" s="60">
        <f>E213*12*F213</f>
        <v>31525.200000000001</v>
      </c>
      <c r="H213">
        <v>284</v>
      </c>
      <c r="I213" s="61">
        <v>0.60550000000000004</v>
      </c>
      <c r="J213">
        <v>103</v>
      </c>
      <c r="K213">
        <v>483</v>
      </c>
      <c r="L213">
        <f>K213-J213</f>
        <v>380</v>
      </c>
      <c r="M213">
        <f>H213-J213</f>
        <v>181</v>
      </c>
      <c r="N213" s="62">
        <f>0.8*M213/L213+0.1</f>
        <v>0.4810526315789474</v>
      </c>
      <c r="O213" s="61">
        <v>0.60550000000000004</v>
      </c>
      <c r="P213" s="63">
        <v>100</v>
      </c>
      <c r="Q213" s="64">
        <f>0.1+0.8*(P213-J213)/(K213-J213)</f>
        <v>9.36842105263158E-2</v>
      </c>
      <c r="R213" s="64">
        <f>$Q$2*Q213+$R$2</f>
        <v>0.77657261501942376</v>
      </c>
      <c r="S213" s="63">
        <f>365*P213*R213</f>
        <v>28344.900448208966</v>
      </c>
      <c r="T213" s="65">
        <f>S213*(1-$T$1)</f>
        <v>19841.430313746274</v>
      </c>
      <c r="U213" s="60">
        <f>J213</f>
        <v>103</v>
      </c>
      <c r="V213" s="63">
        <f>1.25*L213</f>
        <v>475</v>
      </c>
      <c r="W213" s="63">
        <f>J213-L213/8</f>
        <v>55.5</v>
      </c>
      <c r="X213">
        <f>1.25*L213/(2*$Q$2)</f>
        <v>-299.96927984309684</v>
      </c>
      <c r="Y213" s="63">
        <f>(($Q$2*W213)/V213-$R$2)*X213</f>
        <v>282.94792807324706</v>
      </c>
      <c r="Z213" s="63">
        <f>IF(Y213&gt;U213,Y213,U213)</f>
        <v>282.94792807324706</v>
      </c>
      <c r="AA213" s="64">
        <f>(Z213-W213)/V213</f>
        <v>0.47883774331209905</v>
      </c>
      <c r="AB213" s="64">
        <f>$Q$2*AA213+$R$2</f>
        <v>0.47162817509387445</v>
      </c>
      <c r="AC213" s="63">
        <f>Z213*AB213*365</f>
        <v>48707.868461779093</v>
      </c>
      <c r="AD213" s="65">
        <f>AC213*(1-$T$1)</f>
        <v>34095.507923245365</v>
      </c>
      <c r="AE213" s="63">
        <f>G213</f>
        <v>31525.200000000001</v>
      </c>
      <c r="AF213" s="63">
        <f>AD213-AE213</f>
        <v>2570.3079232453638</v>
      </c>
      <c r="AH213" s="66">
        <f>AB213*(365/$AG$23)*$AG$21</f>
        <v>5738.1427969754723</v>
      </c>
      <c r="AI213" s="66">
        <f>-$AG$7-$AG$13-AH213</f>
        <v>-39338.142796975473</v>
      </c>
      <c r="AJ213" s="66">
        <f>-$AG$13-AH213-$AG$18</f>
        <v>-15338.142796975473</v>
      </c>
      <c r="AK213" s="67">
        <f>-($AG$7/$AG$9)-$AG$13-AH213</f>
        <v>-15338.142796975473</v>
      </c>
      <c r="AL213" s="67">
        <f>-($AG$7/$AG$9)-$AG$13-AH213-$AG$18</f>
        <v>-21338.142796975473</v>
      </c>
      <c r="AM213" s="68">
        <f>AF213+AI213</f>
        <v>-36767.834873730113</v>
      </c>
      <c r="AN213" s="68">
        <f>AF213+AJ213</f>
        <v>-12767.834873730109</v>
      </c>
      <c r="AO213" s="68">
        <f>AF213+AK213</f>
        <v>-12767.834873730109</v>
      </c>
      <c r="AP213" s="68">
        <f>AF213+AL213</f>
        <v>-18767.834873730109</v>
      </c>
    </row>
    <row r="214" spans="1:42">
      <c r="A214" t="s">
        <v>363</v>
      </c>
      <c r="B214" t="s">
        <v>364</v>
      </c>
      <c r="C214" t="s">
        <v>98</v>
      </c>
      <c r="D214">
        <v>1</v>
      </c>
      <c r="E214">
        <v>2700</v>
      </c>
      <c r="F214">
        <f>F$2</f>
        <v>0.97299999999999998</v>
      </c>
      <c r="G214" s="60">
        <f>E214*12*F214</f>
        <v>31525.200000000001</v>
      </c>
      <c r="H214">
        <v>236</v>
      </c>
      <c r="I214" s="61">
        <v>0.56710000000000005</v>
      </c>
      <c r="J214">
        <v>110</v>
      </c>
      <c r="K214">
        <v>515</v>
      </c>
      <c r="L214">
        <f>K214-J214</f>
        <v>405</v>
      </c>
      <c r="M214">
        <f>H214-J214</f>
        <v>126</v>
      </c>
      <c r="N214" s="62">
        <f>0.8*M214/L214+0.1</f>
        <v>0.34888888888888892</v>
      </c>
      <c r="O214" s="61">
        <v>0.56710000000000005</v>
      </c>
      <c r="P214" s="63">
        <v>100</v>
      </c>
      <c r="Q214" s="64">
        <f>0.1+0.8*(P214-J214)/(K214-J214)</f>
        <v>8.0246913580246923E-2</v>
      </c>
      <c r="R214" s="64">
        <f>$Q$2*Q214+$R$2</f>
        <v>0.78721156453572305</v>
      </c>
      <c r="S214" s="63">
        <f>365*P214*R214</f>
        <v>28733.22210555389</v>
      </c>
      <c r="T214" s="65">
        <f>S214*(1-$T$1)</f>
        <v>20113.255473887722</v>
      </c>
      <c r="U214" s="60">
        <f>J214</f>
        <v>110</v>
      </c>
      <c r="V214" s="63">
        <f>1.25*L214</f>
        <v>506.25</v>
      </c>
      <c r="W214" s="63">
        <f>J214-L214/8</f>
        <v>59.375</v>
      </c>
      <c r="X214">
        <f>1.25*L214/(2*$Q$2)</f>
        <v>-319.70410088540581</v>
      </c>
      <c r="Y214" s="63">
        <f>(($Q$2*W214)/V214-$R$2)*X214</f>
        <v>301.67476544648696</v>
      </c>
      <c r="Z214" s="63">
        <f>IF(Y214&gt;U214,Y214,U214)</f>
        <v>301.67476544648696</v>
      </c>
      <c r="AA214" s="64">
        <f>(Z214-W214)/V214</f>
        <v>0.47861682063503597</v>
      </c>
      <c r="AB214" s="64">
        <f>$Q$2*AA214+$R$2</f>
        <v>0.47180309012460669</v>
      </c>
      <c r="AC214" s="63">
        <f>Z214*AB214*365</f>
        <v>51950.846590847992</v>
      </c>
      <c r="AD214" s="65">
        <f>AC214*(1-$T$1)</f>
        <v>36365.592613593595</v>
      </c>
      <c r="AE214" s="63">
        <f>G214</f>
        <v>31525.200000000001</v>
      </c>
      <c r="AF214" s="63">
        <f>AD214-AE214</f>
        <v>4840.3926135935944</v>
      </c>
      <c r="AH214" s="66">
        <f>AB214*(365/$AG$23)*$AG$21</f>
        <v>5740.2709298493819</v>
      </c>
      <c r="AI214" s="66">
        <f>-$AG$7-$AG$13-AH214</f>
        <v>-39340.270929849379</v>
      </c>
      <c r="AJ214" s="66">
        <f>-$AG$13-AH214-$AG$18</f>
        <v>-15340.270929849383</v>
      </c>
      <c r="AK214" s="67">
        <f>-($AG$7/$AG$9)-$AG$13-AH214</f>
        <v>-15340.270929849383</v>
      </c>
      <c r="AL214" s="67">
        <f>-($AG$7/$AG$9)-$AG$13-AH214-$AG$18</f>
        <v>-21340.270929849383</v>
      </c>
      <c r="AM214" s="68">
        <f>AF214+AI214</f>
        <v>-34499.878316255781</v>
      </c>
      <c r="AN214" s="68">
        <f>AF214+AJ214</f>
        <v>-10499.878316255788</v>
      </c>
      <c r="AO214" s="68">
        <f>AF214+AK214</f>
        <v>-10499.878316255788</v>
      </c>
      <c r="AP214" s="68">
        <f>AF214+AL214</f>
        <v>-16499.878316255788</v>
      </c>
    </row>
    <row r="215" spans="1:42">
      <c r="A215" t="s">
        <v>365</v>
      </c>
      <c r="B215" t="s">
        <v>338</v>
      </c>
      <c r="C215" t="s">
        <v>107</v>
      </c>
      <c r="D215">
        <v>2</v>
      </c>
      <c r="E215">
        <v>1100</v>
      </c>
      <c r="F215">
        <f>F$2</f>
        <v>0.97299999999999998</v>
      </c>
      <c r="G215" s="60">
        <f>E215*12*F215</f>
        <v>12843.6</v>
      </c>
      <c r="H215">
        <v>188</v>
      </c>
      <c r="I215" s="61">
        <v>0.61919999999999997</v>
      </c>
      <c r="J215">
        <v>136</v>
      </c>
      <c r="K215">
        <v>335</v>
      </c>
      <c r="L215">
        <f>K215-J215</f>
        <v>199</v>
      </c>
      <c r="M215">
        <f>H215-J215</f>
        <v>52</v>
      </c>
      <c r="N215" s="62">
        <f>0.8*M215/L215+0.1</f>
        <v>0.30904522613065327</v>
      </c>
      <c r="O215" s="61">
        <v>0.61919999999999997</v>
      </c>
      <c r="P215" s="63">
        <v>100</v>
      </c>
      <c r="Q215" s="64">
        <f>0.1+0.8*(P215-J215)/(K215-J215)</f>
        <v>-4.472361809045225E-2</v>
      </c>
      <c r="R215" s="64">
        <f>$Q$2*Q215+$R$2</f>
        <v>0.88615670080873021</v>
      </c>
      <c r="S215" s="63">
        <f>365*P215*R215</f>
        <v>32344.719579518653</v>
      </c>
      <c r="T215" s="65">
        <f>S215*(1-$T$1)</f>
        <v>22641.303705663056</v>
      </c>
      <c r="U215" s="60">
        <f>J215</f>
        <v>136</v>
      </c>
      <c r="V215" s="63">
        <f>1.25*L215</f>
        <v>248.75</v>
      </c>
      <c r="W215" s="63">
        <f>J215-L215/8</f>
        <v>111.125</v>
      </c>
      <c r="X215">
        <f>1.25*L215/(2*$Q$2)</f>
        <v>-157.08917549677966</v>
      </c>
      <c r="Y215" s="63">
        <f>(($Q$2*W215)/V215-$R$2)*X215</f>
        <v>189.20562549098989</v>
      </c>
      <c r="Z215" s="63">
        <f>IF(Y215&gt;U215,Y215,U215)</f>
        <v>189.20562549098989</v>
      </c>
      <c r="AA215" s="64">
        <f>(Z215-W215)/V215</f>
        <v>0.31389196177282369</v>
      </c>
      <c r="AB215" s="64">
        <f>$Q$2*AA215+$R$2</f>
        <v>0.60222362518819328</v>
      </c>
      <c r="AC215" s="63">
        <f>Z215*AB215*365</f>
        <v>41589.595656552003</v>
      </c>
      <c r="AD215" s="65">
        <f>AC215*(1-$T$1)</f>
        <v>29112.7169595864</v>
      </c>
      <c r="AE215" s="63">
        <f>G215</f>
        <v>12843.6</v>
      </c>
      <c r="AF215" s="63">
        <f>AD215-AE215</f>
        <v>16269.116959586399</v>
      </c>
      <c r="AH215" s="66">
        <f>AB215*(365/$AG$23)*$AG$21</f>
        <v>7327.0541064563513</v>
      </c>
      <c r="AI215" s="66">
        <f>-$AG$7-$AG$13-AH215</f>
        <v>-40927.054106456351</v>
      </c>
      <c r="AJ215" s="66">
        <f>-$AG$13-AH215-$AG$18</f>
        <v>-16927.054106456351</v>
      </c>
      <c r="AK215" s="67">
        <f>-($AG$7/$AG$9)-$AG$13-AH215</f>
        <v>-16927.054106456351</v>
      </c>
      <c r="AL215" s="67">
        <f>-($AG$7/$AG$9)-$AG$13-AH215-$AG$18</f>
        <v>-22927.054106456351</v>
      </c>
      <c r="AM215" s="68">
        <f>AF215+AI215</f>
        <v>-24657.937146869954</v>
      </c>
      <c r="AN215" s="68">
        <f>AF215+AJ215</f>
        <v>-657.9371468699519</v>
      </c>
      <c r="AO215" s="68">
        <f>AF215+AK215</f>
        <v>-657.9371468699519</v>
      </c>
      <c r="AP215" s="68">
        <f>AF215+AL215</f>
        <v>-6657.9371468699519</v>
      </c>
    </row>
    <row r="216" spans="1:42">
      <c r="A216" t="s">
        <v>366</v>
      </c>
      <c r="B216" t="s">
        <v>364</v>
      </c>
      <c r="C216" t="s">
        <v>98</v>
      </c>
      <c r="D216">
        <v>2</v>
      </c>
      <c r="E216">
        <v>3000</v>
      </c>
      <c r="F216">
        <f>F$2</f>
        <v>0.97299999999999998</v>
      </c>
      <c r="G216" s="60">
        <f>E216*12*F216</f>
        <v>35028</v>
      </c>
      <c r="H216">
        <v>329</v>
      </c>
      <c r="I216" s="61">
        <v>0.70409999999999995</v>
      </c>
      <c r="J216">
        <v>270</v>
      </c>
      <c r="K216">
        <v>544</v>
      </c>
      <c r="L216">
        <f>K216-J216</f>
        <v>274</v>
      </c>
      <c r="M216">
        <f>H216-J216</f>
        <v>59</v>
      </c>
      <c r="N216" s="62">
        <f>0.8*M216/L216+0.1</f>
        <v>0.27226277372262775</v>
      </c>
      <c r="O216" s="61">
        <v>0.70409999999999995</v>
      </c>
      <c r="P216" s="63">
        <v>100</v>
      </c>
      <c r="Q216" s="64">
        <f>0.1+0.8*(P216-J216)/(K216-J216)</f>
        <v>-0.39635036496350362</v>
      </c>
      <c r="R216" s="64">
        <f>$Q$2*Q216+$R$2</f>
        <v>1.1645563836896957</v>
      </c>
      <c r="S216" s="63">
        <f>365*P216*R216</f>
        <v>42506.308004673891</v>
      </c>
      <c r="T216" s="65">
        <f>S216*(1-$T$1)</f>
        <v>29754.415603271722</v>
      </c>
      <c r="U216" s="60">
        <f>J216</f>
        <v>270</v>
      </c>
      <c r="V216" s="63">
        <f>1.25*L216</f>
        <v>342.5</v>
      </c>
      <c r="W216" s="63">
        <f>J216-L216/8</f>
        <v>235.75</v>
      </c>
      <c r="X216">
        <f>1.25*L216/(2*$Q$2)</f>
        <v>-216.29363862370664</v>
      </c>
      <c r="Y216" s="63">
        <f>(($Q$2*W216)/V216-$R$2)*X216</f>
        <v>301.88613761070968</v>
      </c>
      <c r="Z216" s="63">
        <f>IF(Y216&gt;U216,Y216,U216)</f>
        <v>301.88613761070968</v>
      </c>
      <c r="AA216" s="64">
        <f>(Z216-W216)/V216</f>
        <v>0.19309821200207206</v>
      </c>
      <c r="AB216" s="64">
        <f>$Q$2*AA216+$R$2</f>
        <v>0.69786180382288365</v>
      </c>
      <c r="AC216" s="63">
        <f>Z216*AB216*365</f>
        <v>76896.303657878598</v>
      </c>
      <c r="AD216" s="65">
        <f>AC216*(1-$T$1)</f>
        <v>53827.412560515018</v>
      </c>
      <c r="AE216" s="63">
        <f>G216</f>
        <v>35028</v>
      </c>
      <c r="AF216" s="63">
        <f>AD216-AE216</f>
        <v>18799.412560515018</v>
      </c>
      <c r="AH216" s="66">
        <f>AB216*(365/$AG$23)*$AG$21</f>
        <v>8490.6519465117508</v>
      </c>
      <c r="AI216" s="66">
        <f>-$AG$7-$AG$13-AH216</f>
        <v>-42090.651946511753</v>
      </c>
      <c r="AJ216" s="66">
        <f>-$AG$13-AH216-$AG$18</f>
        <v>-18090.651946511753</v>
      </c>
      <c r="AK216" s="67">
        <f>-($AG$7/$AG$9)-$AG$13-AH216</f>
        <v>-18090.651946511753</v>
      </c>
      <c r="AL216" s="67">
        <f>-($AG$7/$AG$9)-$AG$13-AH216-$AG$18</f>
        <v>-24090.651946511753</v>
      </c>
      <c r="AM216" s="68">
        <f>AF216+AI216</f>
        <v>-23291.239385996734</v>
      </c>
      <c r="AN216" s="68">
        <f>AF216+AJ216</f>
        <v>708.7606140032658</v>
      </c>
      <c r="AO216" s="68">
        <f>AF216+AK216</f>
        <v>708.7606140032658</v>
      </c>
      <c r="AP216" s="68">
        <f>AF216+AL216</f>
        <v>-5291.2393859967342</v>
      </c>
    </row>
    <row r="217" spans="1:42">
      <c r="A217" t="s">
        <v>367</v>
      </c>
      <c r="B217" t="s">
        <v>364</v>
      </c>
      <c r="C217" t="s">
        <v>107</v>
      </c>
      <c r="D217">
        <v>1</v>
      </c>
      <c r="E217">
        <v>4500</v>
      </c>
      <c r="F217">
        <f>F$2</f>
        <v>0.97299999999999998</v>
      </c>
      <c r="G217" s="60">
        <f>E217*12*F217</f>
        <v>52542</v>
      </c>
      <c r="H217">
        <v>549</v>
      </c>
      <c r="I217" s="61">
        <v>0.44379999999999997</v>
      </c>
      <c r="J217">
        <v>231</v>
      </c>
      <c r="K217">
        <v>1027</v>
      </c>
      <c r="L217">
        <f>K217-J217</f>
        <v>796</v>
      </c>
      <c r="M217">
        <f>H217-J217</f>
        <v>318</v>
      </c>
      <c r="N217" s="62">
        <f>0.8*M217/L217+0.1</f>
        <v>0.41959798994974873</v>
      </c>
      <c r="O217" s="61">
        <v>0.44379999999999997</v>
      </c>
      <c r="P217" s="63">
        <v>100</v>
      </c>
      <c r="Q217" s="64">
        <f>0.1+0.8*(P217-J217)/(K217-J217)</f>
        <v>-3.1658291457286436E-2</v>
      </c>
      <c r="R217" s="64">
        <f>$Q$2*Q217+$R$2</f>
        <v>0.87581225794778139</v>
      </c>
      <c r="S217" s="63">
        <f>365*P217*R217</f>
        <v>31967.147415094019</v>
      </c>
      <c r="T217" s="65">
        <f>S217*(1-$T$1)</f>
        <v>22377.003190565811</v>
      </c>
      <c r="U217" s="60">
        <f>J217</f>
        <v>231</v>
      </c>
      <c r="V217" s="63">
        <f>1.25*L217</f>
        <v>995</v>
      </c>
      <c r="W217" s="63">
        <f>J217-L217/8</f>
        <v>131.5</v>
      </c>
      <c r="X217">
        <f>1.25*L217/(2*$Q$2)</f>
        <v>-628.35670198711864</v>
      </c>
      <c r="Y217" s="63">
        <f>(($Q$2*W217)/V217-$R$2)*X217</f>
        <v>600.32250196395955</v>
      </c>
      <c r="Z217" s="63">
        <f>IF(Y217&gt;U217,Y217,U217)</f>
        <v>600.32250196395955</v>
      </c>
      <c r="AA217" s="64">
        <f>(Z217-W217)/V217</f>
        <v>0.4711783939336277</v>
      </c>
      <c r="AB217" s="64">
        <f>$Q$2*AA217+$R$2</f>
        <v>0.47769244766984775</v>
      </c>
      <c r="AC217" s="63">
        <f>Z217*AB217*365</f>
        <v>104670.87675437455</v>
      </c>
      <c r="AD217" s="65">
        <f>AC217*(1-$T$1)</f>
        <v>73269.613728062177</v>
      </c>
      <c r="AE217" s="63">
        <f>G217</f>
        <v>52542</v>
      </c>
      <c r="AF217" s="63">
        <f>AD217-AE217</f>
        <v>20727.613728062177</v>
      </c>
      <c r="AH217" s="66">
        <f>AB217*(365/$AG$23)*$AG$21</f>
        <v>5811.9247799831473</v>
      </c>
      <c r="AI217" s="66">
        <f>-$AG$7-$AG$13-AH217</f>
        <v>-39411.92477998315</v>
      </c>
      <c r="AJ217" s="66">
        <f>-$AG$13-AH217-$AG$18</f>
        <v>-15411.924779983146</v>
      </c>
      <c r="AK217" s="67">
        <f>-($AG$7/$AG$9)-$AG$13-AH217</f>
        <v>-15411.924779983146</v>
      </c>
      <c r="AL217" s="67">
        <f>-($AG$7/$AG$9)-$AG$13-AH217-$AG$18</f>
        <v>-21411.924779983146</v>
      </c>
      <c r="AM217" s="68">
        <f>AF217+AI217</f>
        <v>-18684.311051920973</v>
      </c>
      <c r="AN217" s="68">
        <f>AF217+AJ217</f>
        <v>5315.6889480790305</v>
      </c>
      <c r="AO217" s="68">
        <f>AF217+AK217</f>
        <v>5315.6889480790305</v>
      </c>
      <c r="AP217" s="68">
        <f>AF217+AL217</f>
        <v>-684.31105192096948</v>
      </c>
    </row>
    <row r="218" spans="1:42">
      <c r="A218" t="s">
        <v>368</v>
      </c>
      <c r="B218" t="s">
        <v>364</v>
      </c>
      <c r="C218" t="s">
        <v>107</v>
      </c>
      <c r="D218">
        <v>2</v>
      </c>
      <c r="E218">
        <v>4900</v>
      </c>
      <c r="F218">
        <f>F$2</f>
        <v>0.97299999999999998</v>
      </c>
      <c r="G218" s="60">
        <f>E218*12*F218</f>
        <v>57212.4</v>
      </c>
      <c r="H218">
        <v>652</v>
      </c>
      <c r="I218" s="61">
        <v>0.4466</v>
      </c>
      <c r="J218">
        <v>379</v>
      </c>
      <c r="K218">
        <v>969</v>
      </c>
      <c r="L218">
        <f>K218-J218</f>
        <v>590</v>
      </c>
      <c r="M218">
        <f>H218-J218</f>
        <v>273</v>
      </c>
      <c r="N218" s="62">
        <f>0.8*M218/L218+0.1</f>
        <v>0.47016949152542376</v>
      </c>
      <c r="O218" s="61">
        <v>0.4466</v>
      </c>
      <c r="P218" s="63">
        <v>100</v>
      </c>
      <c r="Q218" s="64">
        <f>0.1+0.8*(P218-J218)/(K218-J218)</f>
        <v>-0.27830508474576277</v>
      </c>
      <c r="R218" s="64">
        <f>$Q$2*Q218+$R$2</f>
        <v>1.0710942996176935</v>
      </c>
      <c r="S218" s="63">
        <f>365*P218*R218</f>
        <v>39094.941936045812</v>
      </c>
      <c r="T218" s="65">
        <f>S218*(1-$T$1)</f>
        <v>27366.459355232066</v>
      </c>
      <c r="U218" s="60">
        <f>J218</f>
        <v>379</v>
      </c>
      <c r="V218" s="63">
        <f>1.25*L218</f>
        <v>737.5</v>
      </c>
      <c r="W218" s="63">
        <f>J218-L218/8</f>
        <v>305.25</v>
      </c>
      <c r="X218">
        <f>1.25*L218/(2*$Q$2)</f>
        <v>-465.74177659849244</v>
      </c>
      <c r="Y218" s="63">
        <f>(($Q$2*W218)/V218-$R$2)*X218</f>
        <v>548.85336200846245</v>
      </c>
      <c r="Z218" s="63">
        <f>IF(Y218&gt;U218,Y218,U218)</f>
        <v>548.85336200846245</v>
      </c>
      <c r="AA218" s="64">
        <f>(Z218-W218)/V218</f>
        <v>0.33030964340130503</v>
      </c>
      <c r="AB218" s="64">
        <f>$Q$2*AA218+$R$2</f>
        <v>0.58922496282915482</v>
      </c>
      <c r="AC218" s="63">
        <f>Z218*AB218*365</f>
        <v>118040.30716725392</v>
      </c>
      <c r="AD218" s="65">
        <f>AC218*(1-$T$1)</f>
        <v>82628.215017077746</v>
      </c>
      <c r="AE218" s="63">
        <f>G218</f>
        <v>57212.4</v>
      </c>
      <c r="AF218" s="63">
        <f>AD218-AE218</f>
        <v>25415.815017077744</v>
      </c>
      <c r="AH218" s="66">
        <f>AB218*(365/$AG$23)*$AG$21</f>
        <v>7168.9037144213844</v>
      </c>
      <c r="AI218" s="66">
        <f>-$AG$7-$AG$13-AH218</f>
        <v>-40768.903714421387</v>
      </c>
      <c r="AJ218" s="66">
        <f>-$AG$13-AH218-$AG$18</f>
        <v>-16768.903714421383</v>
      </c>
      <c r="AK218" s="67">
        <f>-($AG$7/$AG$9)-$AG$13-AH218</f>
        <v>-16768.903714421383</v>
      </c>
      <c r="AL218" s="67">
        <f>-($AG$7/$AG$9)-$AG$13-AH218-$AG$18</f>
        <v>-22768.903714421383</v>
      </c>
      <c r="AM218" s="68">
        <f>AF218+AI218</f>
        <v>-15353.088697343643</v>
      </c>
      <c r="AN218" s="68">
        <f>AF218+AJ218</f>
        <v>8646.9113026563609</v>
      </c>
      <c r="AO218" s="68">
        <f>AF218+AK218</f>
        <v>8646.9113026563609</v>
      </c>
      <c r="AP218" s="68">
        <f>AF218+AL218</f>
        <v>2646.9113026563609</v>
      </c>
    </row>
    <row r="219" spans="1:42">
      <c r="A219" t="s">
        <v>369</v>
      </c>
      <c r="B219" t="s">
        <v>370</v>
      </c>
      <c r="C219" t="s">
        <v>98</v>
      </c>
      <c r="D219">
        <v>2</v>
      </c>
      <c r="E219">
        <v>3300</v>
      </c>
      <c r="F219">
        <f>F$2</f>
        <v>0.97299999999999998</v>
      </c>
      <c r="G219" s="60">
        <f>E219*12*F219</f>
        <v>38530.799999999996</v>
      </c>
      <c r="H219">
        <v>378</v>
      </c>
      <c r="I219" s="61">
        <v>0.4219</v>
      </c>
      <c r="J219">
        <v>264</v>
      </c>
      <c r="K219">
        <v>532</v>
      </c>
      <c r="L219">
        <f>K219-J219</f>
        <v>268</v>
      </c>
      <c r="M219">
        <f>H219-J219</f>
        <v>114</v>
      </c>
      <c r="N219" s="62">
        <f>0.8*M219/L219+0.1</f>
        <v>0.44029850746268662</v>
      </c>
      <c r="O219" s="61">
        <v>0.4219</v>
      </c>
      <c r="P219" s="63">
        <v>100</v>
      </c>
      <c r="Q219" s="64">
        <f>0.1+0.8*(P219-J219)/(K219-J219)</f>
        <v>-0.38955223880597023</v>
      </c>
      <c r="R219" s="64">
        <f>$Q$2*Q219+$R$2</f>
        <v>1.1591739826543006</v>
      </c>
      <c r="S219" s="63">
        <f>365*P219*R219</f>
        <v>42309.850366881969</v>
      </c>
      <c r="T219" s="65">
        <f>S219*(1-$T$1)</f>
        <v>29616.895256817377</v>
      </c>
      <c r="U219" s="60">
        <f>J219</f>
        <v>264</v>
      </c>
      <c r="V219" s="63">
        <f>1.25*L219</f>
        <v>335</v>
      </c>
      <c r="W219" s="63">
        <f>J219-L219/8</f>
        <v>230.5</v>
      </c>
      <c r="X219">
        <f>1.25*L219/(2*$Q$2)</f>
        <v>-211.5572815735525</v>
      </c>
      <c r="Y219" s="63">
        <f>(($Q$2*W219)/V219-$R$2)*X219</f>
        <v>295.23169664113209</v>
      </c>
      <c r="Z219" s="63">
        <f>IF(Y219&gt;U219,Y219,U219)</f>
        <v>295.23169664113209</v>
      </c>
      <c r="AA219" s="64">
        <f>(Z219-W219)/V219</f>
        <v>0.19322894519740921</v>
      </c>
      <c r="AB219" s="64">
        <f>$Q$2*AA219+$R$2</f>
        <v>0.69775829611066453</v>
      </c>
      <c r="AC219" s="63">
        <f>Z219*AB219*365</f>
        <v>75190.133446254578</v>
      </c>
      <c r="AD219" s="65">
        <f>AC219*(1-$T$1)</f>
        <v>52633.093412378199</v>
      </c>
      <c r="AE219" s="63">
        <f>G219</f>
        <v>38530.799999999996</v>
      </c>
      <c r="AF219" s="63">
        <f>AD219-AE219</f>
        <v>14102.293412378203</v>
      </c>
      <c r="AH219" s="66">
        <f>AB219*(365/$AG$23)*$AG$21</f>
        <v>8489.3926026797508</v>
      </c>
      <c r="AI219" s="66">
        <f>-$AG$7-$AG$13-AH219</f>
        <v>-42089.392602679749</v>
      </c>
      <c r="AJ219" s="66">
        <f>-$AG$13-AH219-$AG$18</f>
        <v>-18089.392602679749</v>
      </c>
      <c r="AK219" s="67">
        <f>-($AG$7/$AG$9)-$AG$13-AH219</f>
        <v>-18089.392602679749</v>
      </c>
      <c r="AL219" s="67">
        <f>-($AG$7/$AG$9)-$AG$13-AH219-$AG$18</f>
        <v>-24089.392602679749</v>
      </c>
      <c r="AM219" s="68">
        <f>AF219+AI219</f>
        <v>-27987.099190301546</v>
      </c>
      <c r="AN219" s="68">
        <f>AF219+AJ219</f>
        <v>-3987.0991903015456</v>
      </c>
      <c r="AO219" s="68">
        <f>AF219+AK219</f>
        <v>-3987.0991903015456</v>
      </c>
      <c r="AP219" s="68">
        <f>AF219+AL219</f>
        <v>-9987.0991903015456</v>
      </c>
    </row>
    <row r="220" spans="1:42">
      <c r="A220" t="s">
        <v>371</v>
      </c>
      <c r="B220" t="s">
        <v>370</v>
      </c>
      <c r="C220" t="s">
        <v>107</v>
      </c>
      <c r="D220">
        <v>1</v>
      </c>
      <c r="E220">
        <v>4500</v>
      </c>
      <c r="F220">
        <f>F$2</f>
        <v>0.97299999999999998</v>
      </c>
      <c r="G220" s="60">
        <f>E220*12*F220</f>
        <v>52542</v>
      </c>
      <c r="H220">
        <v>255</v>
      </c>
      <c r="I220" s="61">
        <v>0.59179999999999999</v>
      </c>
      <c r="J220">
        <v>151</v>
      </c>
      <c r="K220">
        <v>673</v>
      </c>
      <c r="L220">
        <f>K220-J220</f>
        <v>522</v>
      </c>
      <c r="M220">
        <f>H220-J220</f>
        <v>104</v>
      </c>
      <c r="N220" s="62">
        <f>0.8*M220/L220+0.1</f>
        <v>0.25938697318007664</v>
      </c>
      <c r="O220" s="61">
        <v>0.59179999999999999</v>
      </c>
      <c r="P220" s="63">
        <v>100</v>
      </c>
      <c r="Q220" s="64">
        <f>0.1+0.8*(P220-J220)/(K220-J220)</f>
        <v>2.1839080459770108E-2</v>
      </c>
      <c r="R220" s="64">
        <f>$Q$2*Q220+$R$2</f>
        <v>0.83345583452686722</v>
      </c>
      <c r="S220" s="63">
        <f>365*P220*R220</f>
        <v>30421.137960230655</v>
      </c>
      <c r="T220" s="65">
        <f>S220*(1-$T$1)</f>
        <v>21294.796572161456</v>
      </c>
      <c r="U220" s="60">
        <f>J220</f>
        <v>151</v>
      </c>
      <c r="V220" s="63">
        <f>1.25*L220</f>
        <v>652.5</v>
      </c>
      <c r="W220" s="63">
        <f>J220-L220/8</f>
        <v>85.75</v>
      </c>
      <c r="X220">
        <f>1.25*L220/(2*$Q$2)</f>
        <v>-412.06306336341197</v>
      </c>
      <c r="Y220" s="63">
        <f>(($Q$2*W220)/V220-$R$2)*X220</f>
        <v>393.43636435324987</v>
      </c>
      <c r="Z220" s="63">
        <f>IF(Y220&gt;U220,Y220,U220)</f>
        <v>393.43636435324987</v>
      </c>
      <c r="AA220" s="64">
        <f>(Z220-W220)/V220</f>
        <v>0.47154998368314155</v>
      </c>
      <c r="AB220" s="64">
        <f>$Q$2*AA220+$R$2</f>
        <v>0.47739824232470141</v>
      </c>
      <c r="AC220" s="63">
        <f>Z220*AB220*365</f>
        <v>68556.42751523474</v>
      </c>
      <c r="AD220" s="65">
        <f>AC220*(1-$T$1)</f>
        <v>47989.499260664314</v>
      </c>
      <c r="AE220" s="63">
        <f>G220</f>
        <v>52542</v>
      </c>
      <c r="AF220" s="63">
        <f>AD220-AE220</f>
        <v>-4552.5007393356864</v>
      </c>
      <c r="AH220" s="66">
        <f>AB220*(365/$AG$23)*$AG$21</f>
        <v>5808.3452816172003</v>
      </c>
      <c r="AI220" s="66">
        <f>-$AG$7-$AG$13-AH220</f>
        <v>-39408.345281617199</v>
      </c>
      <c r="AJ220" s="66">
        <f>-$AG$13-AH220-$AG$18</f>
        <v>-15408.345281617199</v>
      </c>
      <c r="AK220" s="67">
        <f>-($AG$7/$AG$9)-$AG$13-AH220</f>
        <v>-15408.345281617199</v>
      </c>
      <c r="AL220" s="67">
        <f>-($AG$7/$AG$9)-$AG$13-AH220-$AG$18</f>
        <v>-21408.345281617199</v>
      </c>
      <c r="AM220" s="68">
        <f>AF220+AI220</f>
        <v>-43960.846020952886</v>
      </c>
      <c r="AN220" s="68">
        <f>AF220+AJ220</f>
        <v>-19960.846020952886</v>
      </c>
      <c r="AO220" s="68">
        <f>AF220+AK220</f>
        <v>-19960.846020952886</v>
      </c>
      <c r="AP220" s="68">
        <f>AF220+AL220</f>
        <v>-25960.846020952886</v>
      </c>
    </row>
    <row r="221" spans="1:42">
      <c r="A221" t="s">
        <v>372</v>
      </c>
      <c r="B221" t="s">
        <v>370</v>
      </c>
      <c r="C221" t="s">
        <v>107</v>
      </c>
      <c r="D221">
        <v>2</v>
      </c>
      <c r="E221">
        <v>4200</v>
      </c>
      <c r="F221">
        <f>F$2</f>
        <v>0.97299999999999998</v>
      </c>
      <c r="G221" s="60">
        <f>E221*12*F221</f>
        <v>49039.199999999997</v>
      </c>
      <c r="H221">
        <v>441</v>
      </c>
      <c r="I221" s="61">
        <v>0.5726</v>
      </c>
      <c r="J221">
        <v>278</v>
      </c>
      <c r="K221">
        <v>711</v>
      </c>
      <c r="L221">
        <f>K221-J221</f>
        <v>433</v>
      </c>
      <c r="M221">
        <f>H221-J221</f>
        <v>163</v>
      </c>
      <c r="N221" s="62">
        <f>0.8*M221/L221+0.1</f>
        <v>0.40115473441108551</v>
      </c>
      <c r="O221" s="61">
        <v>0.5726</v>
      </c>
      <c r="P221" s="63">
        <v>100</v>
      </c>
      <c r="Q221" s="64">
        <f>0.1+0.8*(P221-J221)/(K221-J221)</f>
        <v>-0.22886836027713628</v>
      </c>
      <c r="R221" s="64">
        <f>$Q$2*Q221+$R$2</f>
        <v>1.031952884645333</v>
      </c>
      <c r="S221" s="63">
        <f>365*P221*R221</f>
        <v>37666.280289554656</v>
      </c>
      <c r="T221" s="65">
        <f>S221*(1-$T$1)</f>
        <v>26366.396202688258</v>
      </c>
      <c r="U221" s="60">
        <f>J221</f>
        <v>278</v>
      </c>
      <c r="V221" s="63">
        <f>1.25*L221</f>
        <v>541.25</v>
      </c>
      <c r="W221" s="63">
        <f>J221-L221/8</f>
        <v>223.875</v>
      </c>
      <c r="X221">
        <f>1.25*L221/(2*$Q$2)</f>
        <v>-341.80710045279187</v>
      </c>
      <c r="Y221" s="63">
        <f>(($Q$2*W221)/V221-$R$2)*X221</f>
        <v>402.72882330451563</v>
      </c>
      <c r="Z221" s="63">
        <f>IF(Y221&gt;U221,Y221,U221)</f>
        <v>402.72882330451563</v>
      </c>
      <c r="AA221" s="64">
        <f>(Z221-W221)/V221</f>
        <v>0.33044586291827366</v>
      </c>
      <c r="AB221" s="64">
        <f>$Q$2*AA221+$R$2</f>
        <v>0.58911711133417188</v>
      </c>
      <c r="AC221" s="63">
        <f>Z221*AB221*365</f>
        <v>86597.870978200735</v>
      </c>
      <c r="AD221" s="65">
        <f>AC221*(1-$T$1)</f>
        <v>60618.509684740508</v>
      </c>
      <c r="AE221" s="63">
        <f>G221</f>
        <v>49039.199999999997</v>
      </c>
      <c r="AF221" s="63">
        <f>AD221-AE221</f>
        <v>11579.30968474051</v>
      </c>
      <c r="AH221" s="66">
        <f>AB221*(365/$AG$23)*$AG$21</f>
        <v>7167.5915212324244</v>
      </c>
      <c r="AI221" s="66">
        <f>-$AG$7-$AG$13-AH221</f>
        <v>-40767.591521232425</v>
      </c>
      <c r="AJ221" s="66">
        <f>-$AG$13-AH221-$AG$18</f>
        <v>-16767.591521232425</v>
      </c>
      <c r="AK221" s="67">
        <f>-($AG$7/$AG$9)-$AG$13-AH221</f>
        <v>-16767.591521232425</v>
      </c>
      <c r="AL221" s="67">
        <f>-($AG$7/$AG$9)-$AG$13-AH221-$AG$18</f>
        <v>-22767.591521232425</v>
      </c>
      <c r="AM221" s="68">
        <f>AF221+AI221</f>
        <v>-29188.281836491915</v>
      </c>
      <c r="AN221" s="68">
        <f>AF221+AJ221</f>
        <v>-5188.2818364919149</v>
      </c>
      <c r="AO221" s="68">
        <f>AF221+AK221</f>
        <v>-5188.2818364919149</v>
      </c>
      <c r="AP221" s="68">
        <f>AF221+AL221</f>
        <v>-11188.281836491915</v>
      </c>
    </row>
    <row r="222" spans="1:42">
      <c r="A222" t="s">
        <v>373</v>
      </c>
      <c r="B222" t="s">
        <v>370</v>
      </c>
      <c r="C222" t="s">
        <v>98</v>
      </c>
      <c r="D222">
        <v>1</v>
      </c>
      <c r="E222">
        <v>2500</v>
      </c>
      <c r="F222">
        <f>F$2</f>
        <v>0.97299999999999998</v>
      </c>
      <c r="G222" s="60">
        <f>E222*12*F222</f>
        <v>29190</v>
      </c>
      <c r="H222">
        <v>356</v>
      </c>
      <c r="I222" s="61">
        <v>0.42470000000000002</v>
      </c>
      <c r="J222">
        <v>98</v>
      </c>
      <c r="K222">
        <v>460</v>
      </c>
      <c r="L222">
        <f>K222-J222</f>
        <v>362</v>
      </c>
      <c r="M222">
        <f>H222-J222</f>
        <v>258</v>
      </c>
      <c r="N222" s="62">
        <f>0.8*M222/L222+0.1</f>
        <v>0.67016574585635358</v>
      </c>
      <c r="O222" s="61">
        <v>0.42470000000000002</v>
      </c>
      <c r="P222" s="63">
        <v>100</v>
      </c>
      <c r="Q222" s="64">
        <f>0.1+0.8*(P222-J222)/(K222-J222)</f>
        <v>0.10441988950276243</v>
      </c>
      <c r="R222" s="64">
        <f>$Q$2*Q222+$R$2</f>
        <v>0.76807266543045338</v>
      </c>
      <c r="S222" s="63">
        <f>365*P222*R222</f>
        <v>28034.65228821155</v>
      </c>
      <c r="T222" s="65">
        <f>S222*(1-$T$1)</f>
        <v>19624.256601748082</v>
      </c>
      <c r="U222" s="60">
        <f>J222</f>
        <v>98</v>
      </c>
      <c r="V222" s="63">
        <f>1.25*L222</f>
        <v>452.5</v>
      </c>
      <c r="W222" s="63">
        <f>J222-L222/8</f>
        <v>52.75</v>
      </c>
      <c r="X222">
        <f>1.25*L222/(2*$Q$2)</f>
        <v>-285.76020869263431</v>
      </c>
      <c r="Y222" s="63">
        <f>(($Q$2*W222)/V222-$R$2)*X222</f>
        <v>269.48460516451422</v>
      </c>
      <c r="Z222" s="63">
        <f>IF(Y222&gt;U222,Y222,U222)</f>
        <v>269.48460516451422</v>
      </c>
      <c r="AA222" s="64">
        <f>(Z222-W222)/V222</f>
        <v>0.47897150312599829</v>
      </c>
      <c r="AB222" s="64">
        <f>$Q$2*AA222+$R$2</f>
        <v>0.47152227106324279</v>
      </c>
      <c r="AC222" s="63">
        <f>Z222*AB222*365</f>
        <v>46379.817460969854</v>
      </c>
      <c r="AD222" s="65">
        <f>AC222*(1-$T$1)</f>
        <v>32465.872222678896</v>
      </c>
      <c r="AE222" s="63">
        <f>G222</f>
        <v>29190</v>
      </c>
      <c r="AF222" s="63">
        <f>AD222-AE222</f>
        <v>3275.8722226788959</v>
      </c>
      <c r="AH222" s="66">
        <f>AB222*(365/$AG$23)*$AG$21</f>
        <v>5736.8542979361209</v>
      </c>
      <c r="AI222" s="66">
        <f>-$AG$7-$AG$13-AH222</f>
        <v>-39336.854297936123</v>
      </c>
      <c r="AJ222" s="66">
        <f>-$AG$13-AH222-$AG$18</f>
        <v>-15336.854297936121</v>
      </c>
      <c r="AK222" s="67">
        <f>-($AG$7/$AG$9)-$AG$13-AH222</f>
        <v>-15336.854297936121</v>
      </c>
      <c r="AL222" s="67">
        <f>-($AG$7/$AG$9)-$AG$13-AH222-$AG$18</f>
        <v>-21336.854297936123</v>
      </c>
      <c r="AM222" s="68">
        <f>AF222+AI222</f>
        <v>-36060.982075257227</v>
      </c>
      <c r="AN222" s="68">
        <f>AF222+AJ222</f>
        <v>-12060.982075257225</v>
      </c>
      <c r="AO222" s="68">
        <f>AF222+AK222</f>
        <v>-12060.982075257225</v>
      </c>
      <c r="AP222" s="68">
        <f>AF222+AL222</f>
        <v>-18060.982075257227</v>
      </c>
    </row>
    <row r="223" spans="1:42">
      <c r="A223" t="s">
        <v>374</v>
      </c>
      <c r="B223" t="s">
        <v>375</v>
      </c>
      <c r="C223" t="s">
        <v>98</v>
      </c>
      <c r="D223">
        <v>1</v>
      </c>
      <c r="E223">
        <v>2500</v>
      </c>
      <c r="F223">
        <f>F$2</f>
        <v>0.97299999999999998</v>
      </c>
      <c r="G223" s="60">
        <f>E223*12*F223</f>
        <v>29190</v>
      </c>
      <c r="H223">
        <v>437</v>
      </c>
      <c r="I223" s="61">
        <v>7.9500000000000001E-2</v>
      </c>
      <c r="J223">
        <v>108</v>
      </c>
      <c r="K223">
        <v>507</v>
      </c>
      <c r="L223">
        <f>K223-J223</f>
        <v>399</v>
      </c>
      <c r="M223">
        <f>H223-J223</f>
        <v>329</v>
      </c>
      <c r="N223" s="62">
        <f>0.8*M223/L223+0.1</f>
        <v>0.75964912280701746</v>
      </c>
      <c r="O223" s="61">
        <v>7.9500000000000001E-2</v>
      </c>
      <c r="P223" s="63">
        <v>100</v>
      </c>
      <c r="Q223" s="64">
        <f>0.1+0.8*(P223-J223)/(K223-J223)</f>
        <v>8.3959899749373443E-2</v>
      </c>
      <c r="R223" s="64">
        <f>$Q$2*Q223+$R$2</f>
        <v>0.78427181612005592</v>
      </c>
      <c r="S223" s="63">
        <f>365*P223*R223</f>
        <v>28625.92128838204</v>
      </c>
      <c r="T223" s="65">
        <f>S223*(1-$T$1)</f>
        <v>20038.144901867428</v>
      </c>
      <c r="U223" s="60">
        <f>J223</f>
        <v>108</v>
      </c>
      <c r="V223" s="63">
        <f>1.25*L223</f>
        <v>498.75</v>
      </c>
      <c r="W223" s="63">
        <f>J223-L223/8</f>
        <v>58.125</v>
      </c>
      <c r="X223">
        <f>1.25*L223/(2*$Q$2)</f>
        <v>-314.96774383525167</v>
      </c>
      <c r="Y223" s="63">
        <f>(($Q$2*W223)/V223-$R$2)*X223</f>
        <v>297.02032447690937</v>
      </c>
      <c r="Z223" s="63">
        <f>IF(Y223&gt;U223,Y223,U223)</f>
        <v>297.02032447690937</v>
      </c>
      <c r="AA223" s="64">
        <f>(Z223-W223)/V223</f>
        <v>0.47898811925194862</v>
      </c>
      <c r="AB223" s="64">
        <f>$Q$2*AA223+$R$2</f>
        <v>0.47150911528304001</v>
      </c>
      <c r="AC223" s="63">
        <f>Z223*AB223*365</f>
        <v>51117.443501543989</v>
      </c>
      <c r="AD223" s="65">
        <f>AC223*(1-$T$1)</f>
        <v>35782.210451080791</v>
      </c>
      <c r="AE223" s="63">
        <f>G223</f>
        <v>29190</v>
      </c>
      <c r="AF223" s="63">
        <f>AD223-AE223</f>
        <v>6592.2104510807912</v>
      </c>
      <c r="AH223" s="66">
        <f>AB223*(365/$AG$23)*$AG$21</f>
        <v>5736.6942359436534</v>
      </c>
      <c r="AI223" s="66">
        <f>-$AG$7-$AG$13-AH223</f>
        <v>-39336.694235943651</v>
      </c>
      <c r="AJ223" s="66">
        <f>-$AG$13-AH223-$AG$18</f>
        <v>-15336.694235943654</v>
      </c>
      <c r="AK223" s="67">
        <f>-($AG$7/$AG$9)-$AG$13-AH223</f>
        <v>-15336.694235943654</v>
      </c>
      <c r="AL223" s="67">
        <f>-($AG$7/$AG$9)-$AG$13-AH223-$AG$18</f>
        <v>-21336.694235943654</v>
      </c>
      <c r="AM223" s="68">
        <f>AF223+AI223</f>
        <v>-32744.483784862859</v>
      </c>
      <c r="AN223" s="68">
        <f>AF223+AJ223</f>
        <v>-8744.4837848628631</v>
      </c>
      <c r="AO223" s="68">
        <f>AF223+AK223</f>
        <v>-8744.4837848628631</v>
      </c>
      <c r="AP223" s="68">
        <f>AF223+AL223</f>
        <v>-14744.483784862863</v>
      </c>
    </row>
    <row r="224" spans="1:42">
      <c r="A224" t="s">
        <v>376</v>
      </c>
      <c r="B224" t="s">
        <v>375</v>
      </c>
      <c r="C224" t="s">
        <v>98</v>
      </c>
      <c r="D224">
        <v>2</v>
      </c>
      <c r="E224">
        <v>3300</v>
      </c>
      <c r="F224">
        <f>F$2</f>
        <v>0.97299999999999998</v>
      </c>
      <c r="G224" s="60">
        <f>E224*12*F224</f>
        <v>38530.799999999996</v>
      </c>
      <c r="H224">
        <v>461</v>
      </c>
      <c r="I224" s="61">
        <v>0.31780000000000003</v>
      </c>
      <c r="J224">
        <v>270</v>
      </c>
      <c r="K224">
        <v>543</v>
      </c>
      <c r="L224">
        <f>K224-J224</f>
        <v>273</v>
      </c>
      <c r="M224">
        <f>H224-J224</f>
        <v>191</v>
      </c>
      <c r="N224" s="62">
        <f>0.8*M224/L224+0.1</f>
        <v>0.65970695970695969</v>
      </c>
      <c r="O224" s="61">
        <v>0.31780000000000003</v>
      </c>
      <c r="P224" s="63">
        <v>100</v>
      </c>
      <c r="Q224" s="64">
        <f>0.1+0.8*(P224-J224)/(K224-J224)</f>
        <v>-0.3981684981684982</v>
      </c>
      <c r="R224" s="64">
        <f>$Q$2*Q224+$R$2</f>
        <v>1.1659958865494953</v>
      </c>
      <c r="S224" s="63">
        <f>365*P224*R224</f>
        <v>42558.84985905658</v>
      </c>
      <c r="T224" s="65">
        <f>S224*(1-$T$1)</f>
        <v>29791.194901339604</v>
      </c>
      <c r="U224" s="60">
        <f>J224</f>
        <v>270</v>
      </c>
      <c r="V224" s="63">
        <f>1.25*L224</f>
        <v>341.25</v>
      </c>
      <c r="W224" s="63">
        <f>J224-L224/8</f>
        <v>235.875</v>
      </c>
      <c r="X224">
        <f>1.25*L224/(2*$Q$2)</f>
        <v>-215.50424578201429</v>
      </c>
      <c r="Y224" s="63">
        <f>(($Q$2*W224)/V224-$R$2)*X224</f>
        <v>301.27706411578009</v>
      </c>
      <c r="Z224" s="63">
        <f>IF(Y224&gt;U224,Y224,U224)</f>
        <v>301.27706411578009</v>
      </c>
      <c r="AA224" s="64">
        <f>(Z224-W224)/V224</f>
        <v>0.19165440033928233</v>
      </c>
      <c r="AB224" s="64">
        <f>$Q$2*AA224+$R$2</f>
        <v>0.69900493844684219</v>
      </c>
      <c r="AC224" s="63">
        <f>Z224*AB224*365</f>
        <v>76866.866815059111</v>
      </c>
      <c r="AD224" s="65">
        <f>AC224*(1-$T$1)</f>
        <v>53806.806770541378</v>
      </c>
      <c r="AE224" s="63">
        <f>G224</f>
        <v>38530.799999999996</v>
      </c>
      <c r="AF224" s="63">
        <f>AD224-AE224</f>
        <v>15276.006770541382</v>
      </c>
      <c r="AH224" s="66">
        <f>AB224*(365/$AG$23)*$AG$21</f>
        <v>8504.5600844365799</v>
      </c>
      <c r="AI224" s="66">
        <f>-$AG$7-$AG$13-AH224</f>
        <v>-42104.560084436584</v>
      </c>
      <c r="AJ224" s="66">
        <f>-$AG$13-AH224-$AG$18</f>
        <v>-18104.56008443658</v>
      </c>
      <c r="AK224" s="67">
        <f>-($AG$7/$AG$9)-$AG$13-AH224</f>
        <v>-18104.56008443658</v>
      </c>
      <c r="AL224" s="67">
        <f>-($AG$7/$AG$9)-$AG$13-AH224-$AG$18</f>
        <v>-24104.56008443658</v>
      </c>
      <c r="AM224" s="68">
        <f>AF224+AI224</f>
        <v>-26828.553313895201</v>
      </c>
      <c r="AN224" s="68">
        <f>AF224+AJ224</f>
        <v>-2828.5533138951978</v>
      </c>
      <c r="AO224" s="68">
        <f>AF224+AK224</f>
        <v>-2828.5533138951978</v>
      </c>
      <c r="AP224" s="68">
        <f>AF224+AL224</f>
        <v>-8828.5533138951978</v>
      </c>
    </row>
    <row r="225" spans="1:42">
      <c r="A225" t="s">
        <v>377</v>
      </c>
      <c r="B225" t="s">
        <v>375</v>
      </c>
      <c r="C225" t="s">
        <v>107</v>
      </c>
      <c r="D225">
        <v>1</v>
      </c>
      <c r="E225">
        <v>4500</v>
      </c>
      <c r="F225">
        <f>F$2</f>
        <v>0.97299999999999998</v>
      </c>
      <c r="G225" s="60">
        <f>E225*12*F225</f>
        <v>52542</v>
      </c>
      <c r="H225">
        <v>669</v>
      </c>
      <c r="I225" s="61">
        <v>0.31230000000000002</v>
      </c>
      <c r="J225">
        <v>186</v>
      </c>
      <c r="K225">
        <v>829</v>
      </c>
      <c r="L225">
        <f>K225-J225</f>
        <v>643</v>
      </c>
      <c r="M225">
        <f>H225-J225</f>
        <v>483</v>
      </c>
      <c r="N225" s="62">
        <f>0.8*M225/L225+0.1</f>
        <v>0.7009331259720063</v>
      </c>
      <c r="O225" s="61">
        <v>0.31230000000000002</v>
      </c>
      <c r="P225" s="63">
        <v>100</v>
      </c>
      <c r="Q225" s="64">
        <f>0.1+0.8*(P225-J225)/(K225-J225)</f>
        <v>-6.9984447900466457E-3</v>
      </c>
      <c r="R225" s="64">
        <f>$Q$2*Q225+$R$2</f>
        <v>0.85628788002970635</v>
      </c>
      <c r="S225" s="63">
        <f>365*P225*R225</f>
        <v>31254.507621084282</v>
      </c>
      <c r="T225" s="65">
        <f>S225*(1-$T$1)</f>
        <v>21878.155334758994</v>
      </c>
      <c r="U225" s="60">
        <f>J225</f>
        <v>186</v>
      </c>
      <c r="V225" s="63">
        <f>1.25*L225</f>
        <v>803.75</v>
      </c>
      <c r="W225" s="63">
        <f>J225-L225/8</f>
        <v>105.625</v>
      </c>
      <c r="X225">
        <f>1.25*L225/(2*$Q$2)</f>
        <v>-507.57959720818752</v>
      </c>
      <c r="Y225" s="63">
        <f>(($Q$2*W225)/V225-$R$2)*X225</f>
        <v>484.6342572397312</v>
      </c>
      <c r="Z225" s="63">
        <f>IF(Y225&gt;U225,Y225,U225)</f>
        <v>484.6342572397312</v>
      </c>
      <c r="AA225" s="64">
        <f>(Z225-W225)/V225</f>
        <v>0.4715511754149066</v>
      </c>
      <c r="AB225" s="64">
        <f>$Q$2*AA225+$R$2</f>
        <v>0.4773972987737673</v>
      </c>
      <c r="AC225" s="63">
        <f>Z225*AB225*365</f>
        <v>84447.526134309737</v>
      </c>
      <c r="AD225" s="65">
        <f>AC225*(1-$T$1)</f>
        <v>59113.268294016809</v>
      </c>
      <c r="AE225" s="63">
        <f>G225</f>
        <v>52542</v>
      </c>
      <c r="AF225" s="63">
        <f>AD225-AE225</f>
        <v>6571.2682940168088</v>
      </c>
      <c r="AH225" s="66">
        <f>AB225*(365/$AG$23)*$AG$21</f>
        <v>5808.3338017475025</v>
      </c>
      <c r="AI225" s="66">
        <f>-$AG$7-$AG$13-AH225</f>
        <v>-39408.333801747503</v>
      </c>
      <c r="AJ225" s="66">
        <f>-$AG$13-AH225-$AG$18</f>
        <v>-15408.333801747503</v>
      </c>
      <c r="AK225" s="67">
        <f>-($AG$7/$AG$9)-$AG$13-AH225</f>
        <v>-15408.333801747503</v>
      </c>
      <c r="AL225" s="67">
        <f>-($AG$7/$AG$9)-$AG$13-AH225-$AG$18</f>
        <v>-21408.333801747503</v>
      </c>
      <c r="AM225" s="68">
        <f>AF225+AI225</f>
        <v>-32837.065507730695</v>
      </c>
      <c r="AN225" s="68">
        <f>AF225+AJ225</f>
        <v>-8837.0655077306947</v>
      </c>
      <c r="AO225" s="68">
        <f>AF225+AK225</f>
        <v>-8837.0655077306947</v>
      </c>
      <c r="AP225" s="68">
        <f>AF225+AL225</f>
        <v>-14837.065507730695</v>
      </c>
    </row>
    <row r="226" spans="1:42">
      <c r="A226" t="s">
        <v>378</v>
      </c>
      <c r="B226" t="s">
        <v>338</v>
      </c>
      <c r="C226" t="s">
        <v>98</v>
      </c>
      <c r="D226">
        <v>1</v>
      </c>
      <c r="E226">
        <v>500</v>
      </c>
      <c r="F226">
        <f>F$2</f>
        <v>0.97299999999999998</v>
      </c>
      <c r="G226" s="60">
        <f>E226*12*F226</f>
        <v>5838</v>
      </c>
      <c r="H226">
        <v>121</v>
      </c>
      <c r="I226" s="61">
        <v>0.39729999999999999</v>
      </c>
      <c r="J226">
        <v>50</v>
      </c>
      <c r="K226">
        <v>174</v>
      </c>
      <c r="L226">
        <f>K226-J226</f>
        <v>124</v>
      </c>
      <c r="M226">
        <f>H226-J226</f>
        <v>71</v>
      </c>
      <c r="N226" s="62">
        <f>0.8*M226/L226+0.1</f>
        <v>0.5580645161290323</v>
      </c>
      <c r="O226" s="61">
        <v>0.39729999999999999</v>
      </c>
      <c r="P226" s="63">
        <v>100</v>
      </c>
      <c r="Q226" s="64">
        <f>0.1+0.8*(P226-J226)/(K226-J226)</f>
        <v>0.42258064516129035</v>
      </c>
      <c r="R226" s="64">
        <f>$Q$2*Q226+$R$2</f>
        <v>0.5161696055290369</v>
      </c>
      <c r="S226" s="63">
        <f>365*P226*R226</f>
        <v>18840.190601809845</v>
      </c>
      <c r="T226" s="65">
        <f>S226*(1-$T$1)</f>
        <v>13188.133421266892</v>
      </c>
      <c r="U226" s="60">
        <f>J226</f>
        <v>50</v>
      </c>
      <c r="V226" s="63">
        <f>1.25*L226</f>
        <v>155</v>
      </c>
      <c r="W226" s="63">
        <f>J226-L226/8</f>
        <v>34.5</v>
      </c>
      <c r="X226">
        <f>1.25*L226/(2*$Q$2)</f>
        <v>-97.88471236985265</v>
      </c>
      <c r="Y226" s="63">
        <f>(($Q$2*W226)/V226-$R$2)*X226</f>
        <v>100.52511337127008</v>
      </c>
      <c r="Z226" s="63">
        <f>IF(Y226&gt;U226,Y226,U226)</f>
        <v>100.52511337127008</v>
      </c>
      <c r="AA226" s="64">
        <f>(Z226-W226)/V226</f>
        <v>0.42596847336303278</v>
      </c>
      <c r="AB226" s="64">
        <f>$Q$2*AA226+$R$2</f>
        <v>0.51348730019985556</v>
      </c>
      <c r="AC226" s="63">
        <f>Z226*AB226*365</f>
        <v>18840.704709563724</v>
      </c>
      <c r="AD226" s="65">
        <f>AC226*(1-$T$1)</f>
        <v>13188.493296694607</v>
      </c>
      <c r="AE226" s="63">
        <f>G226</f>
        <v>5838</v>
      </c>
      <c r="AF226" s="63">
        <f>AD226-AE226</f>
        <v>7350.4932966946071</v>
      </c>
      <c r="AH226" s="66">
        <f>AB226*(365/$AG$23)*$AG$21</f>
        <v>6247.4288190982425</v>
      </c>
      <c r="AI226" s="66">
        <f>-$AG$7-$AG$13-AH226</f>
        <v>-39847.428819098241</v>
      </c>
      <c r="AJ226" s="66">
        <f>-$AG$13-AH226-$AG$18</f>
        <v>-15847.428819098242</v>
      </c>
      <c r="AK226" s="67">
        <f>-($AG$7/$AG$9)-$AG$13-AH226</f>
        <v>-15847.428819098242</v>
      </c>
      <c r="AL226" s="67">
        <f>-($AG$7/$AG$9)-$AG$13-AH226-$AG$18</f>
        <v>-21847.428819098241</v>
      </c>
      <c r="AM226" s="68">
        <f>AF226+AI226</f>
        <v>-32496.935522403634</v>
      </c>
      <c r="AN226" s="68">
        <f>AF226+AJ226</f>
        <v>-8496.9355224036353</v>
      </c>
      <c r="AO226" s="68">
        <f>AF226+AK226</f>
        <v>-8496.9355224036353</v>
      </c>
      <c r="AP226" s="68">
        <f>AF226+AL226</f>
        <v>-14496.935522403634</v>
      </c>
    </row>
    <row r="227" spans="1:42">
      <c r="A227" t="s">
        <v>379</v>
      </c>
      <c r="B227" t="s">
        <v>375</v>
      </c>
      <c r="C227" t="s">
        <v>107</v>
      </c>
      <c r="D227">
        <v>2</v>
      </c>
      <c r="E227">
        <v>4200</v>
      </c>
      <c r="F227">
        <f>F$2</f>
        <v>0.97299999999999998</v>
      </c>
      <c r="G227" s="60">
        <f>E227*12*F227</f>
        <v>49039.199999999997</v>
      </c>
      <c r="H227">
        <v>437</v>
      </c>
      <c r="I227" s="61">
        <v>0.61099999999999999</v>
      </c>
      <c r="J227">
        <v>319</v>
      </c>
      <c r="K227">
        <v>815</v>
      </c>
      <c r="L227">
        <f>K227-J227</f>
        <v>496</v>
      </c>
      <c r="M227">
        <f>H227-J227</f>
        <v>118</v>
      </c>
      <c r="N227" s="62">
        <f>0.8*M227/L227+0.1</f>
        <v>0.29032258064516131</v>
      </c>
      <c r="O227" s="61">
        <v>0.61099999999999999</v>
      </c>
      <c r="P227" s="63">
        <v>100</v>
      </c>
      <c r="Q227" s="64">
        <f>0.1+0.8*(P227-J227)/(K227-J227)</f>
        <v>-0.25322580645161297</v>
      </c>
      <c r="R227" s="64">
        <f>$Q$2*Q227+$R$2</f>
        <v>1.0512378376560683</v>
      </c>
      <c r="S227" s="63">
        <f>365*P227*R227</f>
        <v>38370.181074446489</v>
      </c>
      <c r="T227" s="65">
        <f>S227*(1-$T$1)</f>
        <v>26859.126752112541</v>
      </c>
      <c r="U227" s="60">
        <f>J227</f>
        <v>319</v>
      </c>
      <c r="V227" s="63">
        <f>1.25*L227</f>
        <v>620</v>
      </c>
      <c r="W227" s="63">
        <f>J227-L227/8</f>
        <v>257</v>
      </c>
      <c r="X227">
        <f>1.25*L227/(2*$Q$2)</f>
        <v>-391.5388494794106</v>
      </c>
      <c r="Y227" s="63">
        <f>(($Q$2*W227)/V227-$R$2)*X227</f>
        <v>461.60045348508038</v>
      </c>
      <c r="Z227" s="63">
        <f>IF(Y227&gt;U227,Y227,U227)</f>
        <v>461.60045348508038</v>
      </c>
      <c r="AA227" s="64">
        <f>(Z227-W227)/V227</f>
        <v>0.33000073142754899</v>
      </c>
      <c r="AB227" s="64">
        <f>$Q$2*AA227+$R$2</f>
        <v>0.58946954318686828</v>
      </c>
      <c r="AC227" s="63">
        <f>Z227*AB227*365</f>
        <v>99316.284084506071</v>
      </c>
      <c r="AD227" s="65">
        <f>AC227*(1-$T$1)</f>
        <v>69521.398859154244</v>
      </c>
      <c r="AE227" s="63">
        <f>G227</f>
        <v>49039.199999999997</v>
      </c>
      <c r="AF227" s="63">
        <f>AD227-AE227</f>
        <v>20482.198859154247</v>
      </c>
      <c r="AH227" s="66">
        <f>AB227*(365/$AG$23)*$AG$21</f>
        <v>7171.8794421068978</v>
      </c>
      <c r="AI227" s="66">
        <f>-$AG$7-$AG$13-AH227</f>
        <v>-40771.879442106896</v>
      </c>
      <c r="AJ227" s="66">
        <f>-$AG$13-AH227-$AG$18</f>
        <v>-16771.879442106896</v>
      </c>
      <c r="AK227" s="67">
        <f>-($AG$7/$AG$9)-$AG$13-AH227</f>
        <v>-16771.879442106896</v>
      </c>
      <c r="AL227" s="67">
        <f>-($AG$7/$AG$9)-$AG$13-AH227-$AG$18</f>
        <v>-22771.879442106896</v>
      </c>
      <c r="AM227" s="68">
        <f>AF227+AI227</f>
        <v>-20289.680582952649</v>
      </c>
      <c r="AN227" s="68">
        <f>AF227+AJ227</f>
        <v>3710.3194170473507</v>
      </c>
      <c r="AO227" s="68">
        <f>AF227+AK227</f>
        <v>3710.3194170473507</v>
      </c>
      <c r="AP227" s="68">
        <f>AF227+AL227</f>
        <v>-2289.6805829526493</v>
      </c>
    </row>
    <row r="228" spans="1:42">
      <c r="A228" t="s">
        <v>380</v>
      </c>
      <c r="B228" t="s">
        <v>381</v>
      </c>
      <c r="C228" t="s">
        <v>98</v>
      </c>
      <c r="D228">
        <v>2</v>
      </c>
      <c r="E228">
        <v>3600</v>
      </c>
      <c r="F228">
        <f>F$2</f>
        <v>0.97299999999999998</v>
      </c>
      <c r="G228" s="60">
        <f>E228*12*F228</f>
        <v>42033.599999999999</v>
      </c>
      <c r="H228">
        <v>663</v>
      </c>
      <c r="I228" s="61">
        <v>0.2329</v>
      </c>
      <c r="J228">
        <v>332</v>
      </c>
      <c r="K228">
        <v>805</v>
      </c>
      <c r="L228">
        <f>K228-J228</f>
        <v>473</v>
      </c>
      <c r="M228">
        <f>H228-J228</f>
        <v>331</v>
      </c>
      <c r="N228" s="62">
        <f>0.8*M228/L228+0.1</f>
        <v>0.65983086680761105</v>
      </c>
      <c r="O228" s="61">
        <v>0.2329</v>
      </c>
      <c r="P228" s="63">
        <v>100</v>
      </c>
      <c r="Q228" s="64">
        <f>0.1+0.8*(P228-J228)/(K228-J228)</f>
        <v>-0.29238900634249476</v>
      </c>
      <c r="R228" s="64">
        <f>$Q$2*Q228+$R$2</f>
        <v>1.0822452127411089</v>
      </c>
      <c r="S228" s="63">
        <f>365*P228*R228</f>
        <v>39501.950265050473</v>
      </c>
      <c r="T228" s="65">
        <f>S228*(1-$T$1)</f>
        <v>27651.365185535331</v>
      </c>
      <c r="U228" s="60">
        <f>J228</f>
        <v>332</v>
      </c>
      <c r="V228" s="63">
        <f>1.25*L228</f>
        <v>591.25</v>
      </c>
      <c r="W228" s="63">
        <f>J228-L228/8</f>
        <v>272.875</v>
      </c>
      <c r="X228">
        <f>1.25*L228/(2*$Q$2)</f>
        <v>-373.38281412048627</v>
      </c>
      <c r="Y228" s="63">
        <f>(($Q$2*W228)/V228-$R$2)*X228</f>
        <v>454.0917631016996</v>
      </c>
      <c r="Z228" s="63">
        <f>IF(Y228&gt;U228,Y228,U228)</f>
        <v>454.0917631016996</v>
      </c>
      <c r="AA228" s="64">
        <f>(Z228-W228)/V228</f>
        <v>0.30649769657792741</v>
      </c>
      <c r="AB228" s="64">
        <f>$Q$2*AA228+$R$2</f>
        <v>0.60807801796036798</v>
      </c>
      <c r="AC228" s="63">
        <f>Z228*AB228*365</f>
        <v>100784.97503683882</v>
      </c>
      <c r="AD228" s="65">
        <f>AC228*(1-$T$1)</f>
        <v>70549.482525787171</v>
      </c>
      <c r="AE228" s="63">
        <f>G228</f>
        <v>42033.599999999999</v>
      </c>
      <c r="AF228" s="63">
        <f>AD228-AE228</f>
        <v>28515.882525787172</v>
      </c>
      <c r="AH228" s="66">
        <f>AB228*(365/$AG$23)*$AG$21</f>
        <v>7398.2825518511445</v>
      </c>
      <c r="AI228" s="66">
        <f>-$AG$7-$AG$13-AH228</f>
        <v>-40998.282551851145</v>
      </c>
      <c r="AJ228" s="66">
        <f>-$AG$13-AH228-$AG$18</f>
        <v>-16998.282551851145</v>
      </c>
      <c r="AK228" s="67">
        <f>-($AG$7/$AG$9)-$AG$13-AH228</f>
        <v>-16998.282551851145</v>
      </c>
      <c r="AL228" s="67">
        <f>-($AG$7/$AG$9)-$AG$13-AH228-$AG$18</f>
        <v>-22998.282551851145</v>
      </c>
      <c r="AM228" s="68">
        <f>AF228+AI228</f>
        <v>-12482.400026063973</v>
      </c>
      <c r="AN228" s="68">
        <f>AF228+AJ228</f>
        <v>11517.599973936027</v>
      </c>
      <c r="AO228" s="68">
        <f>AF228+AK228</f>
        <v>11517.599973936027</v>
      </c>
      <c r="AP228" s="68">
        <f>AF228+AL228</f>
        <v>5517.5999739360268</v>
      </c>
    </row>
    <row r="229" spans="1:42">
      <c r="A229" t="s">
        <v>382</v>
      </c>
      <c r="B229" t="s">
        <v>381</v>
      </c>
      <c r="C229" t="s">
        <v>107</v>
      </c>
      <c r="D229">
        <v>1</v>
      </c>
      <c r="E229">
        <v>4000</v>
      </c>
      <c r="F229">
        <f>F$2</f>
        <v>0.97299999999999998</v>
      </c>
      <c r="G229" s="60">
        <f>E229*12*F229</f>
        <v>46704</v>
      </c>
      <c r="H229">
        <v>337</v>
      </c>
      <c r="I229" s="61">
        <v>0.50680000000000003</v>
      </c>
      <c r="J229">
        <v>179</v>
      </c>
      <c r="K229">
        <v>629</v>
      </c>
      <c r="L229">
        <f>K229-J229</f>
        <v>450</v>
      </c>
      <c r="M229">
        <f>H229-J229</f>
        <v>158</v>
      </c>
      <c r="N229" s="62">
        <f>0.8*M229/L229+0.1</f>
        <v>0.38088888888888894</v>
      </c>
      <c r="O229" s="61">
        <v>0.50680000000000003</v>
      </c>
      <c r="P229" s="63">
        <v>100</v>
      </c>
      <c r="Q229" s="64">
        <f>0.1+0.8*(P229-J229)/(K229-J229)</f>
        <v>-4.044444444444445E-2</v>
      </c>
      <c r="R229" s="64">
        <f>$Q$2*Q229+$R$2</f>
        <v>0.88276867473666565</v>
      </c>
      <c r="S229" s="63">
        <f>365*P229*R229</f>
        <v>32221.056627888298</v>
      </c>
      <c r="T229" s="65">
        <f>S229*(1-$T$1)</f>
        <v>22554.739639521806</v>
      </c>
      <c r="U229" s="60">
        <f>J229</f>
        <v>179</v>
      </c>
      <c r="V229" s="63">
        <f>1.25*L229</f>
        <v>562.5</v>
      </c>
      <c r="W229" s="63">
        <f>J229-L229/8</f>
        <v>122.75</v>
      </c>
      <c r="X229">
        <f>1.25*L229/(2*$Q$2)</f>
        <v>-355.226778761562</v>
      </c>
      <c r="Y229" s="63">
        <f>(($Q$2*W229)/V229-$R$2)*X229</f>
        <v>363.58307271831876</v>
      </c>
      <c r="Z229" s="63">
        <f>IF(Y229&gt;U229,Y229,U229)</f>
        <v>363.58307271831876</v>
      </c>
      <c r="AA229" s="64">
        <f>(Z229-W229)/V229</f>
        <v>0.42814768483256671</v>
      </c>
      <c r="AB229" s="64">
        <f>$Q$2*AA229+$R$2</f>
        <v>0.51176191443940366</v>
      </c>
      <c r="AC229" s="63">
        <f>Z229*AB229*365</f>
        <v>67914.80881351202</v>
      </c>
      <c r="AD229" s="65">
        <f>AC229*(1-$T$1)</f>
        <v>47540.366169458408</v>
      </c>
      <c r="AE229" s="63">
        <f>G229</f>
        <v>46704</v>
      </c>
      <c r="AF229" s="63">
        <f>AD229-AE229</f>
        <v>836.36616945840797</v>
      </c>
      <c r="AH229" s="66">
        <f>AB229*(365/$AG$23)*$AG$21</f>
        <v>6226.436625679411</v>
      </c>
      <c r="AI229" s="66">
        <f>-$AG$7-$AG$13-AH229</f>
        <v>-39826.436625679409</v>
      </c>
      <c r="AJ229" s="66">
        <f>-$AG$13-AH229-$AG$18</f>
        <v>-15826.436625679411</v>
      </c>
      <c r="AK229" s="67">
        <f>-($AG$7/$AG$9)-$AG$13-AH229</f>
        <v>-15826.436625679411</v>
      </c>
      <c r="AL229" s="67">
        <f>-($AG$7/$AG$9)-$AG$13-AH229-$AG$18</f>
        <v>-21826.436625679409</v>
      </c>
      <c r="AM229" s="68">
        <f>AF229+AI229</f>
        <v>-38990.070456221001</v>
      </c>
      <c r="AN229" s="68">
        <f>AF229+AJ229</f>
        <v>-14990.070456221003</v>
      </c>
      <c r="AO229" s="68">
        <f>AF229+AK229</f>
        <v>-14990.070456221003</v>
      </c>
      <c r="AP229" s="68">
        <f>AF229+AL229</f>
        <v>-20990.070456221001</v>
      </c>
    </row>
    <row r="230" spans="1:42">
      <c r="A230" t="s">
        <v>383</v>
      </c>
      <c r="B230" t="s">
        <v>381</v>
      </c>
      <c r="C230" t="s">
        <v>107</v>
      </c>
      <c r="D230">
        <v>2</v>
      </c>
      <c r="E230">
        <v>5500</v>
      </c>
      <c r="F230">
        <f>F$2</f>
        <v>0.97299999999999998</v>
      </c>
      <c r="G230" s="60">
        <f>E230*12*F230</f>
        <v>64218</v>
      </c>
      <c r="H230">
        <v>447</v>
      </c>
      <c r="I230" s="61">
        <v>0.61639999999999995</v>
      </c>
      <c r="J230">
        <v>227</v>
      </c>
      <c r="K230">
        <v>813</v>
      </c>
      <c r="L230">
        <f>K230-J230</f>
        <v>586</v>
      </c>
      <c r="M230">
        <f>H230-J230</f>
        <v>220</v>
      </c>
      <c r="N230" s="62">
        <f>0.8*M230/L230+0.1</f>
        <v>0.40034129692832765</v>
      </c>
      <c r="O230" s="61">
        <v>0.61639999999999995</v>
      </c>
      <c r="P230" s="63">
        <v>100</v>
      </c>
      <c r="Q230" s="64">
        <f>0.1+0.8*(P230-J230)/(K230-J230)</f>
        <v>-7.3378839590443695E-2</v>
      </c>
      <c r="R230" s="64">
        <f>$Q$2*Q230+$R$2</f>
        <v>0.9088444077292781</v>
      </c>
      <c r="S230" s="63">
        <f>365*P230*R230</f>
        <v>33172.820882118649</v>
      </c>
      <c r="T230" s="65">
        <f>S230*(1-$T$1)</f>
        <v>23220.974617483054</v>
      </c>
      <c r="U230" s="60">
        <f>J230</f>
        <v>227</v>
      </c>
      <c r="V230" s="63">
        <f>1.25*L230</f>
        <v>732.5</v>
      </c>
      <c r="W230" s="63">
        <f>J230-L230/8</f>
        <v>153.75</v>
      </c>
      <c r="X230">
        <f>1.25*L230/(2*$Q$2)</f>
        <v>-462.58420523172299</v>
      </c>
      <c r="Y230" s="63">
        <f>(($Q$2*W230)/V230-$R$2)*X230</f>
        <v>470.4170680287441</v>
      </c>
      <c r="Z230" s="63">
        <f>IF(Y230&gt;U230,Y230,U230)</f>
        <v>470.4170680287441</v>
      </c>
      <c r="AA230" s="64">
        <f>(Z230-W230)/V230</f>
        <v>0.43230999048292712</v>
      </c>
      <c r="AB230" s="64">
        <f>$Q$2*AA230+$R$2</f>
        <v>0.50846641833901063</v>
      </c>
      <c r="AC230" s="63">
        <f>Z230*AB230*365</f>
        <v>87304.817822731682</v>
      </c>
      <c r="AD230" s="65">
        <f>AC230*(1-$T$1)</f>
        <v>61113.372475912176</v>
      </c>
      <c r="AE230" s="63">
        <f>G230</f>
        <v>64218</v>
      </c>
      <c r="AF230" s="63">
        <f>AD230-AE230</f>
        <v>-3104.627524087824</v>
      </c>
      <c r="AH230" s="66">
        <f>AB230*(365/$AG$23)*$AG$21</f>
        <v>6186.3414231246297</v>
      </c>
      <c r="AI230" s="66">
        <f>-$AG$7-$AG$13-AH230</f>
        <v>-39786.341423124628</v>
      </c>
      <c r="AJ230" s="66">
        <f>-$AG$13-AH230-$AG$18</f>
        <v>-15786.34142312463</v>
      </c>
      <c r="AK230" s="67">
        <f>-($AG$7/$AG$9)-$AG$13-AH230</f>
        <v>-15786.34142312463</v>
      </c>
      <c r="AL230" s="67">
        <f>-($AG$7/$AG$9)-$AG$13-AH230-$AG$18</f>
        <v>-21786.341423124628</v>
      </c>
      <c r="AM230" s="68">
        <f>AF230+AI230</f>
        <v>-42890.968947212452</v>
      </c>
      <c r="AN230" s="68">
        <f>AF230+AJ230</f>
        <v>-18890.968947212452</v>
      </c>
      <c r="AO230" s="68">
        <f>AF230+AK230</f>
        <v>-18890.968947212452</v>
      </c>
      <c r="AP230" s="68">
        <f>AF230+AL230</f>
        <v>-24890.968947212452</v>
      </c>
    </row>
    <row r="231" spans="1:42">
      <c r="A231" t="s">
        <v>384</v>
      </c>
      <c r="B231" t="s">
        <v>381</v>
      </c>
      <c r="C231" t="s">
        <v>98</v>
      </c>
      <c r="D231">
        <v>1</v>
      </c>
      <c r="E231">
        <v>3000</v>
      </c>
      <c r="F231">
        <f>F$2</f>
        <v>0.97299999999999998</v>
      </c>
      <c r="G231" s="60">
        <f>E231*12*F231</f>
        <v>35028</v>
      </c>
      <c r="H231">
        <v>610</v>
      </c>
      <c r="I231" s="61">
        <v>0.1014</v>
      </c>
      <c r="J231">
        <v>115</v>
      </c>
      <c r="K231">
        <v>650</v>
      </c>
      <c r="L231">
        <f>K231-J231</f>
        <v>535</v>
      </c>
      <c r="M231">
        <f>H231-J231</f>
        <v>495</v>
      </c>
      <c r="N231" s="62">
        <f>0.8*M231/L231+0.1</f>
        <v>0.84018691588785044</v>
      </c>
      <c r="O231" s="61">
        <v>0.1014</v>
      </c>
      <c r="P231" s="63">
        <v>100</v>
      </c>
      <c r="Q231" s="64">
        <f>0.1+0.8*(P231-J231)/(K231-J231)</f>
        <v>7.7570093457943939E-2</v>
      </c>
      <c r="R231" s="64">
        <f>$Q$2*Q231+$R$2</f>
        <v>0.7893309308234292</v>
      </c>
      <c r="S231" s="63">
        <f>365*P231*R231</f>
        <v>28810.578975055167</v>
      </c>
      <c r="T231" s="65">
        <f>S231*(1-$T$1)</f>
        <v>20167.405282538617</v>
      </c>
      <c r="U231" s="60">
        <f>J231</f>
        <v>115</v>
      </c>
      <c r="V231" s="63">
        <f>1.25*L231</f>
        <v>668.75</v>
      </c>
      <c r="W231" s="63">
        <f>J231-L231/8</f>
        <v>48.125</v>
      </c>
      <c r="X231">
        <f>1.25*L231/(2*$Q$2)</f>
        <v>-422.3251703054126</v>
      </c>
      <c r="Y231" s="63">
        <f>(($Q$2*W231)/V231-$R$2)*X231</f>
        <v>383.35431978733459</v>
      </c>
      <c r="Z231" s="63">
        <f>IF(Y231&gt;U231,Y231,U231)</f>
        <v>383.35431978733459</v>
      </c>
      <c r="AA231" s="64">
        <f>(Z231-W231)/V231</f>
        <v>0.50127748753246293</v>
      </c>
      <c r="AB231" s="64">
        <f>$Q$2*AA231+$R$2</f>
        <v>0.45386155827523206</v>
      </c>
      <c r="AC231" s="63">
        <f>Z231*AB231*365</f>
        <v>63506.27296683078</v>
      </c>
      <c r="AD231" s="65">
        <f>AC231*(1-$T$1)</f>
        <v>44454.391076781547</v>
      </c>
      <c r="AE231" s="63">
        <f>G231</f>
        <v>35028</v>
      </c>
      <c r="AF231" s="63">
        <f>AD231-AE231</f>
        <v>9426.3910767815469</v>
      </c>
      <c r="AH231" s="66">
        <f>AB231*(365/$AG$23)*$AG$21</f>
        <v>5521.9822923486572</v>
      </c>
      <c r="AI231" s="66">
        <f>-$AG$7-$AG$13-AH231</f>
        <v>-39121.982292348657</v>
      </c>
      <c r="AJ231" s="66">
        <f>-$AG$13-AH231-$AG$18</f>
        <v>-15121.982292348657</v>
      </c>
      <c r="AK231" s="67">
        <f>-($AG$7/$AG$9)-$AG$13-AH231</f>
        <v>-15121.982292348657</v>
      </c>
      <c r="AL231" s="67">
        <f>-($AG$7/$AG$9)-$AG$13-AH231-$AG$18</f>
        <v>-21121.982292348657</v>
      </c>
      <c r="AM231" s="68">
        <f>AF231+AI231</f>
        <v>-29695.59121556711</v>
      </c>
      <c r="AN231" s="68">
        <f>AF231+AJ231</f>
        <v>-5695.5912155671103</v>
      </c>
      <c r="AO231" s="68">
        <f>AF231+AK231</f>
        <v>-5695.5912155671103</v>
      </c>
      <c r="AP231" s="68">
        <f>AF231+AL231</f>
        <v>-11695.59121556711</v>
      </c>
    </row>
    <row r="232" spans="1:42">
      <c r="A232" t="s">
        <v>385</v>
      </c>
      <c r="B232" t="s">
        <v>386</v>
      </c>
      <c r="C232" t="s">
        <v>98</v>
      </c>
      <c r="D232">
        <v>2</v>
      </c>
      <c r="E232">
        <v>4000</v>
      </c>
      <c r="F232">
        <f>F$2</f>
        <v>0.97299999999999998</v>
      </c>
      <c r="G232" s="60">
        <f>E232*12*F232</f>
        <v>46704</v>
      </c>
      <c r="H232">
        <v>302</v>
      </c>
      <c r="I232" s="61">
        <v>0.31509999999999999</v>
      </c>
      <c r="J232">
        <v>220</v>
      </c>
      <c r="K232">
        <v>534</v>
      </c>
      <c r="L232">
        <f>K232-J232</f>
        <v>314</v>
      </c>
      <c r="M232">
        <f>H232-J232</f>
        <v>82</v>
      </c>
      <c r="N232" s="62">
        <f>0.8*M232/L232+0.1</f>
        <v>0.30891719745222934</v>
      </c>
      <c r="O232" s="61">
        <v>0.31509999999999999</v>
      </c>
      <c r="P232" s="63">
        <v>100</v>
      </c>
      <c r="Q232" s="64">
        <f>0.1+0.8*(P232-J232)/(K232-J232)</f>
        <v>-0.2057324840764331</v>
      </c>
      <c r="R232" s="64">
        <f>$Q$2*Q232+$R$2</f>
        <v>1.0136351069030884</v>
      </c>
      <c r="S232" s="63">
        <f>365*P232*R232</f>
        <v>36997.681401962727</v>
      </c>
      <c r="T232" s="65">
        <f>S232*(1-$T$1)</f>
        <v>25898.376981373909</v>
      </c>
      <c r="U232" s="60">
        <f>J232</f>
        <v>220</v>
      </c>
      <c r="V232" s="63">
        <f>1.25*L232</f>
        <v>392.5</v>
      </c>
      <c r="W232" s="63">
        <f>J232-L232/8</f>
        <v>180.75</v>
      </c>
      <c r="X232">
        <f>1.25*L232/(2*$Q$2)</f>
        <v>-247.86935229140104</v>
      </c>
      <c r="Y232" s="63">
        <f>(($Q$2*W232)/V232-$R$2)*X232</f>
        <v>301.24907740789354</v>
      </c>
      <c r="Z232" s="63">
        <f>IF(Y232&gt;U232,Y232,U232)</f>
        <v>301.24907740789354</v>
      </c>
      <c r="AA232" s="64">
        <f>(Z232-W232)/V232</f>
        <v>0.30700401887361412</v>
      </c>
      <c r="AB232" s="64">
        <f>$Q$2*AA232+$R$2</f>
        <v>0.60767713842600868</v>
      </c>
      <c r="AC232" s="63">
        <f>Z232*AB232*365</f>
        <v>66817.69471913694</v>
      </c>
      <c r="AD232" s="65">
        <f>AC232*(1-$T$1)</f>
        <v>46772.386303395855</v>
      </c>
      <c r="AE232" s="63">
        <f>G232</f>
        <v>46704</v>
      </c>
      <c r="AF232" s="63">
        <f>AD232-AE232</f>
        <v>68.386303395855066</v>
      </c>
      <c r="AH232" s="66">
        <f>AB232*(365/$AG$23)*$AG$21</f>
        <v>7393.405184183106</v>
      </c>
      <c r="AI232" s="66">
        <f>-$AG$7-$AG$13-AH232</f>
        <v>-40993.40518418311</v>
      </c>
      <c r="AJ232" s="66">
        <f>-$AG$13-AH232-$AG$18</f>
        <v>-16993.405184183106</v>
      </c>
      <c r="AK232" s="67">
        <f>-($AG$7/$AG$9)-$AG$13-AH232</f>
        <v>-16993.405184183106</v>
      </c>
      <c r="AL232" s="67">
        <f>-($AG$7/$AG$9)-$AG$13-AH232-$AG$18</f>
        <v>-22993.405184183106</v>
      </c>
      <c r="AM232" s="68">
        <f>AF232+AI232</f>
        <v>-40925.018880787255</v>
      </c>
      <c r="AN232" s="68">
        <f>AF232+AJ232</f>
        <v>-16925.018880787251</v>
      </c>
      <c r="AO232" s="68">
        <f>AF232+AK232</f>
        <v>-16925.018880787251</v>
      </c>
      <c r="AP232" s="68">
        <f>AF232+AL232</f>
        <v>-22925.018880787251</v>
      </c>
    </row>
    <row r="233" spans="1:42">
      <c r="A233" t="s">
        <v>387</v>
      </c>
      <c r="B233" t="s">
        <v>386</v>
      </c>
      <c r="C233" t="s">
        <v>107</v>
      </c>
      <c r="D233">
        <v>1</v>
      </c>
      <c r="E233">
        <v>4000</v>
      </c>
      <c r="F233">
        <f>F$2</f>
        <v>0.97299999999999998</v>
      </c>
      <c r="G233" s="60">
        <f>E233*12*F233</f>
        <v>46704</v>
      </c>
      <c r="H233">
        <v>213</v>
      </c>
      <c r="I233" s="61">
        <v>0.65210000000000001</v>
      </c>
      <c r="J233">
        <v>128</v>
      </c>
      <c r="K233">
        <v>450</v>
      </c>
      <c r="L233">
        <f>K233-J233</f>
        <v>322</v>
      </c>
      <c r="M233">
        <f>H233-J233</f>
        <v>85</v>
      </c>
      <c r="N233" s="62">
        <f>0.8*M233/L233+0.1</f>
        <v>0.31118012422360253</v>
      </c>
      <c r="O233" s="61">
        <v>0.65210000000000001</v>
      </c>
      <c r="P233" s="63">
        <v>100</v>
      </c>
      <c r="Q233" s="64">
        <f>0.1+0.8*(P233-J233)/(K233-J233)</f>
        <v>3.0434782608695657E-2</v>
      </c>
      <c r="R233" s="64">
        <f>$Q$2*Q233+$R$2</f>
        <v>0.82665020675912493</v>
      </c>
      <c r="S233" s="63">
        <f>365*P233*R233</f>
        <v>30172.732546708059</v>
      </c>
      <c r="T233" s="65">
        <f>S233*(1-$T$1)</f>
        <v>21120.912782695639</v>
      </c>
      <c r="U233" s="60">
        <f>J233</f>
        <v>128</v>
      </c>
      <c r="V233" s="63">
        <f>1.25*L233</f>
        <v>402.5</v>
      </c>
      <c r="W233" s="63">
        <f>J233-L233/8</f>
        <v>87.75</v>
      </c>
      <c r="X233">
        <f>1.25*L233/(2*$Q$2)</f>
        <v>-254.18449502493993</v>
      </c>
      <c r="Y233" s="63">
        <f>(($Q$2*W233)/V233-$R$2)*X233</f>
        <v>260.12166536733037</v>
      </c>
      <c r="Z233" s="63">
        <f>IF(Y233&gt;U233,Y233,U233)</f>
        <v>260.12166536733037</v>
      </c>
      <c r="AA233" s="64">
        <f>(Z233-W233)/V233</f>
        <v>0.42825258476355371</v>
      </c>
      <c r="AB233" s="64">
        <f>$Q$2*AA233+$R$2</f>
        <v>0.51167886015590347</v>
      </c>
      <c r="AC233" s="63">
        <f>Z233*AB233*365</f>
        <v>48581.046391508993</v>
      </c>
      <c r="AD233" s="65">
        <f>AC233*(1-$T$1)</f>
        <v>34006.732474056291</v>
      </c>
      <c r="AE233" s="63">
        <f>G233</f>
        <v>46704</v>
      </c>
      <c r="AF233" s="63">
        <f>AD233-AE233</f>
        <v>-12697.267525943709</v>
      </c>
      <c r="AH233" s="66">
        <f>AB233*(365/$AG$23)*$AG$21</f>
        <v>6225.4261318968265</v>
      </c>
      <c r="AI233" s="66">
        <f>-$AG$7-$AG$13-AH233</f>
        <v>-39825.426131896827</v>
      </c>
      <c r="AJ233" s="66">
        <f>-$AG$13-AH233-$AG$18</f>
        <v>-15825.426131896827</v>
      </c>
      <c r="AK233" s="67">
        <f>-($AG$7/$AG$9)-$AG$13-AH233</f>
        <v>-15825.426131896827</v>
      </c>
      <c r="AL233" s="67">
        <f>-($AG$7/$AG$9)-$AG$13-AH233-$AG$18</f>
        <v>-21825.426131896827</v>
      </c>
      <c r="AM233" s="68">
        <f>AF233+AI233</f>
        <v>-52522.693657840537</v>
      </c>
      <c r="AN233" s="68">
        <f>AF233+AJ233</f>
        <v>-28522.693657840537</v>
      </c>
      <c r="AO233" s="68">
        <f>AF233+AK233</f>
        <v>-28522.693657840537</v>
      </c>
      <c r="AP233" s="68">
        <f>AF233+AL233</f>
        <v>-34522.693657840537</v>
      </c>
    </row>
    <row r="234" spans="1:42">
      <c r="A234" t="s">
        <v>388</v>
      </c>
      <c r="B234" t="s">
        <v>386</v>
      </c>
      <c r="C234" t="s">
        <v>107</v>
      </c>
      <c r="D234">
        <v>2</v>
      </c>
      <c r="E234">
        <v>5000</v>
      </c>
      <c r="F234">
        <f>F$2</f>
        <v>0.97299999999999998</v>
      </c>
      <c r="G234" s="60">
        <f>E234*12*F234</f>
        <v>58380</v>
      </c>
      <c r="H234">
        <v>364</v>
      </c>
      <c r="I234" s="61">
        <v>0.51229999999999998</v>
      </c>
      <c r="J234">
        <v>152</v>
      </c>
      <c r="K234">
        <v>546</v>
      </c>
      <c r="L234">
        <f>K234-J234</f>
        <v>394</v>
      </c>
      <c r="M234">
        <f>H234-J234</f>
        <v>212</v>
      </c>
      <c r="N234" s="62">
        <f>0.8*M234/L234+0.1</f>
        <v>0.53045685279187826</v>
      </c>
      <c r="O234" s="61">
        <v>0.51229999999999998</v>
      </c>
      <c r="P234" s="63">
        <v>100</v>
      </c>
      <c r="Q234" s="64">
        <f>0.1+0.8*(P234-J234)/(K234-J234)</f>
        <v>-5.5837563451776595E-3</v>
      </c>
      <c r="R234" s="64">
        <f>$Q$2*Q234+$R$2</f>
        <v>0.85516780364777778</v>
      </c>
      <c r="S234" s="63">
        <f>365*P234*R234</f>
        <v>31213.624833143887</v>
      </c>
      <c r="T234" s="65">
        <f>S234*(1-$T$1)</f>
        <v>21849.537383200721</v>
      </c>
      <c r="U234" s="60">
        <f>J234</f>
        <v>152</v>
      </c>
      <c r="V234" s="63">
        <f>1.25*L234</f>
        <v>492.5</v>
      </c>
      <c r="W234" s="63">
        <f>J234-L234/8</f>
        <v>102.75</v>
      </c>
      <c r="X234">
        <f>1.25*L234/(2*$Q$2)</f>
        <v>-311.02077962678987</v>
      </c>
      <c r="Y234" s="63">
        <f>(($Q$2*W234)/V234-$R$2)*X234</f>
        <v>315.97495700226142</v>
      </c>
      <c r="Z234" s="63">
        <f>IF(Y234&gt;U234,Y234,U234)</f>
        <v>315.97495700226142</v>
      </c>
      <c r="AA234" s="64">
        <f>(Z234-W234)/V234</f>
        <v>0.43294407513149524</v>
      </c>
      <c r="AB234" s="64">
        <f>$Q$2*AA234+$R$2</f>
        <v>0.50796438325023852</v>
      </c>
      <c r="AC234" s="63">
        <f>Z234*AB234*365</f>
        <v>58583.968817003639</v>
      </c>
      <c r="AD234" s="65">
        <f>AC234*(1-$T$1)</f>
        <v>41008.778171902544</v>
      </c>
      <c r="AE234" s="63">
        <f>G234</f>
        <v>58380</v>
      </c>
      <c r="AF234" s="63">
        <f>AD234-AE234</f>
        <v>-17371.221828097456</v>
      </c>
      <c r="AH234" s="66">
        <f>AB234*(365/$AG$23)*$AG$21</f>
        <v>6180.2333295445696</v>
      </c>
      <c r="AI234" s="66">
        <f>-$AG$7-$AG$13-AH234</f>
        <v>-39780.233329544571</v>
      </c>
      <c r="AJ234" s="66">
        <f>-$AG$13-AH234-$AG$18</f>
        <v>-15780.23332954457</v>
      </c>
      <c r="AK234" s="67">
        <f>-($AG$7/$AG$9)-$AG$13-AH234</f>
        <v>-15780.23332954457</v>
      </c>
      <c r="AL234" s="67">
        <f>-($AG$7/$AG$9)-$AG$13-AH234-$AG$18</f>
        <v>-21780.233329544571</v>
      </c>
      <c r="AM234" s="68">
        <f>AF234+AI234</f>
        <v>-57151.455157642027</v>
      </c>
      <c r="AN234" s="68">
        <f>AF234+AJ234</f>
        <v>-33151.455157642027</v>
      </c>
      <c r="AO234" s="68">
        <f>AF234+AK234</f>
        <v>-33151.455157642027</v>
      </c>
      <c r="AP234" s="68">
        <f>AF234+AL234</f>
        <v>-39151.455157642027</v>
      </c>
    </row>
    <row r="235" spans="1:42">
      <c r="A235" t="s">
        <v>389</v>
      </c>
      <c r="B235" t="s">
        <v>386</v>
      </c>
      <c r="C235" t="s">
        <v>98</v>
      </c>
      <c r="D235">
        <v>1</v>
      </c>
      <c r="E235">
        <v>3200</v>
      </c>
      <c r="F235">
        <f>F$2</f>
        <v>0.97299999999999998</v>
      </c>
      <c r="G235" s="60">
        <f>E235*12*F235</f>
        <v>37363.199999999997</v>
      </c>
      <c r="H235">
        <v>251</v>
      </c>
      <c r="I235" s="61">
        <v>0.62739999999999996</v>
      </c>
      <c r="J235">
        <v>94</v>
      </c>
      <c r="K235">
        <v>528</v>
      </c>
      <c r="L235">
        <f>K235-J235</f>
        <v>434</v>
      </c>
      <c r="M235">
        <f>H235-J235</f>
        <v>157</v>
      </c>
      <c r="N235" s="62">
        <f>0.8*M235/L235+0.1</f>
        <v>0.38940092165898621</v>
      </c>
      <c r="O235" s="61">
        <v>0.62739999999999996</v>
      </c>
      <c r="P235" s="63">
        <v>100</v>
      </c>
      <c r="Q235" s="64">
        <f>0.1+0.8*(P235-J235)/(K235-J235)</f>
        <v>0.11105990783410138</v>
      </c>
      <c r="R235" s="64">
        <f>$Q$2*Q235+$R$2</f>
        <v>0.76281544590944816</v>
      </c>
      <c r="S235" s="63">
        <f>365*P235*R235</f>
        <v>27842.763775694857</v>
      </c>
      <c r="T235" s="65">
        <f>S235*(1-$T$1)</f>
        <v>19489.934642986398</v>
      </c>
      <c r="U235" s="60">
        <f>J235</f>
        <v>94</v>
      </c>
      <c r="V235" s="63">
        <f>1.25*L235</f>
        <v>542.5</v>
      </c>
      <c r="W235" s="63">
        <f>J235-L235/8</f>
        <v>39.75</v>
      </c>
      <c r="X235">
        <f>1.25*L235/(2*$Q$2)</f>
        <v>-342.59649329448428</v>
      </c>
      <c r="Y235" s="63">
        <f>(($Q$2*W235)/V235-$R$2)*X235</f>
        <v>311.33789679944528</v>
      </c>
      <c r="Z235" s="63">
        <f>IF(Y235&gt;U235,Y235,U235)</f>
        <v>311.33789679944528</v>
      </c>
      <c r="AA235" s="64">
        <f>(Z235-W235)/V235</f>
        <v>0.50062285124321715</v>
      </c>
      <c r="AB235" s="64">
        <f>$Q$2*AA235+$R$2</f>
        <v>0.45437986507910605</v>
      </c>
      <c r="AC235" s="63">
        <f>Z235*AB235*365</f>
        <v>51634.970112736781</v>
      </c>
      <c r="AD235" s="65">
        <f>AC235*(1-$T$1)</f>
        <v>36144.479078915741</v>
      </c>
      <c r="AE235" s="63">
        <f>G235</f>
        <v>37363.199999999997</v>
      </c>
      <c r="AF235" s="63">
        <f>AD235-AE235</f>
        <v>-1218.7209210842557</v>
      </c>
      <c r="AH235" s="66">
        <f>AB235*(365/$AG$23)*$AG$21</f>
        <v>5528.2883584624569</v>
      </c>
      <c r="AI235" s="66">
        <f>-$AG$7-$AG$13-AH235</f>
        <v>-39128.288358462458</v>
      </c>
      <c r="AJ235" s="66">
        <f>-$AG$13-AH235-$AG$18</f>
        <v>-15128.288358462458</v>
      </c>
      <c r="AK235" s="67">
        <f>-($AG$7/$AG$9)-$AG$13-AH235</f>
        <v>-15128.288358462458</v>
      </c>
      <c r="AL235" s="67">
        <f>-($AG$7/$AG$9)-$AG$13-AH235-$AG$18</f>
        <v>-21128.288358462458</v>
      </c>
      <c r="AM235" s="68">
        <f>AF235+AI235</f>
        <v>-40347.009279546714</v>
      </c>
      <c r="AN235" s="68">
        <f>AF235+AJ235</f>
        <v>-16347.009279546714</v>
      </c>
      <c r="AO235" s="68">
        <f>AF235+AK235</f>
        <v>-16347.009279546714</v>
      </c>
      <c r="AP235" s="68">
        <f>AF235+AL235</f>
        <v>-22347.009279546714</v>
      </c>
    </row>
    <row r="236" spans="1:42">
      <c r="A236" t="s">
        <v>390</v>
      </c>
      <c r="B236" t="s">
        <v>391</v>
      </c>
      <c r="C236" t="s">
        <v>98</v>
      </c>
      <c r="D236">
        <v>2</v>
      </c>
      <c r="E236">
        <v>3500</v>
      </c>
      <c r="F236">
        <f>F$2</f>
        <v>0.97299999999999998</v>
      </c>
      <c r="G236" s="60">
        <f>E236*12*F236</f>
        <v>40866</v>
      </c>
      <c r="H236">
        <v>343</v>
      </c>
      <c r="I236" s="61">
        <v>0.39729999999999999</v>
      </c>
      <c r="J236">
        <v>194</v>
      </c>
      <c r="K236">
        <v>471</v>
      </c>
      <c r="L236">
        <f>K236-J236</f>
        <v>277</v>
      </c>
      <c r="M236">
        <f>H236-J236</f>
        <v>149</v>
      </c>
      <c r="N236" s="62">
        <f>0.8*M236/L236+0.1</f>
        <v>0.53032490974729241</v>
      </c>
      <c r="O236" s="61">
        <v>0.39729999999999999</v>
      </c>
      <c r="P236" s="63">
        <v>100</v>
      </c>
      <c r="Q236" s="64">
        <f>0.1+0.8*(P236-J236)/(K236-J236)</f>
        <v>-0.17148014440433215</v>
      </c>
      <c r="R236" s="64">
        <f>$Q$2*Q236+$R$2</f>
        <v>0.98651589430778841</v>
      </c>
      <c r="S236" s="63">
        <f>365*P236*R236</f>
        <v>36007.830142234277</v>
      </c>
      <c r="T236" s="65">
        <f>S236*(1-$T$1)</f>
        <v>25205.481099563993</v>
      </c>
      <c r="U236" s="60">
        <f>J236</f>
        <v>194</v>
      </c>
      <c r="V236" s="63">
        <f>1.25*L236</f>
        <v>346.25</v>
      </c>
      <c r="W236" s="63">
        <f>J236-L236/8</f>
        <v>159.375</v>
      </c>
      <c r="X236">
        <f>1.25*L236/(2*$Q$2)</f>
        <v>-218.66181714878374</v>
      </c>
      <c r="Y236" s="63">
        <f>(($Q$2*W236)/V236-$R$2)*X236</f>
        <v>265.71335809549851</v>
      </c>
      <c r="Z236" s="63">
        <f>IF(Y236&gt;U236,Y236,U236)</f>
        <v>265.71335809549851</v>
      </c>
      <c r="AA236" s="64">
        <f>(Z236-W236)/V236</f>
        <v>0.30711439161154802</v>
      </c>
      <c r="AB236" s="64">
        <f>$Q$2*AA236+$R$2</f>
        <v>0.6075897510599656</v>
      </c>
      <c r="AC236" s="63">
        <f>Z236*AB236*365</f>
        <v>58927.320280971275</v>
      </c>
      <c r="AD236" s="65">
        <f>AC236*(1-$T$1)</f>
        <v>41249.124196679892</v>
      </c>
      <c r="AE236" s="63">
        <f>G236</f>
        <v>40866</v>
      </c>
      <c r="AF236" s="63">
        <f>AD236-AE236</f>
        <v>383.12419667989161</v>
      </c>
      <c r="AH236" s="66">
        <f>AB236*(365/$AG$23)*$AG$21</f>
        <v>7392.3419712295808</v>
      </c>
      <c r="AI236" s="66">
        <f>-$AG$7-$AG$13-AH236</f>
        <v>-40992.34197122958</v>
      </c>
      <c r="AJ236" s="66">
        <f>-$AG$13-AH236-$AG$18</f>
        <v>-16992.34197122958</v>
      </c>
      <c r="AK236" s="67">
        <f>-($AG$7/$AG$9)-$AG$13-AH236</f>
        <v>-16992.34197122958</v>
      </c>
      <c r="AL236" s="67">
        <f>-($AG$7/$AG$9)-$AG$13-AH236-$AG$18</f>
        <v>-22992.34197122958</v>
      </c>
      <c r="AM236" s="68">
        <f>AF236+AI236</f>
        <v>-40609.217774549688</v>
      </c>
      <c r="AN236" s="68">
        <f>AF236+AJ236</f>
        <v>-16609.217774549688</v>
      </c>
      <c r="AO236" s="68">
        <f>AF236+AK236</f>
        <v>-16609.217774549688</v>
      </c>
      <c r="AP236" s="68">
        <f>AF236+AL236</f>
        <v>-22609.217774549688</v>
      </c>
    </row>
    <row r="237" spans="1:42">
      <c r="A237" t="s">
        <v>392</v>
      </c>
      <c r="B237" t="s">
        <v>100</v>
      </c>
      <c r="C237" t="s">
        <v>98</v>
      </c>
      <c r="D237">
        <v>1</v>
      </c>
      <c r="E237">
        <v>965</v>
      </c>
      <c r="F237">
        <f>F$2</f>
        <v>0.97299999999999998</v>
      </c>
      <c r="G237" s="60">
        <f>E237*12*F237</f>
        <v>11267.34</v>
      </c>
      <c r="H237">
        <v>125</v>
      </c>
      <c r="I237" s="61">
        <v>0.37530000000000002</v>
      </c>
      <c r="J237">
        <v>50</v>
      </c>
      <c r="K237">
        <v>174</v>
      </c>
      <c r="L237">
        <f>K237-J237</f>
        <v>124</v>
      </c>
      <c r="M237">
        <f>H237-J237</f>
        <v>75</v>
      </c>
      <c r="N237" s="62">
        <f>0.8*M237/L237+0.1</f>
        <v>0.58387096774193548</v>
      </c>
      <c r="O237" s="61">
        <v>0.37530000000000002</v>
      </c>
      <c r="P237" s="63">
        <v>100</v>
      </c>
      <c r="Q237" s="64">
        <f>0.1+0.8*(P237-J237)/(K237-J237)</f>
        <v>0.42258064516129035</v>
      </c>
      <c r="R237" s="64">
        <f>$Q$2*Q237+$R$2</f>
        <v>0.5161696055290369</v>
      </c>
      <c r="S237" s="63">
        <f>365*P237*R237</f>
        <v>18840.190601809845</v>
      </c>
      <c r="T237" s="65">
        <f>S237*(1-$T$1)</f>
        <v>13188.133421266892</v>
      </c>
      <c r="U237" s="60">
        <f>J237</f>
        <v>50</v>
      </c>
      <c r="V237" s="63">
        <f>1.25*L237</f>
        <v>155</v>
      </c>
      <c r="W237" s="63">
        <f>J237-L237/8</f>
        <v>34.5</v>
      </c>
      <c r="X237">
        <f>1.25*L237/(2*$Q$2)</f>
        <v>-97.88471236985265</v>
      </c>
      <c r="Y237" s="63">
        <f>(($Q$2*W237)/V237-$R$2)*X237</f>
        <v>100.52511337127008</v>
      </c>
      <c r="Z237" s="63">
        <f>IF(Y237&gt;U237,Y237,U237)</f>
        <v>100.52511337127008</v>
      </c>
      <c r="AA237" s="64">
        <f>(Z237-W237)/V237</f>
        <v>0.42596847336303278</v>
      </c>
      <c r="AB237" s="64">
        <f>$Q$2*AA237+$R$2</f>
        <v>0.51348730019985556</v>
      </c>
      <c r="AC237" s="63">
        <f>Z237*AB237*365</f>
        <v>18840.704709563724</v>
      </c>
      <c r="AD237" s="65">
        <f>AC237*(1-$T$1)</f>
        <v>13188.493296694607</v>
      </c>
      <c r="AE237" s="63">
        <f>G237</f>
        <v>11267.34</v>
      </c>
      <c r="AF237" s="63">
        <f>AD237-AE237</f>
        <v>1921.153296694607</v>
      </c>
      <c r="AH237" s="66">
        <f>AB237*(365/$AG$23)*$AG$21</f>
        <v>6247.4288190982425</v>
      </c>
      <c r="AI237" s="66">
        <f>-$AG$7-$AG$13-AH237</f>
        <v>-39847.428819098241</v>
      </c>
      <c r="AJ237" s="66">
        <f>-$AG$13-AH237-$AG$18</f>
        <v>-15847.428819098242</v>
      </c>
      <c r="AK237" s="67">
        <f>-($AG$7/$AG$9)-$AG$13-AH237</f>
        <v>-15847.428819098242</v>
      </c>
      <c r="AL237" s="67">
        <f>-($AG$7/$AG$9)-$AG$13-AH237-$AG$18</f>
        <v>-21847.428819098241</v>
      </c>
      <c r="AM237" s="68">
        <f>AF237+AI237</f>
        <v>-37926.275522403637</v>
      </c>
      <c r="AN237" s="68">
        <f>AF237+AJ237</f>
        <v>-13926.275522403635</v>
      </c>
      <c r="AO237" s="68">
        <f>AF237+AK237</f>
        <v>-13926.275522403635</v>
      </c>
      <c r="AP237" s="68">
        <f>AF237+AL237</f>
        <v>-19926.275522403634</v>
      </c>
    </row>
    <row r="238" spans="1:42">
      <c r="A238" t="s">
        <v>393</v>
      </c>
      <c r="B238" t="s">
        <v>391</v>
      </c>
      <c r="C238" t="s">
        <v>107</v>
      </c>
      <c r="D238">
        <v>1</v>
      </c>
      <c r="E238">
        <v>3200</v>
      </c>
      <c r="F238">
        <f>F$2</f>
        <v>0.97299999999999998</v>
      </c>
      <c r="G238" s="60">
        <f>E238*12*F238</f>
        <v>37363.199999999997</v>
      </c>
      <c r="H238">
        <v>251</v>
      </c>
      <c r="I238" s="61">
        <v>0.3342</v>
      </c>
      <c r="J238">
        <v>138</v>
      </c>
      <c r="K238">
        <v>485</v>
      </c>
      <c r="L238">
        <f>K238-J238</f>
        <v>347</v>
      </c>
      <c r="M238">
        <f>H238-J238</f>
        <v>113</v>
      </c>
      <c r="N238" s="62">
        <f>0.8*M238/L238+0.1</f>
        <v>0.36051873198847262</v>
      </c>
      <c r="O238" s="61">
        <v>0.3342</v>
      </c>
      <c r="P238" s="63">
        <v>100</v>
      </c>
      <c r="Q238" s="64">
        <f>0.1+0.8*(P238-J238)/(K238-J238)</f>
        <v>1.2391930835734866E-2</v>
      </c>
      <c r="R238" s="64">
        <f>$Q$2*Q238+$R$2</f>
        <v>0.84093559391050132</v>
      </c>
      <c r="S238" s="63">
        <f>365*P238*R238</f>
        <v>30694.149177733299</v>
      </c>
      <c r="T238" s="65">
        <f>S238*(1-$T$1)</f>
        <v>21485.904424413307</v>
      </c>
      <c r="U238" s="60">
        <f>J238</f>
        <v>138</v>
      </c>
      <c r="V238" s="63">
        <f>1.25*L238</f>
        <v>433.75</v>
      </c>
      <c r="W238" s="63">
        <f>J238-L238/8</f>
        <v>94.625</v>
      </c>
      <c r="X238">
        <f>1.25*L238/(2*$Q$2)</f>
        <v>-273.91931606724893</v>
      </c>
      <c r="Y238" s="63">
        <f>(($Q$2*W238)/V238-$R$2)*X238</f>
        <v>280.34850274057032</v>
      </c>
      <c r="Z238" s="63">
        <f>IF(Y238&gt;U238,Y238,U238)</f>
        <v>280.34850274057032</v>
      </c>
      <c r="AA238" s="64">
        <f>(Z238-W238)/V238</f>
        <v>0.42818098614540712</v>
      </c>
      <c r="AB238" s="64">
        <f>$Q$2*AA238+$R$2</f>
        <v>0.51173554820015488</v>
      </c>
      <c r="AC238" s="63">
        <f>Z238*AB238*365</f>
        <v>52364.467579019009</v>
      </c>
      <c r="AD238" s="65">
        <f>AC238*(1-$T$1)</f>
        <v>36655.127305313305</v>
      </c>
      <c r="AE238" s="63">
        <f>G238</f>
        <v>37363.199999999997</v>
      </c>
      <c r="AF238" s="63">
        <f>AD238-AE238</f>
        <v>-708.07269468669256</v>
      </c>
      <c r="AH238" s="66">
        <f>AB238*(365/$AG$23)*$AG$21</f>
        <v>6226.1158364352177</v>
      </c>
      <c r="AI238" s="66">
        <f>-$AG$7-$AG$13-AH238</f>
        <v>-39826.115836435216</v>
      </c>
      <c r="AJ238" s="66">
        <f>-$AG$13-AH238-$AG$18</f>
        <v>-15826.115836435218</v>
      </c>
      <c r="AK238" s="67">
        <f>-($AG$7/$AG$9)-$AG$13-AH238</f>
        <v>-15826.115836435218</v>
      </c>
      <c r="AL238" s="67">
        <f>-($AG$7/$AG$9)-$AG$13-AH238-$AG$18</f>
        <v>-21826.115836435216</v>
      </c>
      <c r="AM238" s="68">
        <f>AF238+AI238</f>
        <v>-40534.188531121908</v>
      </c>
      <c r="AN238" s="68">
        <f>AF238+AJ238</f>
        <v>-16534.188531121908</v>
      </c>
      <c r="AO238" s="68">
        <f>AF238+AK238</f>
        <v>-16534.188531121908</v>
      </c>
      <c r="AP238" s="68">
        <f>AF238+AL238</f>
        <v>-22534.188531121908</v>
      </c>
    </row>
    <row r="239" spans="1:42">
      <c r="A239" t="s">
        <v>394</v>
      </c>
      <c r="B239" t="s">
        <v>391</v>
      </c>
      <c r="C239" t="s">
        <v>107</v>
      </c>
      <c r="D239">
        <v>2</v>
      </c>
      <c r="E239">
        <v>3500</v>
      </c>
      <c r="F239">
        <f>F$2</f>
        <v>0.97299999999999998</v>
      </c>
      <c r="G239" s="60">
        <f>E239*12*F239</f>
        <v>40866</v>
      </c>
      <c r="H239">
        <v>404</v>
      </c>
      <c r="I239" s="61">
        <v>0.36159999999999998</v>
      </c>
      <c r="J239">
        <v>152</v>
      </c>
      <c r="K239">
        <v>547</v>
      </c>
      <c r="L239">
        <f>K239-J239</f>
        <v>395</v>
      </c>
      <c r="M239">
        <f>H239-J239</f>
        <v>252</v>
      </c>
      <c r="N239" s="62">
        <f>0.8*M239/L239+0.1</f>
        <v>0.61037974683544305</v>
      </c>
      <c r="O239" s="61">
        <v>0.36159999999999998</v>
      </c>
      <c r="P239" s="63">
        <v>100</v>
      </c>
      <c r="Q239" s="64">
        <f>0.1+0.8*(P239-J239)/(K239-J239)</f>
        <v>-5.3164556962025239E-3</v>
      </c>
      <c r="R239" s="64">
        <f>$Q$2*Q239+$R$2</f>
        <v>0.85495616896250326</v>
      </c>
      <c r="S239" s="63">
        <f>365*P239*R239</f>
        <v>31205.900167131367</v>
      </c>
      <c r="T239" s="65">
        <f>S239*(1-$T$1)</f>
        <v>21844.130116991957</v>
      </c>
      <c r="U239" s="60">
        <f>J239</f>
        <v>152</v>
      </c>
      <c r="V239" s="63">
        <f>1.25*L239</f>
        <v>493.75</v>
      </c>
      <c r="W239" s="63">
        <f>J239-L239/8</f>
        <v>102.625</v>
      </c>
      <c r="X239">
        <f>1.25*L239/(2*$Q$2)</f>
        <v>-311.81017246848222</v>
      </c>
      <c r="Y239" s="63">
        <f>(($Q$2*W239)/V239-$R$2)*X239</f>
        <v>316.58403049719095</v>
      </c>
      <c r="Z239" s="63">
        <f>IF(Y239&gt;U239,Y239,U239)</f>
        <v>316.58403049719095</v>
      </c>
      <c r="AA239" s="64">
        <f>(Z239-W239)/V239</f>
        <v>0.43333474531076649</v>
      </c>
      <c r="AB239" s="64">
        <f>$Q$2*AA239+$R$2</f>
        <v>0.50765507101791441</v>
      </c>
      <c r="AC239" s="63">
        <f>Z239*AB239*365</f>
        <v>58661.153297094002</v>
      </c>
      <c r="AD239" s="65">
        <f>AC239*(1-$T$1)</f>
        <v>41062.807307965799</v>
      </c>
      <c r="AE239" s="63">
        <f>G239</f>
        <v>40866</v>
      </c>
      <c r="AF239" s="63">
        <f>AD239-AE239</f>
        <v>196.80730796579883</v>
      </c>
      <c r="AH239" s="66">
        <f>AB239*(365/$AG$23)*$AG$21</f>
        <v>6176.4700307179592</v>
      </c>
      <c r="AI239" s="66">
        <f>-$AG$7-$AG$13-AH239</f>
        <v>-39776.470030717959</v>
      </c>
      <c r="AJ239" s="66">
        <f>-$AG$13-AH239-$AG$18</f>
        <v>-15776.470030717959</v>
      </c>
      <c r="AK239" s="67">
        <f>-($AG$7/$AG$9)-$AG$13-AH239</f>
        <v>-15776.470030717959</v>
      </c>
      <c r="AL239" s="67">
        <f>-($AG$7/$AG$9)-$AG$13-AH239-$AG$18</f>
        <v>-21776.470030717959</v>
      </c>
      <c r="AM239" s="68">
        <f>AF239+AI239</f>
        <v>-39579.66272275216</v>
      </c>
      <c r="AN239" s="68">
        <f>AF239+AJ239</f>
        <v>-15579.66272275216</v>
      </c>
      <c r="AO239" s="68">
        <f>AF239+AK239</f>
        <v>-15579.66272275216</v>
      </c>
      <c r="AP239" s="68">
        <f>AF239+AL239</f>
        <v>-21579.66272275216</v>
      </c>
    </row>
    <row r="240" spans="1:42">
      <c r="A240" t="s">
        <v>395</v>
      </c>
      <c r="B240" t="s">
        <v>391</v>
      </c>
      <c r="C240" t="s">
        <v>98</v>
      </c>
      <c r="D240">
        <v>1</v>
      </c>
      <c r="E240">
        <v>3000</v>
      </c>
      <c r="F240">
        <f>F$2</f>
        <v>0.97299999999999998</v>
      </c>
      <c r="G240" s="60">
        <f>E240*12*F240</f>
        <v>35028</v>
      </c>
      <c r="H240">
        <v>161</v>
      </c>
      <c r="I240" s="61">
        <v>0.26579999999999998</v>
      </c>
      <c r="J240">
        <v>77</v>
      </c>
      <c r="K240">
        <v>432</v>
      </c>
      <c r="L240">
        <f>K240-J240</f>
        <v>355</v>
      </c>
      <c r="M240">
        <f>H240-J240</f>
        <v>84</v>
      </c>
      <c r="N240" s="62">
        <f>0.8*M240/L240+0.1</f>
        <v>0.28929577464788736</v>
      </c>
      <c r="O240" s="61">
        <v>0.26579999999999998</v>
      </c>
      <c r="P240" s="63">
        <v>100</v>
      </c>
      <c r="Q240" s="64">
        <f>0.1+0.8*(P240-J240)/(K240-J240)</f>
        <v>0.15183098591549296</v>
      </c>
      <c r="R240" s="64">
        <f>$Q$2*Q240+$R$2</f>
        <v>0.7305350368975807</v>
      </c>
      <c r="S240" s="63">
        <f>365*P240*R240</f>
        <v>26664.528846761696</v>
      </c>
      <c r="T240" s="65">
        <f>S240*(1-$T$1)</f>
        <v>18665.170192733185</v>
      </c>
      <c r="U240" s="60">
        <f>J240</f>
        <v>77</v>
      </c>
      <c r="V240" s="63">
        <f>1.25*L240</f>
        <v>443.75</v>
      </c>
      <c r="W240" s="63">
        <f>J240-L240/8</f>
        <v>32.625</v>
      </c>
      <c r="X240">
        <f>1.25*L240/(2*$Q$2)</f>
        <v>-280.23445880078782</v>
      </c>
      <c r="Y240" s="63">
        <f>(($Q$2*W240)/V240-$R$2)*X240</f>
        <v>254.7210907000071</v>
      </c>
      <c r="Z240" s="63">
        <f>IF(Y240&gt;U240,Y240,U240)</f>
        <v>254.7210907000071</v>
      </c>
      <c r="AA240" s="64">
        <f>(Z240-W240)/V240</f>
        <v>0.50049823256339632</v>
      </c>
      <c r="AB240" s="64">
        <f>$Q$2*AA240+$R$2</f>
        <v>0.45447853163747143</v>
      </c>
      <c r="AC240" s="63">
        <f>Z240*AB240*365</f>
        <v>42254.322556628562</v>
      </c>
      <c r="AD240" s="65">
        <f>AC240*(1-$T$1)</f>
        <v>29578.025789639993</v>
      </c>
      <c r="AE240" s="63">
        <f>G240</f>
        <v>35028</v>
      </c>
      <c r="AF240" s="63">
        <f>AD240-AE240</f>
        <v>-5449.9742103600074</v>
      </c>
      <c r="AH240" s="66">
        <f>AB240*(365/$AG$23)*$AG$21</f>
        <v>5529.4888015892366</v>
      </c>
      <c r="AI240" s="66">
        <f>-$AG$7-$AG$13-AH240</f>
        <v>-39129.488801589236</v>
      </c>
      <c r="AJ240" s="66">
        <f>-$AG$13-AH240-$AG$18</f>
        <v>-15129.488801589236</v>
      </c>
      <c r="AK240" s="67">
        <f>-($AG$7/$AG$9)-$AG$13-AH240</f>
        <v>-15129.488801589236</v>
      </c>
      <c r="AL240" s="67">
        <f>-($AG$7/$AG$9)-$AG$13-AH240-$AG$18</f>
        <v>-21129.488801589236</v>
      </c>
      <c r="AM240" s="68">
        <f>AF240+AI240</f>
        <v>-44579.463011949243</v>
      </c>
      <c r="AN240" s="68">
        <f>AF240+AJ240</f>
        <v>-20579.463011949243</v>
      </c>
      <c r="AO240" s="68">
        <f>AF240+AK240</f>
        <v>-20579.463011949243</v>
      </c>
      <c r="AP240" s="68">
        <f>AF240+AL240</f>
        <v>-26579.463011949243</v>
      </c>
    </row>
    <row r="241" spans="1:42">
      <c r="A241" t="s">
        <v>396</v>
      </c>
      <c r="B241" t="s">
        <v>397</v>
      </c>
      <c r="C241" t="s">
        <v>98</v>
      </c>
      <c r="D241">
        <v>1</v>
      </c>
      <c r="E241">
        <v>2600</v>
      </c>
      <c r="F241">
        <f>F$2</f>
        <v>0.97299999999999998</v>
      </c>
      <c r="G241" s="60">
        <f>E241*12*F241</f>
        <v>30357.599999999999</v>
      </c>
      <c r="H241">
        <v>408</v>
      </c>
      <c r="I241" s="61">
        <v>0.38629999999999998</v>
      </c>
      <c r="J241">
        <v>100</v>
      </c>
      <c r="K241">
        <v>565</v>
      </c>
      <c r="L241">
        <f>K241-J241</f>
        <v>465</v>
      </c>
      <c r="M241">
        <f>H241-J241</f>
        <v>308</v>
      </c>
      <c r="N241" s="62">
        <f>0.8*M241/L241+0.1</f>
        <v>0.62989247311827956</v>
      </c>
      <c r="O241" s="61">
        <v>0.38629999999999998</v>
      </c>
      <c r="P241" s="63">
        <v>100</v>
      </c>
      <c r="Q241" s="64">
        <f>0.1+0.8*(P241-J241)/(K241-J241)</f>
        <v>0.1</v>
      </c>
      <c r="R241" s="64">
        <f>$Q$2*Q241+$R$2</f>
        <v>0.77157210296437406</v>
      </c>
      <c r="S241" s="63">
        <f>365*P241*R241</f>
        <v>28162.381758199652</v>
      </c>
      <c r="T241" s="65">
        <f>S241*(1-$T$1)</f>
        <v>19713.667230739757</v>
      </c>
      <c r="U241" s="60">
        <f>J241</f>
        <v>100</v>
      </c>
      <c r="V241" s="63">
        <f>1.25*L241</f>
        <v>581.25</v>
      </c>
      <c r="W241" s="63">
        <f>J241-L241/8</f>
        <v>41.875</v>
      </c>
      <c r="X241">
        <f>1.25*L241/(2*$Q$2)</f>
        <v>-367.06767138694744</v>
      </c>
      <c r="Y241" s="63">
        <f>(($Q$2*W241)/V241-$R$2)*X241</f>
        <v>333.21917514226283</v>
      </c>
      <c r="Z241" s="63">
        <f>IF(Y241&gt;U241,Y241,U241)</f>
        <v>333.21917514226283</v>
      </c>
      <c r="AA241" s="64">
        <f>(Z241-W241)/V241</f>
        <v>0.5012372905673339</v>
      </c>
      <c r="AB241" s="64">
        <f>$Q$2*AA241+$R$2</f>
        <v>0.45389338413161018</v>
      </c>
      <c r="AC241" s="63">
        <f>Z241*AB241*365</f>
        <v>55204.782357945864</v>
      </c>
      <c r="AD241" s="65">
        <f>AC241*(1-$T$1)</f>
        <v>38643.3476505621</v>
      </c>
      <c r="AE241" s="63">
        <f>G241</f>
        <v>30357.599999999999</v>
      </c>
      <c r="AF241" s="63">
        <f>AD241-AE241</f>
        <v>8285.7476505621016</v>
      </c>
      <c r="AH241" s="66">
        <f>AB241*(365/$AG$23)*$AG$21</f>
        <v>5522.3695069345904</v>
      </c>
      <c r="AI241" s="66">
        <f>-$AG$7-$AG$13-AH241</f>
        <v>-39122.369506934592</v>
      </c>
      <c r="AJ241" s="66">
        <f>-$AG$13-AH241-$AG$18</f>
        <v>-15122.36950693459</v>
      </c>
      <c r="AK241" s="67">
        <f>-($AG$7/$AG$9)-$AG$13-AH241</f>
        <v>-15122.36950693459</v>
      </c>
      <c r="AL241" s="67">
        <f>-($AG$7/$AG$9)-$AG$13-AH241-$AG$18</f>
        <v>-21122.369506934592</v>
      </c>
      <c r="AM241" s="68">
        <f>AF241+AI241</f>
        <v>-30836.621856372491</v>
      </c>
      <c r="AN241" s="68">
        <f>AF241+AJ241</f>
        <v>-6836.6218563724888</v>
      </c>
      <c r="AO241" s="68">
        <f>AF241+AK241</f>
        <v>-6836.6218563724888</v>
      </c>
      <c r="AP241" s="68">
        <f>AF241+AL241</f>
        <v>-12836.621856372491</v>
      </c>
    </row>
    <row r="242" spans="1:42">
      <c r="A242" t="s">
        <v>398</v>
      </c>
      <c r="B242" t="s">
        <v>397</v>
      </c>
      <c r="C242" t="s">
        <v>98</v>
      </c>
      <c r="D242">
        <v>2</v>
      </c>
      <c r="E242">
        <v>4000</v>
      </c>
      <c r="F242">
        <f>F$2</f>
        <v>0.97299999999999998</v>
      </c>
      <c r="G242" s="60">
        <f>E242*12*F242</f>
        <v>46704</v>
      </c>
      <c r="H242">
        <v>284</v>
      </c>
      <c r="I242" s="61">
        <v>0.31509999999999999</v>
      </c>
      <c r="J242">
        <v>204</v>
      </c>
      <c r="K242">
        <v>494</v>
      </c>
      <c r="L242">
        <f>K242-J242</f>
        <v>290</v>
      </c>
      <c r="M242">
        <f>H242-J242</f>
        <v>80</v>
      </c>
      <c r="N242" s="62">
        <f>0.8*M242/L242+0.1</f>
        <v>0.32068965517241377</v>
      </c>
      <c r="O242" s="61">
        <v>0.31509999999999999</v>
      </c>
      <c r="P242" s="63">
        <v>100</v>
      </c>
      <c r="Q242" s="64">
        <f>0.1+0.8*(P242-J242)/(K242-J242)</f>
        <v>-0.18689655172413791</v>
      </c>
      <c r="R242" s="64">
        <f>$Q$2*Q242+$R$2</f>
        <v>0.99872179999376076</v>
      </c>
      <c r="S242" s="63">
        <f>365*P242*R242</f>
        <v>36453.345699772268</v>
      </c>
      <c r="T242" s="65">
        <f>S242*(1-$T$1)</f>
        <v>25517.341989840585</v>
      </c>
      <c r="U242" s="60">
        <f>J242</f>
        <v>204</v>
      </c>
      <c r="V242" s="63">
        <f>1.25*L242</f>
        <v>362.5</v>
      </c>
      <c r="W242" s="63">
        <f>J242-L242/8</f>
        <v>167.75</v>
      </c>
      <c r="X242">
        <f>1.25*L242/(2*$Q$2)</f>
        <v>-228.92392409078442</v>
      </c>
      <c r="Y242" s="63">
        <f>(($Q$2*W242)/V242-$R$2)*X242</f>
        <v>278.63131352958328</v>
      </c>
      <c r="Z242" s="63">
        <f>IF(Y242&gt;U242,Y242,U242)</f>
        <v>278.63131352958328</v>
      </c>
      <c r="AA242" s="64">
        <f>(Z242-W242)/V242</f>
        <v>0.30587948559885042</v>
      </c>
      <c r="AB242" s="64">
        <f>$Q$2*AA242+$R$2</f>
        <v>0.6085674851071623</v>
      </c>
      <c r="AC242" s="63">
        <f>Z242*AB242*365</f>
        <v>61891.574577583371</v>
      </c>
      <c r="AD242" s="65">
        <f>AC242*(1-$T$1)</f>
        <v>43324.102204308358</v>
      </c>
      <c r="AE242" s="63">
        <f>G242</f>
        <v>46704</v>
      </c>
      <c r="AF242" s="63">
        <f>AD242-AE242</f>
        <v>-3379.8977956916424</v>
      </c>
      <c r="AH242" s="66">
        <f>AB242*(365/$AG$23)*$AG$21</f>
        <v>7404.2377354704759</v>
      </c>
      <c r="AI242" s="66">
        <f>-$AG$7-$AG$13-AH242</f>
        <v>-41004.237735470473</v>
      </c>
      <c r="AJ242" s="66">
        <f>-$AG$13-AH242-$AG$18</f>
        <v>-17004.237735470477</v>
      </c>
      <c r="AK242" s="67">
        <f>-($AG$7/$AG$9)-$AG$13-AH242</f>
        <v>-17004.237735470477</v>
      </c>
      <c r="AL242" s="67">
        <f>-($AG$7/$AG$9)-$AG$13-AH242-$AG$18</f>
        <v>-23004.237735470477</v>
      </c>
      <c r="AM242" s="68">
        <f>AF242+AI242</f>
        <v>-44384.135531162116</v>
      </c>
      <c r="AN242" s="68">
        <f>AF242+AJ242</f>
        <v>-20384.135531162119</v>
      </c>
      <c r="AO242" s="68">
        <f>AF242+AK242</f>
        <v>-20384.135531162119</v>
      </c>
      <c r="AP242" s="68">
        <f>AF242+AL242</f>
        <v>-26384.135531162119</v>
      </c>
    </row>
    <row r="243" spans="1:42">
      <c r="A243" t="s">
        <v>399</v>
      </c>
      <c r="B243" t="s">
        <v>397</v>
      </c>
      <c r="C243" t="s">
        <v>107</v>
      </c>
      <c r="D243">
        <v>1</v>
      </c>
      <c r="E243">
        <v>4000</v>
      </c>
      <c r="F243">
        <f>F$2</f>
        <v>0.97299999999999998</v>
      </c>
      <c r="G243" s="60">
        <f>E243*12*F243</f>
        <v>46704</v>
      </c>
      <c r="H243">
        <v>443</v>
      </c>
      <c r="I243" s="61">
        <v>0.55620000000000003</v>
      </c>
      <c r="J243">
        <v>257</v>
      </c>
      <c r="K243">
        <v>903</v>
      </c>
      <c r="L243">
        <f>K243-J243</f>
        <v>646</v>
      </c>
      <c r="M243">
        <f>H243-J243</f>
        <v>186</v>
      </c>
      <c r="N243" s="62">
        <f>0.8*M243/L243+0.1</f>
        <v>0.33034055727554179</v>
      </c>
      <c r="O243" s="61">
        <v>0.55620000000000003</v>
      </c>
      <c r="P243" s="63">
        <v>100</v>
      </c>
      <c r="Q243" s="64">
        <f>0.1+0.8*(P243-J243)/(K243-J243)</f>
        <v>-9.4427244582043351E-2</v>
      </c>
      <c r="R243" s="64">
        <f>$Q$2*Q243+$R$2</f>
        <v>0.92550943485512149</v>
      </c>
      <c r="S243" s="63">
        <f>365*P243*R243</f>
        <v>33781.094372211934</v>
      </c>
      <c r="T243" s="65">
        <f>S243*(1-$T$1)</f>
        <v>23646.766060548351</v>
      </c>
      <c r="U243" s="60">
        <f>J243</f>
        <v>257</v>
      </c>
      <c r="V243" s="63">
        <f>1.25*L243</f>
        <v>807.5</v>
      </c>
      <c r="W243" s="63">
        <f>J243-L243/8</f>
        <v>176.25</v>
      </c>
      <c r="X243">
        <f>1.25*L243/(2*$Q$2)</f>
        <v>-509.94777573326456</v>
      </c>
      <c r="Y243" s="63">
        <f>(($Q$2*W243)/V243-$R$2)*X243</f>
        <v>521.96147772451991</v>
      </c>
      <c r="Z243" s="63">
        <f>IF(Y243&gt;U243,Y243,U243)</f>
        <v>521.96147772451991</v>
      </c>
      <c r="AA243" s="64">
        <f>(Z243-W243)/V243</f>
        <v>0.42812566900869337</v>
      </c>
      <c r="AB243" s="64">
        <f>$Q$2*AA243+$R$2</f>
        <v>0.51177934541824466</v>
      </c>
      <c r="AC243" s="63">
        <f>Z243*AB243*365</f>
        <v>97502.122742238978</v>
      </c>
      <c r="AD243" s="65">
        <f>AC243*(1-$T$1)</f>
        <v>68251.485919567276</v>
      </c>
      <c r="AE243" s="63">
        <f>G243</f>
        <v>46704</v>
      </c>
      <c r="AF243" s="63">
        <f>AD243-AE243</f>
        <v>21547.485919567276</v>
      </c>
      <c r="AH243" s="66">
        <f>AB243*(365/$AG$23)*$AG$21</f>
        <v>6226.6487025886436</v>
      </c>
      <c r="AI243" s="66">
        <f>-$AG$7-$AG$13-AH243</f>
        <v>-39826.648702588645</v>
      </c>
      <c r="AJ243" s="66">
        <f>-$AG$13-AH243-$AG$18</f>
        <v>-15826.648702588644</v>
      </c>
      <c r="AK243" s="67">
        <f>-($AG$7/$AG$9)-$AG$13-AH243</f>
        <v>-15826.648702588644</v>
      </c>
      <c r="AL243" s="67">
        <f>-($AG$7/$AG$9)-$AG$13-AH243-$AG$18</f>
        <v>-21826.648702588645</v>
      </c>
      <c r="AM243" s="68">
        <f>AF243+AI243</f>
        <v>-18279.162783021369</v>
      </c>
      <c r="AN243" s="68">
        <f>AF243+AJ243</f>
        <v>5720.8372169786326</v>
      </c>
      <c r="AO243" s="68">
        <f>AF243+AK243</f>
        <v>5720.8372169786326</v>
      </c>
      <c r="AP243" s="68">
        <f>AF243+AL243</f>
        <v>-279.16278302136925</v>
      </c>
    </row>
    <row r="244" spans="1:42">
      <c r="A244" t="s">
        <v>400</v>
      </c>
      <c r="B244" t="s">
        <v>397</v>
      </c>
      <c r="C244" t="s">
        <v>107</v>
      </c>
      <c r="D244">
        <v>2</v>
      </c>
      <c r="E244">
        <v>5100</v>
      </c>
      <c r="F244">
        <f>F$2</f>
        <v>0.97299999999999998</v>
      </c>
      <c r="G244" s="60">
        <f>E244*12*F244</f>
        <v>59547.6</v>
      </c>
      <c r="H244">
        <v>718</v>
      </c>
      <c r="I244" s="61">
        <v>0.44929999999999998</v>
      </c>
      <c r="J244">
        <v>256</v>
      </c>
      <c r="K244">
        <v>916</v>
      </c>
      <c r="L244">
        <f>K244-J244</f>
        <v>660</v>
      </c>
      <c r="M244">
        <f>H244-J244</f>
        <v>462</v>
      </c>
      <c r="N244" s="62">
        <f>0.8*M244/L244+0.1</f>
        <v>0.66</v>
      </c>
      <c r="O244" s="61">
        <v>0.44929999999999998</v>
      </c>
      <c r="P244" s="63">
        <v>100</v>
      </c>
      <c r="Q244" s="64">
        <f>0.1+0.8*(P244-J244)/(K244-J244)</f>
        <v>-8.9090909090909109E-2</v>
      </c>
      <c r="R244" s="64">
        <f>$Q$2*Q244+$R$2</f>
        <v>0.92128440327919714</v>
      </c>
      <c r="S244" s="63">
        <f>365*P244*R244</f>
        <v>33626.880719690693</v>
      </c>
      <c r="T244" s="65">
        <f>S244*(1-$T$1)</f>
        <v>23538.816503783484</v>
      </c>
      <c r="U244" s="60">
        <f>J244</f>
        <v>256</v>
      </c>
      <c r="V244" s="63">
        <f>1.25*L244</f>
        <v>825</v>
      </c>
      <c r="W244" s="63">
        <f>J244-L244/8</f>
        <v>173.5</v>
      </c>
      <c r="X244">
        <f>1.25*L244/(2*$Q$2)</f>
        <v>-520.9992755169576</v>
      </c>
      <c r="Y244" s="63">
        <f>(($Q$2*W244)/V244-$R$2)*X244</f>
        <v>529.98850665353427</v>
      </c>
      <c r="Z244" s="63">
        <f>IF(Y244&gt;U244,Y244,U244)</f>
        <v>529.98850665353427</v>
      </c>
      <c r="AA244" s="64">
        <f>(Z244-W244)/V244</f>
        <v>0.43210728079216276</v>
      </c>
      <c r="AB244" s="64">
        <f>$Q$2*AA244+$R$2</f>
        <v>0.50862691327896492</v>
      </c>
      <c r="AC244" s="63">
        <f>Z244*AB244*365</f>
        <v>98391.742647568084</v>
      </c>
      <c r="AD244" s="65">
        <f>AC244*(1-$T$1)</f>
        <v>68874.219853297647</v>
      </c>
      <c r="AE244" s="63">
        <f>G244</f>
        <v>59547.6</v>
      </c>
      <c r="AF244" s="63">
        <f>AD244-AE244</f>
        <v>9326.6198532976487</v>
      </c>
      <c r="AH244" s="66">
        <f>AB244*(365/$AG$23)*$AG$21</f>
        <v>6188.29411156074</v>
      </c>
      <c r="AI244" s="66">
        <f>-$AG$7-$AG$13-AH244</f>
        <v>-39788.294111560739</v>
      </c>
      <c r="AJ244" s="66">
        <f>-$AG$13-AH244-$AG$18</f>
        <v>-15788.294111560739</v>
      </c>
      <c r="AK244" s="67">
        <f>-($AG$7/$AG$9)-$AG$13-AH244</f>
        <v>-15788.294111560739</v>
      </c>
      <c r="AL244" s="67">
        <f>-($AG$7/$AG$9)-$AG$13-AH244-$AG$18</f>
        <v>-21788.294111560739</v>
      </c>
      <c r="AM244" s="68">
        <f>AF244+AI244</f>
        <v>-30461.67425826309</v>
      </c>
      <c r="AN244" s="68">
        <f>AF244+AJ244</f>
        <v>-6461.6742582630905</v>
      </c>
      <c r="AO244" s="68">
        <f>AF244+AK244</f>
        <v>-6461.6742582630905</v>
      </c>
      <c r="AP244" s="68">
        <f>AF244+AL244</f>
        <v>-12461.67425826309</v>
      </c>
    </row>
    <row r="245" spans="1:42">
      <c r="A245" t="s">
        <v>401</v>
      </c>
      <c r="B245" t="s">
        <v>102</v>
      </c>
      <c r="C245" t="s">
        <v>98</v>
      </c>
      <c r="D245">
        <v>2</v>
      </c>
      <c r="E245">
        <v>5600</v>
      </c>
      <c r="F245">
        <f>F$2</f>
        <v>0.97299999999999998</v>
      </c>
      <c r="G245" s="60">
        <f>E245*12*F245</f>
        <v>65385.599999999999</v>
      </c>
      <c r="H245">
        <v>478</v>
      </c>
      <c r="I245" s="61">
        <v>0.31780000000000003</v>
      </c>
      <c r="J245">
        <v>265</v>
      </c>
      <c r="K245">
        <v>644</v>
      </c>
      <c r="L245">
        <f>K245-J245</f>
        <v>379</v>
      </c>
      <c r="M245">
        <f>H245-J245</f>
        <v>213</v>
      </c>
      <c r="N245" s="62">
        <f>0.8*M245/L245+0.1</f>
        <v>0.54960422163588396</v>
      </c>
      <c r="O245" s="61">
        <v>0.31780000000000003</v>
      </c>
      <c r="P245" s="63">
        <v>100</v>
      </c>
      <c r="Q245" s="64">
        <f>0.1+0.8*(P245-J245)/(K245-J245)</f>
        <v>-0.24828496042216361</v>
      </c>
      <c r="R245" s="64">
        <f>$Q$2*Q245+$R$2</f>
        <v>1.0473259339684371</v>
      </c>
      <c r="S245" s="63">
        <f>365*P245*R245</f>
        <v>38227.396589847951</v>
      </c>
      <c r="T245" s="65">
        <f>S245*(1-$T$1)</f>
        <v>26759.177612893563</v>
      </c>
      <c r="U245" s="60">
        <f>J245</f>
        <v>265</v>
      </c>
      <c r="V245" s="63">
        <f>1.25*L245</f>
        <v>473.75</v>
      </c>
      <c r="W245" s="63">
        <f>J245-L245/8</f>
        <v>217.625</v>
      </c>
      <c r="X245">
        <f>1.25*L245/(2*$Q$2)</f>
        <v>-299.17988700140444</v>
      </c>
      <c r="Y245" s="63">
        <f>(($Q$2*W245)/V245-$R$2)*X245</f>
        <v>363.33885457831741</v>
      </c>
      <c r="Z245" s="63">
        <f>IF(Y245&gt;U245,Y245,U245)</f>
        <v>363.33885457831741</v>
      </c>
      <c r="AA245" s="64">
        <f>(Z245-W245)/V245</f>
        <v>0.30757541863497079</v>
      </c>
      <c r="AB245" s="64">
        <f>$Q$2*AA245+$R$2</f>
        <v>0.60722473395514687</v>
      </c>
      <c r="AC245" s="63">
        <f>Z245*AB245*365</f>
        <v>80529.343847013602</v>
      </c>
      <c r="AD245" s="65">
        <f>AC245*(1-$T$1)</f>
        <v>56370.540692909519</v>
      </c>
      <c r="AE245" s="63">
        <f>G245</f>
        <v>65385.599999999999</v>
      </c>
      <c r="AF245" s="63">
        <f>AD245-AE245</f>
        <v>-9015.0593070904797</v>
      </c>
      <c r="AH245" s="66">
        <f>AB245*(365/$AG$23)*$AG$21</f>
        <v>7387.900929787621</v>
      </c>
      <c r="AI245" s="66">
        <f>-$AG$7-$AG$13-AH245</f>
        <v>-40987.900929787618</v>
      </c>
      <c r="AJ245" s="66">
        <f>-$AG$13-AH245-$AG$18</f>
        <v>-16987.900929787622</v>
      </c>
      <c r="AK245" s="67">
        <f>-($AG$7/$AG$9)-$AG$13-AH245</f>
        <v>-16987.900929787622</v>
      </c>
      <c r="AL245" s="67">
        <f>-($AG$7/$AG$9)-$AG$13-AH245-$AG$18</f>
        <v>-22987.900929787622</v>
      </c>
      <c r="AM245" s="68">
        <f>AF245+AI245</f>
        <v>-50002.960236878098</v>
      </c>
      <c r="AN245" s="68">
        <f>AF245+AJ245</f>
        <v>-26002.960236878102</v>
      </c>
      <c r="AO245" s="68">
        <f>AF245+AK245</f>
        <v>-26002.960236878102</v>
      </c>
      <c r="AP245" s="68">
        <f>AF245+AL245</f>
        <v>-32002.960236878102</v>
      </c>
    </row>
    <row r="246" spans="1:42">
      <c r="A246" t="s">
        <v>402</v>
      </c>
      <c r="B246" t="s">
        <v>102</v>
      </c>
      <c r="C246" t="s">
        <v>107</v>
      </c>
      <c r="D246">
        <v>1</v>
      </c>
      <c r="E246">
        <v>5000</v>
      </c>
      <c r="F246">
        <f>F$2</f>
        <v>0.97299999999999998</v>
      </c>
      <c r="G246" s="60">
        <f>E246*12*F246</f>
        <v>58380</v>
      </c>
      <c r="H246">
        <v>533</v>
      </c>
      <c r="I246" s="61">
        <v>0.51229999999999998</v>
      </c>
      <c r="J246">
        <v>236</v>
      </c>
      <c r="K246">
        <v>829</v>
      </c>
      <c r="L246">
        <f>K246-J246</f>
        <v>593</v>
      </c>
      <c r="M246">
        <f>H246-J246</f>
        <v>297</v>
      </c>
      <c r="N246" s="62">
        <f>0.8*M246/L246+0.1</f>
        <v>0.50067453625632385</v>
      </c>
      <c r="O246" s="61">
        <v>0.51229999999999998</v>
      </c>
      <c r="P246" s="63">
        <v>100</v>
      </c>
      <c r="Q246" s="64">
        <f>0.1+0.8*(P246-J246)/(K246-J246)</f>
        <v>-8.347386172006746E-2</v>
      </c>
      <c r="R246" s="64">
        <f>$Q$2*Q246+$R$2</f>
        <v>0.91683711870634788</v>
      </c>
      <c r="S246" s="63">
        <f>365*P246*R246</f>
        <v>33464.554832781694</v>
      </c>
      <c r="T246" s="65">
        <f>S246*(1-$T$1)</f>
        <v>23425.188382947184</v>
      </c>
      <c r="U246" s="60">
        <f>J246</f>
        <v>236</v>
      </c>
      <c r="V246" s="63">
        <f>1.25*L246</f>
        <v>741.25</v>
      </c>
      <c r="W246" s="63">
        <f>J246-L246/8</f>
        <v>161.875</v>
      </c>
      <c r="X246">
        <f>1.25*L246/(2*$Q$2)</f>
        <v>-468.10995512356948</v>
      </c>
      <c r="Y246" s="63">
        <f>(($Q$2*W246)/V246-$R$2)*X246</f>
        <v>479.18058249325128</v>
      </c>
      <c r="Z246" s="63">
        <f>IF(Y246&gt;U246,Y246,U246)</f>
        <v>479.18058249325128</v>
      </c>
      <c r="AA246" s="64">
        <f>(Z246-W246)/V246</f>
        <v>0.42806823945126649</v>
      </c>
      <c r="AB246" s="64">
        <f>$Q$2*AA246+$R$2</f>
        <v>0.51182481514066436</v>
      </c>
      <c r="AC246" s="63">
        <f>Z246*AB246*365</f>
        <v>89518.627264565541</v>
      </c>
      <c r="AD246" s="65">
        <f>AC246*(1-$T$1)</f>
        <v>62663.039085195873</v>
      </c>
      <c r="AE246" s="63">
        <f>G246</f>
        <v>58380</v>
      </c>
      <c r="AF246" s="63">
        <f>AD246-AE246</f>
        <v>4283.0390851958728</v>
      </c>
      <c r="AH246" s="66">
        <f>AB246*(365/$AG$23)*$AG$21</f>
        <v>6227.2019175447494</v>
      </c>
      <c r="AI246" s="66">
        <f>-$AG$7-$AG$13-AH246</f>
        <v>-39827.201917544749</v>
      </c>
      <c r="AJ246" s="66">
        <f>-$AG$13-AH246-$AG$18</f>
        <v>-15827.201917544749</v>
      </c>
      <c r="AK246" s="67">
        <f>-($AG$7/$AG$9)-$AG$13-AH246</f>
        <v>-15827.201917544749</v>
      </c>
      <c r="AL246" s="67">
        <f>-($AG$7/$AG$9)-$AG$13-AH246-$AG$18</f>
        <v>-21827.201917544749</v>
      </c>
      <c r="AM246" s="68">
        <f>AF246+AI246</f>
        <v>-35544.162832348877</v>
      </c>
      <c r="AN246" s="68">
        <f>AF246+AJ246</f>
        <v>-11544.162832348877</v>
      </c>
      <c r="AO246" s="68">
        <f>AF246+AK246</f>
        <v>-11544.162832348877</v>
      </c>
      <c r="AP246" s="68">
        <f>AF246+AL246</f>
        <v>-17544.162832348877</v>
      </c>
    </row>
    <row r="247" spans="1:42">
      <c r="A247" t="s">
        <v>403</v>
      </c>
      <c r="B247" t="s">
        <v>102</v>
      </c>
      <c r="C247" t="s">
        <v>107</v>
      </c>
      <c r="D247">
        <v>2</v>
      </c>
      <c r="E247">
        <v>6000</v>
      </c>
      <c r="F247">
        <f>F$2</f>
        <v>0.97299999999999998</v>
      </c>
      <c r="G247" s="60">
        <f>E247*12*F247</f>
        <v>70056</v>
      </c>
      <c r="H247">
        <v>566</v>
      </c>
      <c r="I247" s="61">
        <v>0.36990000000000001</v>
      </c>
      <c r="J247">
        <v>244</v>
      </c>
      <c r="K247">
        <v>872</v>
      </c>
      <c r="L247">
        <f>K247-J247</f>
        <v>628</v>
      </c>
      <c r="M247">
        <f>H247-J247</f>
        <v>322</v>
      </c>
      <c r="N247" s="62">
        <f>0.8*M247/L247+0.1</f>
        <v>0.51019108280254777</v>
      </c>
      <c r="O247" s="61">
        <v>0.36990000000000001</v>
      </c>
      <c r="P247" s="63">
        <v>100</v>
      </c>
      <c r="Q247" s="64">
        <f>0.1+0.8*(P247-J247)/(K247-J247)</f>
        <v>-8.3439490445859882E-2</v>
      </c>
      <c r="R247" s="64">
        <f>$Q$2*Q247+$R$2</f>
        <v>0.91680990532760265</v>
      </c>
      <c r="S247" s="63">
        <f>365*P247*R247</f>
        <v>33463.561544457494</v>
      </c>
      <c r="T247" s="65">
        <f>S247*(1-$T$1)</f>
        <v>23424.493081120243</v>
      </c>
      <c r="U247" s="60">
        <f>J247</f>
        <v>244</v>
      </c>
      <c r="V247" s="63">
        <f>1.25*L247</f>
        <v>785</v>
      </c>
      <c r="W247" s="63">
        <f>J247-L247/8</f>
        <v>165.5</v>
      </c>
      <c r="X247">
        <f>1.25*L247/(2*$Q$2)</f>
        <v>-495.73870458280209</v>
      </c>
      <c r="Y247" s="63">
        <f>(($Q$2*W247)/V247-$R$2)*X247</f>
        <v>504.49815481578719</v>
      </c>
      <c r="Z247" s="63">
        <f>IF(Y247&gt;U247,Y247,U247)</f>
        <v>504.49815481578719</v>
      </c>
      <c r="AA247" s="64">
        <f>(Z247-W247)/V247</f>
        <v>0.43184478320482445</v>
      </c>
      <c r="AB247" s="64">
        <f>$Q$2*AA247+$R$2</f>
        <v>0.50883474515103355</v>
      </c>
      <c r="AC247" s="63">
        <f>Z247*AB247*365</f>
        <v>93697.759362723082</v>
      </c>
      <c r="AD247" s="65">
        <f>AC247*(1-$T$1)</f>
        <v>65588.43155390615</v>
      </c>
      <c r="AE247" s="63">
        <f>G247</f>
        <v>70056</v>
      </c>
      <c r="AF247" s="63">
        <f>AD247-AE247</f>
        <v>-4467.5684460938501</v>
      </c>
      <c r="AH247" s="66">
        <f>AB247*(365/$AG$23)*$AG$21</f>
        <v>6190.8227326709084</v>
      </c>
      <c r="AI247" s="66">
        <f>-$AG$7-$AG$13-AH247</f>
        <v>-39790.822732670909</v>
      </c>
      <c r="AJ247" s="66">
        <f>-$AG$13-AH247-$AG$18</f>
        <v>-15790.822732670909</v>
      </c>
      <c r="AK247" s="67">
        <f>-($AG$7/$AG$9)-$AG$13-AH247</f>
        <v>-15790.822732670909</v>
      </c>
      <c r="AL247" s="67">
        <f>-($AG$7/$AG$9)-$AG$13-AH247-$AG$18</f>
        <v>-21790.822732670909</v>
      </c>
      <c r="AM247" s="68">
        <f>AF247+AI247</f>
        <v>-44258.391178764759</v>
      </c>
      <c r="AN247" s="68">
        <f>AF247+AJ247</f>
        <v>-20258.391178764759</v>
      </c>
      <c r="AO247" s="68">
        <f>AF247+AK247</f>
        <v>-20258.391178764759</v>
      </c>
      <c r="AP247" s="68">
        <f>AF247+AL247</f>
        <v>-26258.391178764759</v>
      </c>
    </row>
  </sheetData>
  <pageMargins left="0.75" right="0.75" top="1" bottom="1" header="0.5" footer="0.5"/>
  <pageSetup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246"/>
  <sheetViews>
    <sheetView zoomScale="85" zoomScaleNormal="85" workbookViewId="0">
      <selection activeCell="B44" sqref="B44"/>
    </sheetView>
  </sheetViews>
  <sheetFormatPr defaultColWidth="11" defaultRowHeight="15.75"/>
  <cols>
    <col min="1" max="1" width="11.875" bestFit="1" customWidth="1"/>
    <col min="2" max="2" width="16.625" style="12" customWidth="1"/>
    <col min="3" max="3" width="12.875" style="23" bestFit="1" customWidth="1"/>
    <col min="4" max="4" width="13.625" style="23" customWidth="1"/>
    <col min="5" max="5" width="24.375" customWidth="1"/>
    <col min="6" max="6" width="17.125" customWidth="1"/>
    <col min="7" max="7" width="20" customWidth="1"/>
    <col min="8" max="8" width="31.125" customWidth="1"/>
  </cols>
  <sheetData>
    <row r="1" spans="1:8" ht="47.25">
      <c r="A1" s="79"/>
      <c r="B1" s="80" t="s">
        <v>468</v>
      </c>
      <c r="C1" s="81" t="s">
        <v>468</v>
      </c>
      <c r="D1" s="82" t="s">
        <v>468</v>
      </c>
      <c r="E1" s="82" t="s">
        <v>469</v>
      </c>
      <c r="F1" s="79"/>
      <c r="G1" s="79"/>
      <c r="H1" s="83" t="s">
        <v>470</v>
      </c>
    </row>
    <row r="2" spans="1:8" s="69" customFormat="1" ht="78.75">
      <c r="A2" s="76" t="s">
        <v>461</v>
      </c>
      <c r="B2" s="75" t="s">
        <v>462</v>
      </c>
      <c r="C2" s="77" t="s">
        <v>463</v>
      </c>
      <c r="D2" s="77" t="s">
        <v>464</v>
      </c>
      <c r="E2" s="77" t="s">
        <v>465</v>
      </c>
      <c r="F2" s="75" t="s">
        <v>466</v>
      </c>
      <c r="G2" s="78" t="s">
        <v>467</v>
      </c>
      <c r="H2" s="78" t="s">
        <v>471</v>
      </c>
    </row>
    <row r="3" spans="1:8">
      <c r="A3" t="s">
        <v>179</v>
      </c>
      <c r="B3" s="65">
        <v>124603.29265008227</v>
      </c>
      <c r="C3" s="68">
        <v>106603.29265008227</v>
      </c>
      <c r="D3" s="68">
        <v>130603.29265008227</v>
      </c>
      <c r="F3">
        <f t="shared" ref="F3:F66" si="0">IF(B3&gt;6000,1,"")</f>
        <v>1</v>
      </c>
      <c r="G3">
        <f t="shared" ref="G3:G66" si="1">IF(C3&gt;0,1,"")</f>
        <v>1</v>
      </c>
      <c r="H3">
        <f t="shared" ref="H3:H66" si="2">IF(C3+D3&gt;0,1,"")</f>
        <v>1</v>
      </c>
    </row>
    <row r="4" spans="1:8">
      <c r="A4" t="s">
        <v>178</v>
      </c>
      <c r="B4" s="65">
        <v>104018.1909639876</v>
      </c>
      <c r="C4" s="68">
        <v>86018.19096398761</v>
      </c>
      <c r="D4" s="68">
        <v>110018.1909639876</v>
      </c>
      <c r="F4">
        <f t="shared" si="0"/>
        <v>1</v>
      </c>
      <c r="G4">
        <f t="shared" si="1"/>
        <v>1</v>
      </c>
      <c r="H4">
        <f t="shared" si="2"/>
        <v>1</v>
      </c>
    </row>
    <row r="5" spans="1:8">
      <c r="A5" t="s">
        <v>190</v>
      </c>
      <c r="B5" s="65">
        <v>78371.303786419681</v>
      </c>
      <c r="C5" s="68">
        <v>60371.303786419689</v>
      </c>
      <c r="D5" s="68">
        <v>84371.303786419696</v>
      </c>
      <c r="F5">
        <f t="shared" si="0"/>
        <v>1</v>
      </c>
      <c r="G5">
        <f t="shared" si="1"/>
        <v>1</v>
      </c>
      <c r="H5">
        <f t="shared" si="2"/>
        <v>1</v>
      </c>
    </row>
    <row r="6" spans="1:8">
      <c r="A6" t="s">
        <v>189</v>
      </c>
      <c r="B6" s="65">
        <v>64397.571211677954</v>
      </c>
      <c r="C6" s="68">
        <v>46397.571211677954</v>
      </c>
      <c r="D6" s="68">
        <v>70397.571211677947</v>
      </c>
      <c r="F6">
        <f t="shared" si="0"/>
        <v>1</v>
      </c>
      <c r="G6">
        <f t="shared" si="1"/>
        <v>1</v>
      </c>
      <c r="H6">
        <f t="shared" si="2"/>
        <v>1</v>
      </c>
    </row>
    <row r="7" spans="1:8">
      <c r="A7" t="s">
        <v>112</v>
      </c>
      <c r="B7" s="65">
        <v>54983.041879525357</v>
      </c>
      <c r="C7" s="68">
        <v>36983.041879525357</v>
      </c>
      <c r="D7" s="68">
        <v>60983.041879525357</v>
      </c>
      <c r="F7">
        <f t="shared" si="0"/>
        <v>1</v>
      </c>
      <c r="G7">
        <f t="shared" si="1"/>
        <v>1</v>
      </c>
      <c r="H7">
        <f t="shared" si="2"/>
        <v>1</v>
      </c>
    </row>
    <row r="8" spans="1:8">
      <c r="A8" t="s">
        <v>130</v>
      </c>
      <c r="B8" s="65">
        <v>46570.565051474463</v>
      </c>
      <c r="C8" s="68">
        <v>28570.565051474463</v>
      </c>
      <c r="D8" s="68">
        <v>52570.565051474463</v>
      </c>
      <c r="F8">
        <f t="shared" si="0"/>
        <v>1</v>
      </c>
      <c r="G8">
        <f t="shared" si="1"/>
        <v>1</v>
      </c>
      <c r="H8">
        <f t="shared" si="2"/>
        <v>1</v>
      </c>
    </row>
    <row r="9" spans="1:8">
      <c r="A9" t="s">
        <v>113</v>
      </c>
      <c r="B9" s="65">
        <v>44515.737655961755</v>
      </c>
      <c r="C9" s="68">
        <v>26515.737655961755</v>
      </c>
      <c r="D9" s="68">
        <v>50515.737655961755</v>
      </c>
      <c r="F9">
        <f t="shared" si="0"/>
        <v>1</v>
      </c>
      <c r="G9">
        <f t="shared" si="1"/>
        <v>1</v>
      </c>
      <c r="H9">
        <f t="shared" si="2"/>
        <v>1</v>
      </c>
    </row>
    <row r="10" spans="1:8">
      <c r="A10" t="s">
        <v>361</v>
      </c>
      <c r="B10" s="65">
        <v>40183.888360625198</v>
      </c>
      <c r="C10" s="68">
        <v>22183.888360625198</v>
      </c>
      <c r="D10" s="68">
        <v>46183.888360625198</v>
      </c>
      <c r="F10">
        <f t="shared" si="0"/>
        <v>1</v>
      </c>
      <c r="G10">
        <f t="shared" si="1"/>
        <v>1</v>
      </c>
      <c r="H10">
        <f t="shared" si="2"/>
        <v>1</v>
      </c>
    </row>
    <row r="11" spans="1:8">
      <c r="A11" t="s">
        <v>227</v>
      </c>
      <c r="B11" s="65">
        <v>39015.07680409227</v>
      </c>
      <c r="C11" s="68">
        <v>21015.07680409227</v>
      </c>
      <c r="D11" s="68">
        <v>45015.07680409227</v>
      </c>
      <c r="F11">
        <f t="shared" si="0"/>
        <v>1</v>
      </c>
      <c r="G11">
        <f t="shared" si="1"/>
        <v>1</v>
      </c>
      <c r="H11">
        <f t="shared" si="2"/>
        <v>1</v>
      </c>
    </row>
    <row r="12" spans="1:8">
      <c r="A12" t="s">
        <v>174</v>
      </c>
      <c r="B12" s="65">
        <v>30529.725813936038</v>
      </c>
      <c r="C12" s="68">
        <v>12529.725813936035</v>
      </c>
      <c r="D12" s="68">
        <v>36529.725813936035</v>
      </c>
      <c r="F12">
        <f t="shared" si="0"/>
        <v>1</v>
      </c>
      <c r="G12">
        <f t="shared" si="1"/>
        <v>1</v>
      </c>
      <c r="H12">
        <f t="shared" si="2"/>
        <v>1</v>
      </c>
    </row>
    <row r="13" spans="1:8">
      <c r="A13" t="s">
        <v>360</v>
      </c>
      <c r="B13" s="65">
        <v>29987.464720306289</v>
      </c>
      <c r="C13" s="68">
        <v>11987.464720306285</v>
      </c>
      <c r="D13" s="68">
        <v>35987.464720306292</v>
      </c>
      <c r="F13">
        <f t="shared" si="0"/>
        <v>1</v>
      </c>
      <c r="G13">
        <f t="shared" si="1"/>
        <v>1</v>
      </c>
      <c r="H13">
        <f t="shared" si="2"/>
        <v>1</v>
      </c>
    </row>
    <row r="14" spans="1:8">
      <c r="A14" t="s">
        <v>117</v>
      </c>
      <c r="B14" s="65">
        <v>27088.724812864766</v>
      </c>
      <c r="C14" s="68">
        <v>9088.7248128647625</v>
      </c>
      <c r="D14" s="68">
        <v>33088.724812864762</v>
      </c>
      <c r="F14">
        <f t="shared" si="0"/>
        <v>1</v>
      </c>
      <c r="G14">
        <f t="shared" si="1"/>
        <v>1</v>
      </c>
      <c r="H14">
        <f t="shared" si="2"/>
        <v>1</v>
      </c>
    </row>
    <row r="15" spans="1:8">
      <c r="A15" t="s">
        <v>185</v>
      </c>
      <c r="B15" s="65">
        <v>26942.12261333334</v>
      </c>
      <c r="C15" s="68">
        <v>8942.1226133333403</v>
      </c>
      <c r="D15" s="68">
        <v>32942.12261333334</v>
      </c>
      <c r="F15">
        <f t="shared" si="0"/>
        <v>1</v>
      </c>
      <c r="G15">
        <f t="shared" si="1"/>
        <v>1</v>
      </c>
      <c r="H15">
        <f t="shared" si="2"/>
        <v>1</v>
      </c>
    </row>
    <row r="16" spans="1:8">
      <c r="A16" t="s">
        <v>332</v>
      </c>
      <c r="B16" s="65">
        <v>26926.837148417962</v>
      </c>
      <c r="C16" s="68">
        <v>8926.8371484179661</v>
      </c>
      <c r="D16" s="68">
        <v>32926.837148417966</v>
      </c>
      <c r="F16">
        <f t="shared" si="0"/>
        <v>1</v>
      </c>
      <c r="G16">
        <f t="shared" si="1"/>
        <v>1</v>
      </c>
      <c r="H16">
        <f t="shared" si="2"/>
        <v>1</v>
      </c>
    </row>
    <row r="17" spans="1:8">
      <c r="A17" t="s">
        <v>229</v>
      </c>
      <c r="B17" s="65">
        <v>26517.527210544074</v>
      </c>
      <c r="C17" s="68">
        <v>8517.5272105440745</v>
      </c>
      <c r="D17" s="68">
        <v>32517.527210544074</v>
      </c>
      <c r="F17">
        <f t="shared" si="0"/>
        <v>1</v>
      </c>
      <c r="G17">
        <f t="shared" si="1"/>
        <v>1</v>
      </c>
      <c r="H17">
        <f t="shared" si="2"/>
        <v>1</v>
      </c>
    </row>
    <row r="18" spans="1:8">
      <c r="A18" t="s">
        <v>122</v>
      </c>
      <c r="B18" s="65">
        <v>24727.042776646664</v>
      </c>
      <c r="C18" s="68">
        <v>6727.0427766466601</v>
      </c>
      <c r="D18" s="68">
        <v>30727.042776646664</v>
      </c>
      <c r="F18">
        <f t="shared" si="0"/>
        <v>1</v>
      </c>
      <c r="G18">
        <f t="shared" si="1"/>
        <v>1</v>
      </c>
      <c r="H18">
        <f t="shared" si="2"/>
        <v>1</v>
      </c>
    </row>
    <row r="19" spans="1:8">
      <c r="A19" t="s">
        <v>119</v>
      </c>
      <c r="B19" s="65">
        <v>24577.542379507173</v>
      </c>
      <c r="C19" s="68">
        <v>6577.5423795071765</v>
      </c>
      <c r="D19" s="68">
        <v>30577.542379507173</v>
      </c>
      <c r="F19">
        <f t="shared" si="0"/>
        <v>1</v>
      </c>
      <c r="G19">
        <f t="shared" si="1"/>
        <v>1</v>
      </c>
      <c r="H19">
        <f t="shared" si="2"/>
        <v>1</v>
      </c>
    </row>
    <row r="20" spans="1:8">
      <c r="A20" t="s">
        <v>128</v>
      </c>
      <c r="B20" s="65">
        <v>24555.998424796937</v>
      </c>
      <c r="C20" s="68">
        <v>6555.9984247969405</v>
      </c>
      <c r="D20" s="68">
        <v>30555.998424796937</v>
      </c>
      <c r="F20">
        <f t="shared" si="0"/>
        <v>1</v>
      </c>
      <c r="G20">
        <f t="shared" si="1"/>
        <v>1</v>
      </c>
      <c r="H20">
        <f t="shared" si="2"/>
        <v>1</v>
      </c>
    </row>
    <row r="21" spans="1:8">
      <c r="A21" t="s">
        <v>118</v>
      </c>
      <c r="B21" s="65">
        <v>20262.852990792206</v>
      </c>
      <c r="C21" s="68">
        <v>2262.8529907922057</v>
      </c>
      <c r="D21" s="68">
        <v>26262.852990792206</v>
      </c>
      <c r="F21">
        <f t="shared" si="0"/>
        <v>1</v>
      </c>
      <c r="G21">
        <f t="shared" si="1"/>
        <v>1</v>
      </c>
      <c r="H21">
        <f t="shared" si="2"/>
        <v>1</v>
      </c>
    </row>
    <row r="22" spans="1:8">
      <c r="A22" t="s">
        <v>223</v>
      </c>
      <c r="B22" s="65">
        <v>19870.238664586039</v>
      </c>
      <c r="C22" s="68">
        <v>1870.2386645860388</v>
      </c>
      <c r="D22" s="68">
        <v>25870.238664586039</v>
      </c>
      <c r="F22">
        <f t="shared" si="0"/>
        <v>1</v>
      </c>
      <c r="G22">
        <f t="shared" si="1"/>
        <v>1</v>
      </c>
      <c r="H22">
        <f t="shared" si="2"/>
        <v>1</v>
      </c>
    </row>
    <row r="23" spans="1:8">
      <c r="A23" t="s">
        <v>163</v>
      </c>
      <c r="B23" s="65">
        <v>18860.693383333346</v>
      </c>
      <c r="C23" s="68">
        <v>860.69338333334599</v>
      </c>
      <c r="D23" s="68">
        <v>24860.693383333346</v>
      </c>
      <c r="F23">
        <f t="shared" si="0"/>
        <v>1</v>
      </c>
      <c r="G23">
        <f t="shared" si="1"/>
        <v>1</v>
      </c>
      <c r="H23">
        <f t="shared" si="2"/>
        <v>1</v>
      </c>
    </row>
    <row r="24" spans="1:8">
      <c r="A24" t="s">
        <v>124</v>
      </c>
      <c r="B24" s="65">
        <v>17377.636094103887</v>
      </c>
      <c r="C24" s="68">
        <v>-622.36390589611256</v>
      </c>
      <c r="D24" s="68">
        <v>23377.636094103887</v>
      </c>
      <c r="F24">
        <f t="shared" si="0"/>
        <v>1</v>
      </c>
      <c r="G24" t="str">
        <f t="shared" si="1"/>
        <v/>
      </c>
      <c r="H24">
        <f t="shared" si="2"/>
        <v>1</v>
      </c>
    </row>
    <row r="25" spans="1:8">
      <c r="A25" t="s">
        <v>180</v>
      </c>
      <c r="B25" s="65">
        <v>17193.540063333334</v>
      </c>
      <c r="C25" s="68">
        <v>-806.45993666666618</v>
      </c>
      <c r="D25" s="68">
        <v>23193.540063333334</v>
      </c>
      <c r="F25">
        <f t="shared" si="0"/>
        <v>1</v>
      </c>
      <c r="G25" t="str">
        <f t="shared" si="1"/>
        <v/>
      </c>
      <c r="H25">
        <f t="shared" si="2"/>
        <v>1</v>
      </c>
    </row>
    <row r="26" spans="1:8">
      <c r="A26" t="s">
        <v>123</v>
      </c>
      <c r="B26" s="65">
        <v>17162.696789375885</v>
      </c>
      <c r="C26" s="68">
        <v>-837.30321062411531</v>
      </c>
      <c r="D26" s="68">
        <v>23162.696789375885</v>
      </c>
      <c r="F26">
        <f t="shared" si="0"/>
        <v>1</v>
      </c>
      <c r="G26" t="str">
        <f t="shared" si="1"/>
        <v/>
      </c>
      <c r="H26">
        <f t="shared" si="2"/>
        <v>1</v>
      </c>
    </row>
    <row r="27" spans="1:8">
      <c r="A27" t="s">
        <v>237</v>
      </c>
      <c r="B27" s="65">
        <v>16797.84231333332</v>
      </c>
      <c r="C27" s="68">
        <v>-1202.1576866666801</v>
      </c>
      <c r="D27" s="68">
        <v>22797.84231333332</v>
      </c>
      <c r="F27">
        <f t="shared" si="0"/>
        <v>1</v>
      </c>
      <c r="G27" t="str">
        <f t="shared" si="1"/>
        <v/>
      </c>
      <c r="H27">
        <f t="shared" si="2"/>
        <v>1</v>
      </c>
    </row>
    <row r="28" spans="1:8">
      <c r="A28" t="s">
        <v>183</v>
      </c>
      <c r="B28" s="65">
        <v>15237.50794333333</v>
      </c>
      <c r="C28" s="68">
        <v>-2762.4920566666697</v>
      </c>
      <c r="D28" s="68">
        <v>21237.50794333333</v>
      </c>
      <c r="F28">
        <f t="shared" si="0"/>
        <v>1</v>
      </c>
      <c r="G28" t="str">
        <f t="shared" si="1"/>
        <v/>
      </c>
      <c r="H28">
        <f t="shared" si="2"/>
        <v>1</v>
      </c>
    </row>
    <row r="29" spans="1:8">
      <c r="A29" t="s">
        <v>333</v>
      </c>
      <c r="B29" s="65">
        <v>13578.055926122004</v>
      </c>
      <c r="C29" s="68">
        <v>-4421.9440738779958</v>
      </c>
      <c r="D29" s="68">
        <v>19578.055926122004</v>
      </c>
      <c r="F29">
        <f t="shared" si="0"/>
        <v>1</v>
      </c>
      <c r="G29" t="str">
        <f t="shared" si="1"/>
        <v/>
      </c>
      <c r="H29">
        <f t="shared" si="2"/>
        <v>1</v>
      </c>
    </row>
    <row r="30" spans="1:8">
      <c r="A30" t="s">
        <v>127</v>
      </c>
      <c r="B30" s="65">
        <v>13288.368007374342</v>
      </c>
      <c r="C30" s="68">
        <v>-4711.6319926256547</v>
      </c>
      <c r="D30" s="68">
        <v>19288.368007374342</v>
      </c>
      <c r="F30">
        <f t="shared" si="0"/>
        <v>1</v>
      </c>
      <c r="G30" t="str">
        <f t="shared" si="1"/>
        <v/>
      </c>
      <c r="H30">
        <f t="shared" si="2"/>
        <v>1</v>
      </c>
    </row>
    <row r="31" spans="1:8">
      <c r="A31" t="s">
        <v>238</v>
      </c>
      <c r="B31" s="65">
        <v>12914.323911168369</v>
      </c>
      <c r="C31" s="68">
        <v>-5085.6760888316348</v>
      </c>
      <c r="D31" s="68">
        <v>18914.323911168369</v>
      </c>
      <c r="F31">
        <f t="shared" si="0"/>
        <v>1</v>
      </c>
      <c r="G31" t="str">
        <f t="shared" si="1"/>
        <v/>
      </c>
      <c r="H31">
        <f t="shared" si="2"/>
        <v>1</v>
      </c>
    </row>
    <row r="32" spans="1:8">
      <c r="A32" t="s">
        <v>339</v>
      </c>
      <c r="B32" s="65">
        <v>12470.73722087438</v>
      </c>
      <c r="C32" s="68">
        <v>-5529.2627791256236</v>
      </c>
      <c r="D32" s="68">
        <v>18470.73722087438</v>
      </c>
      <c r="F32">
        <f t="shared" si="0"/>
        <v>1</v>
      </c>
      <c r="G32" t="str">
        <f t="shared" si="1"/>
        <v/>
      </c>
      <c r="H32">
        <f t="shared" si="2"/>
        <v>1</v>
      </c>
    </row>
    <row r="33" spans="1:8">
      <c r="A33" t="s">
        <v>162</v>
      </c>
      <c r="B33" s="65">
        <v>11912.966339696766</v>
      </c>
      <c r="C33" s="68">
        <v>-6087.0336603032338</v>
      </c>
      <c r="D33" s="68">
        <v>17912.966339696766</v>
      </c>
      <c r="F33">
        <f t="shared" si="0"/>
        <v>1</v>
      </c>
      <c r="G33" t="str">
        <f t="shared" si="1"/>
        <v/>
      </c>
      <c r="H33">
        <f t="shared" si="2"/>
        <v>1</v>
      </c>
    </row>
    <row r="34" spans="1:8">
      <c r="A34" t="s">
        <v>234</v>
      </c>
      <c r="B34" s="65">
        <v>11537.742230253913</v>
      </c>
      <c r="C34" s="68">
        <v>-6462.2577697460874</v>
      </c>
      <c r="D34" s="68">
        <v>17537.742230253913</v>
      </c>
      <c r="F34">
        <f t="shared" si="0"/>
        <v>1</v>
      </c>
      <c r="G34" t="str">
        <f t="shared" si="1"/>
        <v/>
      </c>
      <c r="H34">
        <f t="shared" si="2"/>
        <v>1</v>
      </c>
    </row>
    <row r="35" spans="1:8">
      <c r="A35" t="s">
        <v>106</v>
      </c>
      <c r="B35" s="65">
        <v>9557.1991296057422</v>
      </c>
      <c r="C35" s="68">
        <v>-8442.8008703942614</v>
      </c>
      <c r="D35" s="68">
        <v>15557.199129605742</v>
      </c>
      <c r="F35">
        <f t="shared" si="0"/>
        <v>1</v>
      </c>
      <c r="G35" t="str">
        <f t="shared" si="1"/>
        <v/>
      </c>
      <c r="H35">
        <f t="shared" si="2"/>
        <v>1</v>
      </c>
    </row>
    <row r="36" spans="1:8">
      <c r="A36" t="s">
        <v>134</v>
      </c>
      <c r="B36" s="65">
        <v>9218.929783333333</v>
      </c>
      <c r="C36" s="68">
        <v>-8781.070216666667</v>
      </c>
      <c r="D36" s="68">
        <v>15218.929783333333</v>
      </c>
      <c r="F36">
        <f t="shared" si="0"/>
        <v>1</v>
      </c>
      <c r="G36" t="str">
        <f t="shared" si="1"/>
        <v/>
      </c>
      <c r="H36">
        <f t="shared" si="2"/>
        <v>1</v>
      </c>
    </row>
    <row r="37" spans="1:8">
      <c r="A37" t="s">
        <v>306</v>
      </c>
      <c r="B37" s="65">
        <v>8233.2376240838457</v>
      </c>
      <c r="C37" s="68">
        <v>-9766.7623759161506</v>
      </c>
      <c r="D37" s="68">
        <v>14233.237624083846</v>
      </c>
      <c r="F37">
        <f t="shared" si="0"/>
        <v>1</v>
      </c>
      <c r="G37" t="str">
        <f t="shared" si="1"/>
        <v/>
      </c>
      <c r="H37">
        <f t="shared" si="2"/>
        <v>1</v>
      </c>
    </row>
    <row r="38" spans="1:8">
      <c r="A38" t="s">
        <v>211</v>
      </c>
      <c r="B38" s="65">
        <v>7896.5286941812774</v>
      </c>
      <c r="C38" s="68">
        <v>-10103.471305818723</v>
      </c>
      <c r="D38" s="68">
        <v>13896.528694181277</v>
      </c>
      <c r="F38">
        <f t="shared" si="0"/>
        <v>1</v>
      </c>
      <c r="G38" t="str">
        <f t="shared" si="1"/>
        <v/>
      </c>
      <c r="H38">
        <f t="shared" si="2"/>
        <v>1</v>
      </c>
    </row>
    <row r="39" spans="1:8">
      <c r="A39" t="s">
        <v>195</v>
      </c>
      <c r="B39" s="65">
        <v>7837.6918833333402</v>
      </c>
      <c r="C39" s="68">
        <v>-10162.30811666666</v>
      </c>
      <c r="D39" s="68">
        <v>13837.69188333334</v>
      </c>
      <c r="F39">
        <f t="shared" si="0"/>
        <v>1</v>
      </c>
      <c r="G39" t="str">
        <f t="shared" si="1"/>
        <v/>
      </c>
      <c r="H39">
        <f t="shared" si="2"/>
        <v>1</v>
      </c>
    </row>
    <row r="40" spans="1:8">
      <c r="A40" t="s">
        <v>232</v>
      </c>
      <c r="B40" s="65">
        <v>7445.5944458681988</v>
      </c>
      <c r="C40" s="68">
        <v>-10554.405554131801</v>
      </c>
      <c r="D40" s="68">
        <v>13445.594445868199</v>
      </c>
      <c r="F40">
        <f t="shared" si="0"/>
        <v>1</v>
      </c>
      <c r="G40" t="str">
        <f t="shared" si="1"/>
        <v/>
      </c>
      <c r="H40">
        <f t="shared" si="2"/>
        <v>1</v>
      </c>
    </row>
    <row r="41" spans="1:8">
      <c r="A41" t="s">
        <v>344</v>
      </c>
      <c r="B41" s="65">
        <v>7003.4398536084118</v>
      </c>
      <c r="C41" s="68">
        <v>-10996.560146391588</v>
      </c>
      <c r="D41" s="68">
        <v>13003.439853608412</v>
      </c>
      <c r="F41">
        <f t="shared" si="0"/>
        <v>1</v>
      </c>
      <c r="G41" t="str">
        <f t="shared" si="1"/>
        <v/>
      </c>
      <c r="H41">
        <f t="shared" si="2"/>
        <v>1</v>
      </c>
    </row>
    <row r="42" spans="1:8">
      <c r="A42" t="s">
        <v>114</v>
      </c>
      <c r="B42" s="65">
        <v>6948.8891918012741</v>
      </c>
      <c r="C42" s="68">
        <v>-11051.110808198726</v>
      </c>
      <c r="D42" s="68">
        <v>12948.889191801274</v>
      </c>
      <c r="F42">
        <f t="shared" si="0"/>
        <v>1</v>
      </c>
      <c r="G42" t="str">
        <f t="shared" si="1"/>
        <v/>
      </c>
      <c r="H42">
        <f t="shared" si="2"/>
        <v>1</v>
      </c>
    </row>
    <row r="43" spans="1:8">
      <c r="A43" t="s">
        <v>145</v>
      </c>
      <c r="B43" s="65">
        <v>6094.1271173269561</v>
      </c>
      <c r="C43" s="68">
        <v>-11905.872882673048</v>
      </c>
      <c r="D43" s="68">
        <v>12094.127117326956</v>
      </c>
      <c r="F43">
        <f t="shared" si="0"/>
        <v>1</v>
      </c>
      <c r="G43" t="str">
        <f t="shared" si="1"/>
        <v/>
      </c>
      <c r="H43">
        <f t="shared" si="2"/>
        <v>1</v>
      </c>
    </row>
    <row r="44" spans="1:8">
      <c r="A44" t="s">
        <v>222</v>
      </c>
      <c r="B44" s="65">
        <v>5772.8363286441781</v>
      </c>
      <c r="C44" s="68">
        <v>-12227.163671355822</v>
      </c>
      <c r="D44" s="68">
        <v>11772.83632864418</v>
      </c>
      <c r="F44" t="str">
        <f t="shared" si="0"/>
        <v/>
      </c>
      <c r="G44" t="str">
        <f t="shared" si="1"/>
        <v/>
      </c>
      <c r="H44" t="str">
        <f t="shared" si="2"/>
        <v/>
      </c>
    </row>
    <row r="45" spans="1:8">
      <c r="A45" t="s">
        <v>206</v>
      </c>
      <c r="B45" s="65">
        <v>5765.1813035496307</v>
      </c>
      <c r="C45" s="68">
        <v>-12234.818696450369</v>
      </c>
      <c r="D45" s="68">
        <v>11765.181303549631</v>
      </c>
      <c r="F45" t="str">
        <f t="shared" si="0"/>
        <v/>
      </c>
      <c r="G45" t="str">
        <f t="shared" si="1"/>
        <v/>
      </c>
      <c r="H45" t="str">
        <f t="shared" si="2"/>
        <v/>
      </c>
    </row>
    <row r="46" spans="1:8">
      <c r="A46" t="s">
        <v>213</v>
      </c>
      <c r="B46" s="65">
        <v>5701.0816033333322</v>
      </c>
      <c r="C46" s="68">
        <v>-12298.918396666668</v>
      </c>
      <c r="D46" s="68">
        <v>11701.081603333332</v>
      </c>
      <c r="F46" t="str">
        <f t="shared" si="0"/>
        <v/>
      </c>
      <c r="G46" t="str">
        <f t="shared" si="1"/>
        <v/>
      </c>
      <c r="H46" t="str">
        <f t="shared" si="2"/>
        <v/>
      </c>
    </row>
    <row r="47" spans="1:8">
      <c r="A47" t="s">
        <v>380</v>
      </c>
      <c r="B47" s="65">
        <v>5514.7972015950872</v>
      </c>
      <c r="C47" s="68">
        <v>-12485.202798404913</v>
      </c>
      <c r="D47" s="68">
        <v>11514.797201595087</v>
      </c>
      <c r="F47" t="str">
        <f t="shared" si="0"/>
        <v/>
      </c>
      <c r="G47" t="str">
        <f t="shared" si="1"/>
        <v/>
      </c>
      <c r="H47" t="str">
        <f t="shared" si="2"/>
        <v/>
      </c>
    </row>
    <row r="48" spans="1:8">
      <c r="A48" t="s">
        <v>226</v>
      </c>
      <c r="B48" s="65">
        <v>5130.9402838559909</v>
      </c>
      <c r="C48" s="68">
        <v>-12869.059716144013</v>
      </c>
      <c r="D48" s="68">
        <v>11130.940283855991</v>
      </c>
      <c r="F48" t="str">
        <f t="shared" si="0"/>
        <v/>
      </c>
      <c r="G48" t="str">
        <f t="shared" si="1"/>
        <v/>
      </c>
      <c r="H48" t="str">
        <f t="shared" si="2"/>
        <v/>
      </c>
    </row>
    <row r="49" spans="1:8">
      <c r="A49" t="s">
        <v>105</v>
      </c>
      <c r="B49" s="65">
        <v>4751.2590489324357</v>
      </c>
      <c r="C49" s="68">
        <v>-13248.740951067564</v>
      </c>
      <c r="D49" s="68">
        <v>10751.259048932436</v>
      </c>
      <c r="F49" t="str">
        <f t="shared" si="0"/>
        <v/>
      </c>
      <c r="G49" t="str">
        <f t="shared" si="1"/>
        <v/>
      </c>
      <c r="H49" t="str">
        <f t="shared" si="2"/>
        <v/>
      </c>
    </row>
    <row r="50" spans="1:8">
      <c r="A50" t="s">
        <v>208</v>
      </c>
      <c r="B50" s="65">
        <v>4685.4450933333319</v>
      </c>
      <c r="C50" s="68">
        <v>-13314.554906666668</v>
      </c>
      <c r="D50" s="68">
        <v>10685.445093333332</v>
      </c>
      <c r="F50" t="str">
        <f t="shared" si="0"/>
        <v/>
      </c>
      <c r="G50" t="str">
        <f t="shared" si="1"/>
        <v/>
      </c>
      <c r="H50" t="str">
        <f t="shared" si="2"/>
        <v/>
      </c>
    </row>
    <row r="51" spans="1:8">
      <c r="A51" t="s">
        <v>311</v>
      </c>
      <c r="B51" s="65">
        <v>4607.5001897077091</v>
      </c>
      <c r="C51" s="68">
        <v>-13392.499810292291</v>
      </c>
      <c r="D51" s="68">
        <v>10607.500189707709</v>
      </c>
      <c r="F51" t="str">
        <f t="shared" si="0"/>
        <v/>
      </c>
      <c r="G51" t="str">
        <f t="shared" si="1"/>
        <v/>
      </c>
      <c r="H51" t="str">
        <f t="shared" si="2"/>
        <v/>
      </c>
    </row>
    <row r="52" spans="1:8">
      <c r="A52" t="s">
        <v>224</v>
      </c>
      <c r="B52" s="65">
        <v>4573.120610264712</v>
      </c>
      <c r="C52" s="68">
        <v>-13426.879389735288</v>
      </c>
      <c r="D52" s="68">
        <v>10573.120610264712</v>
      </c>
      <c r="F52" t="str">
        <f t="shared" si="0"/>
        <v/>
      </c>
      <c r="G52" t="str">
        <f t="shared" si="1"/>
        <v/>
      </c>
      <c r="H52" t="str">
        <f t="shared" si="2"/>
        <v/>
      </c>
    </row>
    <row r="53" spans="1:8">
      <c r="A53" t="s">
        <v>233</v>
      </c>
      <c r="B53" s="65">
        <v>3931.1794790985441</v>
      </c>
      <c r="C53" s="68">
        <v>-14068.82052090146</v>
      </c>
      <c r="D53" s="68">
        <v>9931.1794790985441</v>
      </c>
      <c r="F53" t="str">
        <f t="shared" si="0"/>
        <v/>
      </c>
      <c r="G53" t="str">
        <f t="shared" si="1"/>
        <v/>
      </c>
      <c r="H53" t="str">
        <f t="shared" si="2"/>
        <v/>
      </c>
    </row>
    <row r="54" spans="1:8">
      <c r="A54" t="s">
        <v>103</v>
      </c>
      <c r="B54" s="65">
        <v>3897.0709605603734</v>
      </c>
      <c r="C54" s="68">
        <v>-14102.92903943963</v>
      </c>
      <c r="D54" s="68">
        <v>9897.0709605603734</v>
      </c>
      <c r="F54" t="str">
        <f t="shared" si="0"/>
        <v/>
      </c>
      <c r="G54" t="str">
        <f t="shared" si="1"/>
        <v/>
      </c>
      <c r="H54" t="str">
        <f t="shared" si="2"/>
        <v/>
      </c>
    </row>
    <row r="55" spans="1:8">
      <c r="A55" t="s">
        <v>125</v>
      </c>
      <c r="B55" s="65">
        <v>3888.2386067572552</v>
      </c>
      <c r="C55" s="68">
        <v>-14111.761393242741</v>
      </c>
      <c r="D55" s="68">
        <v>9888.2386067572552</v>
      </c>
      <c r="F55" t="str">
        <f t="shared" si="0"/>
        <v/>
      </c>
      <c r="G55" t="str">
        <f t="shared" si="1"/>
        <v/>
      </c>
      <c r="H55" t="str">
        <f t="shared" si="2"/>
        <v/>
      </c>
    </row>
    <row r="56" spans="1:8">
      <c r="A56" t="s">
        <v>316</v>
      </c>
      <c r="B56" s="65">
        <v>3612.7944155716432</v>
      </c>
      <c r="C56" s="68">
        <v>-14387.205584428353</v>
      </c>
      <c r="D56" s="68">
        <v>9612.7944155716432</v>
      </c>
      <c r="F56" t="str">
        <f t="shared" si="0"/>
        <v/>
      </c>
      <c r="G56" t="str">
        <f t="shared" si="1"/>
        <v/>
      </c>
      <c r="H56" t="str">
        <f t="shared" si="2"/>
        <v/>
      </c>
    </row>
    <row r="57" spans="1:8">
      <c r="A57" t="s">
        <v>216</v>
      </c>
      <c r="B57" s="65">
        <v>3523.6132956309339</v>
      </c>
      <c r="C57" s="68">
        <v>-14476.386704369062</v>
      </c>
      <c r="D57" s="68">
        <v>9523.6132956309339</v>
      </c>
      <c r="F57" t="str">
        <f t="shared" si="0"/>
        <v/>
      </c>
      <c r="G57" t="str">
        <f t="shared" si="1"/>
        <v/>
      </c>
      <c r="H57" t="str">
        <f t="shared" si="2"/>
        <v/>
      </c>
    </row>
    <row r="58" spans="1:8">
      <c r="A58" t="s">
        <v>305</v>
      </c>
      <c r="B58" s="65">
        <v>3475.5429794378324</v>
      </c>
      <c r="C58" s="68">
        <v>-14524.457020562171</v>
      </c>
      <c r="D58" s="68">
        <v>9475.5429794378324</v>
      </c>
      <c r="F58" t="str">
        <f t="shared" si="0"/>
        <v/>
      </c>
      <c r="G58" t="str">
        <f t="shared" si="1"/>
        <v/>
      </c>
      <c r="H58" t="str">
        <f t="shared" si="2"/>
        <v/>
      </c>
    </row>
    <row r="59" spans="1:8">
      <c r="A59" t="s">
        <v>135</v>
      </c>
      <c r="B59" s="65">
        <v>3337.0433815455035</v>
      </c>
      <c r="C59" s="68">
        <v>-14662.956618454496</v>
      </c>
      <c r="D59" s="68">
        <v>9337.0433815455035</v>
      </c>
      <c r="F59" t="str">
        <f t="shared" si="0"/>
        <v/>
      </c>
      <c r="G59" t="str">
        <f t="shared" si="1"/>
        <v/>
      </c>
      <c r="H59" t="str">
        <f t="shared" si="2"/>
        <v/>
      </c>
    </row>
    <row r="60" spans="1:8">
      <c r="A60" t="s">
        <v>194</v>
      </c>
      <c r="B60" s="65">
        <v>3213.9181133333332</v>
      </c>
      <c r="C60" s="68">
        <v>-14786.081886666667</v>
      </c>
      <c r="D60" s="68">
        <v>9213.9181133333332</v>
      </c>
      <c r="F60" t="str">
        <f t="shared" si="0"/>
        <v/>
      </c>
      <c r="G60" t="str">
        <f t="shared" si="1"/>
        <v/>
      </c>
      <c r="H60" t="str">
        <f t="shared" si="2"/>
        <v/>
      </c>
    </row>
    <row r="61" spans="1:8">
      <c r="A61" t="s">
        <v>221</v>
      </c>
      <c r="B61" s="65">
        <v>3110.0018921485134</v>
      </c>
      <c r="C61" s="68">
        <v>-14889.99810785149</v>
      </c>
      <c r="D61" s="68">
        <v>9110.0018921485134</v>
      </c>
      <c r="F61" t="str">
        <f t="shared" si="0"/>
        <v/>
      </c>
      <c r="G61" t="str">
        <f t="shared" si="1"/>
        <v/>
      </c>
      <c r="H61" t="str">
        <f t="shared" si="2"/>
        <v/>
      </c>
    </row>
    <row r="62" spans="1:8">
      <c r="A62" t="s">
        <v>207</v>
      </c>
      <c r="B62" s="65">
        <v>2685.731238942717</v>
      </c>
      <c r="C62" s="68">
        <v>-15314.268761057283</v>
      </c>
      <c r="D62" s="68">
        <v>8685.731238942717</v>
      </c>
      <c r="F62" t="str">
        <f t="shared" si="0"/>
        <v/>
      </c>
      <c r="G62" t="str">
        <f t="shared" si="1"/>
        <v/>
      </c>
      <c r="H62" t="str">
        <f t="shared" si="2"/>
        <v/>
      </c>
    </row>
    <row r="63" spans="1:8">
      <c r="A63" t="s">
        <v>368</v>
      </c>
      <c r="B63" s="65">
        <v>2644.193965051214</v>
      </c>
      <c r="C63" s="68">
        <v>-15355.806034948786</v>
      </c>
      <c r="D63" s="68">
        <v>8644.193965051214</v>
      </c>
      <c r="F63" t="str">
        <f t="shared" si="0"/>
        <v/>
      </c>
      <c r="G63" t="str">
        <f t="shared" si="1"/>
        <v/>
      </c>
      <c r="H63" t="str">
        <f t="shared" si="2"/>
        <v/>
      </c>
    </row>
    <row r="64" spans="1:8">
      <c r="A64" t="s">
        <v>244</v>
      </c>
      <c r="B64" s="65">
        <v>2554.728082198315</v>
      </c>
      <c r="C64" s="68">
        <v>-15445.271917801685</v>
      </c>
      <c r="D64" s="68">
        <v>8554.728082198315</v>
      </c>
      <c r="F64" t="str">
        <f t="shared" si="0"/>
        <v/>
      </c>
      <c r="G64" t="str">
        <f t="shared" si="1"/>
        <v/>
      </c>
      <c r="H64" t="str">
        <f t="shared" si="2"/>
        <v/>
      </c>
    </row>
    <row r="65" spans="1:8">
      <c r="A65" t="s">
        <v>173</v>
      </c>
      <c r="B65" s="65">
        <v>2425.4859933333355</v>
      </c>
      <c r="C65" s="68">
        <v>-15574.514006666664</v>
      </c>
      <c r="D65" s="68">
        <v>8425.4859933333355</v>
      </c>
      <c r="F65" t="str">
        <f t="shared" si="0"/>
        <v/>
      </c>
      <c r="G65" t="str">
        <f t="shared" si="1"/>
        <v/>
      </c>
      <c r="H65" t="str">
        <f t="shared" si="2"/>
        <v/>
      </c>
    </row>
    <row r="66" spans="1:8">
      <c r="A66" t="s">
        <v>218</v>
      </c>
      <c r="B66" s="65">
        <v>2189.8379932335738</v>
      </c>
      <c r="C66" s="68">
        <v>-15810.162006766426</v>
      </c>
      <c r="D66" s="68">
        <v>8189.8379932335738</v>
      </c>
      <c r="F66" t="str">
        <f t="shared" si="0"/>
        <v/>
      </c>
      <c r="G66" t="str">
        <f t="shared" si="1"/>
        <v/>
      </c>
      <c r="H66" t="str">
        <f t="shared" si="2"/>
        <v/>
      </c>
    </row>
    <row r="67" spans="1:8">
      <c r="A67" t="s">
        <v>282</v>
      </c>
      <c r="B67" s="65">
        <v>1742.7206073304915</v>
      </c>
      <c r="C67" s="68">
        <v>-16257.279392669509</v>
      </c>
      <c r="D67" s="68">
        <v>7742.7206073304915</v>
      </c>
      <c r="F67" t="str">
        <f t="shared" ref="F67:F130" si="3">IF(B67&gt;6000,1,"")</f>
        <v/>
      </c>
      <c r="G67" t="str">
        <f t="shared" ref="G67:G130" si="4">IF(C67&gt;0,1,"")</f>
        <v/>
      </c>
      <c r="H67" t="str">
        <f t="shared" ref="H67:H130" si="5">IF(C67+D67&gt;0,1,"")</f>
        <v/>
      </c>
    </row>
    <row r="68" spans="1:8">
      <c r="A68" t="s">
        <v>217</v>
      </c>
      <c r="B68" s="65">
        <v>1732.0781052323618</v>
      </c>
      <c r="C68" s="68">
        <v>-16267.921894767635</v>
      </c>
      <c r="D68" s="68">
        <v>7732.0781052323618</v>
      </c>
      <c r="F68" t="str">
        <f t="shared" si="3"/>
        <v/>
      </c>
      <c r="G68" t="str">
        <f t="shared" si="4"/>
        <v/>
      </c>
      <c r="H68" t="str">
        <f t="shared" si="5"/>
        <v/>
      </c>
    </row>
    <row r="69" spans="1:8">
      <c r="A69" t="s">
        <v>315</v>
      </c>
      <c r="B69" s="65">
        <v>1688.6786527139375</v>
      </c>
      <c r="C69" s="68">
        <v>-16311.321347286059</v>
      </c>
      <c r="D69" s="68">
        <v>7688.6786527139375</v>
      </c>
      <c r="F69" t="str">
        <f t="shared" si="3"/>
        <v/>
      </c>
      <c r="G69" t="str">
        <f t="shared" si="4"/>
        <v/>
      </c>
      <c r="H69" t="str">
        <f t="shared" si="5"/>
        <v/>
      </c>
    </row>
    <row r="70" spans="1:8">
      <c r="A70" t="s">
        <v>210</v>
      </c>
      <c r="B70" s="65">
        <v>1414.0599564760487</v>
      </c>
      <c r="C70" s="68">
        <v>-16585.940043523951</v>
      </c>
      <c r="D70" s="68">
        <v>7414.0599564760487</v>
      </c>
      <c r="F70" t="str">
        <f t="shared" si="3"/>
        <v/>
      </c>
      <c r="G70" t="str">
        <f t="shared" si="4"/>
        <v/>
      </c>
      <c r="H70" t="str">
        <f t="shared" si="5"/>
        <v/>
      </c>
    </row>
    <row r="71" spans="1:8">
      <c r="A71" t="s">
        <v>201</v>
      </c>
      <c r="B71" s="65">
        <v>1264.0661785938173</v>
      </c>
      <c r="C71" s="68">
        <v>-16735.933821406183</v>
      </c>
      <c r="D71" s="68">
        <v>7264.0661785938173</v>
      </c>
      <c r="F71" t="str">
        <f t="shared" si="3"/>
        <v/>
      </c>
      <c r="G71" t="str">
        <f t="shared" si="4"/>
        <v/>
      </c>
      <c r="H71" t="str">
        <f t="shared" si="5"/>
        <v/>
      </c>
    </row>
    <row r="72" spans="1:8">
      <c r="A72" t="s">
        <v>177</v>
      </c>
      <c r="B72" s="65">
        <v>829.59321500289298</v>
      </c>
      <c r="C72" s="68">
        <v>-17170.406784997107</v>
      </c>
      <c r="D72" s="68">
        <v>6829.5932150028912</v>
      </c>
      <c r="F72" t="str">
        <f t="shared" si="3"/>
        <v/>
      </c>
      <c r="G72" t="str">
        <f t="shared" si="4"/>
        <v/>
      </c>
      <c r="H72" t="str">
        <f t="shared" si="5"/>
        <v/>
      </c>
    </row>
    <row r="73" spans="1:8">
      <c r="A73" t="s">
        <v>138</v>
      </c>
      <c r="B73" s="65">
        <v>801.20599884031253</v>
      </c>
      <c r="C73" s="68">
        <v>-17198.794001159687</v>
      </c>
      <c r="D73" s="68">
        <v>6801.2059988403107</v>
      </c>
      <c r="F73" t="str">
        <f t="shared" si="3"/>
        <v/>
      </c>
      <c r="G73" t="str">
        <f t="shared" si="4"/>
        <v/>
      </c>
      <c r="H73" t="str">
        <f t="shared" si="5"/>
        <v/>
      </c>
    </row>
    <row r="74" spans="1:8">
      <c r="A74" t="s">
        <v>300</v>
      </c>
      <c r="B74" s="65">
        <v>681.6100833333403</v>
      </c>
      <c r="C74" s="68">
        <v>-17318.38991666666</v>
      </c>
      <c r="D74" s="68">
        <v>6681.6100833333403</v>
      </c>
      <c r="F74" t="str">
        <f t="shared" si="3"/>
        <v/>
      </c>
      <c r="G74" t="str">
        <f t="shared" si="4"/>
        <v/>
      </c>
      <c r="H74" t="str">
        <f t="shared" si="5"/>
        <v/>
      </c>
    </row>
    <row r="75" spans="1:8">
      <c r="A75" t="s">
        <v>269</v>
      </c>
      <c r="B75" s="65">
        <v>202.04728547632112</v>
      </c>
      <c r="C75" s="68">
        <v>-17797.952714523679</v>
      </c>
      <c r="D75" s="68">
        <v>6202.0472854763211</v>
      </c>
      <c r="F75" t="str">
        <f t="shared" si="3"/>
        <v/>
      </c>
      <c r="G75" t="str">
        <f t="shared" si="4"/>
        <v/>
      </c>
      <c r="H75" t="str">
        <f t="shared" si="5"/>
        <v/>
      </c>
    </row>
    <row r="76" spans="1:8">
      <c r="A76" t="s">
        <v>109</v>
      </c>
      <c r="B76" s="65">
        <v>132.86873083576211</v>
      </c>
      <c r="C76" s="68">
        <v>-17867.131269164238</v>
      </c>
      <c r="D76" s="68">
        <v>6132.8687308357603</v>
      </c>
      <c r="F76" t="str">
        <f t="shared" si="3"/>
        <v/>
      </c>
      <c r="G76" t="str">
        <f t="shared" si="4"/>
        <v/>
      </c>
      <c r="H76" t="str">
        <f t="shared" si="5"/>
        <v/>
      </c>
    </row>
    <row r="77" spans="1:8">
      <c r="A77" t="s">
        <v>228</v>
      </c>
      <c r="B77" s="65">
        <v>103.88113498657913</v>
      </c>
      <c r="C77" s="68">
        <v>-17896.118865013425</v>
      </c>
      <c r="D77" s="68">
        <v>6103.8811349865791</v>
      </c>
      <c r="F77" t="str">
        <f t="shared" si="3"/>
        <v/>
      </c>
      <c r="G77" t="str">
        <f t="shared" si="4"/>
        <v/>
      </c>
      <c r="H77" t="str">
        <f t="shared" si="5"/>
        <v/>
      </c>
    </row>
    <row r="78" spans="1:8">
      <c r="A78" t="s">
        <v>267</v>
      </c>
      <c r="B78" s="65">
        <v>-39.486306030659762</v>
      </c>
      <c r="C78" s="68">
        <v>-18039.48630603066</v>
      </c>
      <c r="D78" s="68">
        <v>5960.5136939693402</v>
      </c>
      <c r="F78" t="str">
        <f t="shared" si="3"/>
        <v/>
      </c>
      <c r="G78" t="str">
        <f t="shared" si="4"/>
        <v/>
      </c>
      <c r="H78" t="str">
        <f t="shared" si="5"/>
        <v/>
      </c>
    </row>
    <row r="79" spans="1:8">
      <c r="A79" t="s">
        <v>399</v>
      </c>
      <c r="B79" s="65">
        <v>-277.5374618605274</v>
      </c>
      <c r="C79" s="68">
        <v>-18277.537461860527</v>
      </c>
      <c r="D79" s="68">
        <v>5722.4625381394744</v>
      </c>
      <c r="F79" t="str">
        <f t="shared" si="3"/>
        <v/>
      </c>
      <c r="G79" t="str">
        <f t="shared" si="4"/>
        <v/>
      </c>
      <c r="H79" t="str">
        <f t="shared" si="5"/>
        <v/>
      </c>
    </row>
    <row r="80" spans="1:8">
      <c r="A80" t="s">
        <v>140</v>
      </c>
      <c r="B80" s="65">
        <v>-525.76683800766841</v>
      </c>
      <c r="C80" s="68">
        <v>-18525.766838007665</v>
      </c>
      <c r="D80" s="68">
        <v>5474.2331619923316</v>
      </c>
      <c r="F80" t="str">
        <f t="shared" si="3"/>
        <v/>
      </c>
      <c r="G80" t="str">
        <f t="shared" si="4"/>
        <v/>
      </c>
      <c r="H80" t="str">
        <f t="shared" si="5"/>
        <v/>
      </c>
    </row>
    <row r="81" spans="1:8">
      <c r="A81" t="s">
        <v>241</v>
      </c>
      <c r="B81" s="65">
        <v>-560.44573546878382</v>
      </c>
      <c r="C81" s="68">
        <v>-18560.445735468784</v>
      </c>
      <c r="D81" s="68">
        <v>5439.5542645312162</v>
      </c>
      <c r="F81" t="str">
        <f t="shared" si="3"/>
        <v/>
      </c>
      <c r="G81" t="str">
        <f t="shared" si="4"/>
        <v/>
      </c>
      <c r="H81" t="str">
        <f t="shared" si="5"/>
        <v/>
      </c>
    </row>
    <row r="82" spans="1:8">
      <c r="A82" t="s">
        <v>288</v>
      </c>
      <c r="B82" s="65">
        <v>-595.83006666666188</v>
      </c>
      <c r="C82" s="68">
        <v>-18595.830066666662</v>
      </c>
      <c r="D82" s="68">
        <v>5404.1699333333381</v>
      </c>
      <c r="F82" t="str">
        <f t="shared" si="3"/>
        <v/>
      </c>
      <c r="G82" t="str">
        <f t="shared" si="4"/>
        <v/>
      </c>
      <c r="H82" t="str">
        <f t="shared" si="5"/>
        <v/>
      </c>
    </row>
    <row r="83" spans="1:8">
      <c r="A83" t="s">
        <v>367</v>
      </c>
      <c r="B83" s="65">
        <v>-680.53073240598678</v>
      </c>
      <c r="C83" s="68">
        <v>-18680.530732405983</v>
      </c>
      <c r="D83" s="68">
        <v>5319.4692675940132</v>
      </c>
      <c r="F83" t="str">
        <f t="shared" si="3"/>
        <v/>
      </c>
      <c r="G83" t="str">
        <f t="shared" si="4"/>
        <v/>
      </c>
      <c r="H83" t="str">
        <f t="shared" si="5"/>
        <v/>
      </c>
    </row>
    <row r="84" spans="1:8">
      <c r="A84" t="s">
        <v>133</v>
      </c>
      <c r="B84" s="65">
        <v>-1029.9406430212948</v>
      </c>
      <c r="C84" s="68">
        <v>-19029.940643021291</v>
      </c>
      <c r="D84" s="68">
        <v>4970.0593569787052</v>
      </c>
      <c r="F84" t="str">
        <f t="shared" si="3"/>
        <v/>
      </c>
      <c r="G84" t="str">
        <f t="shared" si="4"/>
        <v/>
      </c>
      <c r="H84" t="str">
        <f t="shared" si="5"/>
        <v/>
      </c>
    </row>
    <row r="85" spans="1:8">
      <c r="A85" t="s">
        <v>349</v>
      </c>
      <c r="B85" s="65">
        <v>-1042.4516040919989</v>
      </c>
      <c r="C85" s="68">
        <v>-19042.451604091995</v>
      </c>
      <c r="D85" s="68">
        <v>4957.5483959080011</v>
      </c>
      <c r="F85" t="str">
        <f t="shared" si="3"/>
        <v/>
      </c>
      <c r="G85" t="str">
        <f t="shared" si="4"/>
        <v/>
      </c>
      <c r="H85" t="str">
        <f t="shared" si="5"/>
        <v/>
      </c>
    </row>
    <row r="86" spans="1:8">
      <c r="A86" t="s">
        <v>345</v>
      </c>
      <c r="B86" s="65">
        <v>-1245.9354638955556</v>
      </c>
      <c r="C86" s="68">
        <v>-19245.935463895556</v>
      </c>
      <c r="D86" s="68">
        <v>4754.0645361044462</v>
      </c>
      <c r="F86" t="str">
        <f t="shared" si="3"/>
        <v/>
      </c>
      <c r="G86" t="str">
        <f t="shared" si="4"/>
        <v/>
      </c>
      <c r="H86" t="str">
        <f t="shared" si="5"/>
        <v/>
      </c>
    </row>
    <row r="87" spans="1:8">
      <c r="A87" t="s">
        <v>326</v>
      </c>
      <c r="B87" s="65">
        <v>-1443.8895161507753</v>
      </c>
      <c r="C87" s="68">
        <v>-19443.889516150775</v>
      </c>
      <c r="D87" s="68">
        <v>4556.1104838492229</v>
      </c>
      <c r="F87" t="str">
        <f t="shared" si="3"/>
        <v/>
      </c>
      <c r="G87" t="str">
        <f t="shared" si="4"/>
        <v/>
      </c>
      <c r="H87" t="str">
        <f t="shared" si="5"/>
        <v/>
      </c>
    </row>
    <row r="88" spans="1:8">
      <c r="A88" t="s">
        <v>242</v>
      </c>
      <c r="B88" s="65">
        <v>-1473.9460033052419</v>
      </c>
      <c r="C88" s="68">
        <v>-19473.946003305238</v>
      </c>
      <c r="D88" s="68">
        <v>4526.0539966947581</v>
      </c>
      <c r="F88" t="str">
        <f t="shared" si="3"/>
        <v/>
      </c>
      <c r="G88" t="str">
        <f t="shared" si="4"/>
        <v/>
      </c>
      <c r="H88" t="str">
        <f t="shared" si="5"/>
        <v/>
      </c>
    </row>
    <row r="89" spans="1:8">
      <c r="A89" t="s">
        <v>141</v>
      </c>
      <c r="B89" s="65">
        <v>-1651.4358502492032</v>
      </c>
      <c r="C89" s="68">
        <v>-19651.435850249203</v>
      </c>
      <c r="D89" s="68">
        <v>4348.5641497507968</v>
      </c>
      <c r="F89" t="str">
        <f t="shared" si="3"/>
        <v/>
      </c>
      <c r="G89" t="str">
        <f t="shared" si="4"/>
        <v/>
      </c>
      <c r="H89" t="str">
        <f t="shared" si="5"/>
        <v/>
      </c>
    </row>
    <row r="90" spans="1:8">
      <c r="A90" t="s">
        <v>340</v>
      </c>
      <c r="B90" s="65">
        <v>-1683.9989561215152</v>
      </c>
      <c r="C90" s="68">
        <v>-19683.998956121512</v>
      </c>
      <c r="D90" s="68">
        <v>4316.0010438784848</v>
      </c>
      <c r="F90" t="str">
        <f t="shared" si="3"/>
        <v/>
      </c>
      <c r="G90" t="str">
        <f t="shared" si="4"/>
        <v/>
      </c>
      <c r="H90" t="str">
        <f t="shared" si="5"/>
        <v/>
      </c>
    </row>
    <row r="91" spans="1:8">
      <c r="A91" t="s">
        <v>379</v>
      </c>
      <c r="B91" s="65">
        <v>-2291.6960648769527</v>
      </c>
      <c r="C91" s="68">
        <v>-20291.696064876953</v>
      </c>
      <c r="D91" s="68">
        <v>3708.3039351230473</v>
      </c>
      <c r="F91" t="str">
        <f t="shared" si="3"/>
        <v/>
      </c>
      <c r="G91" t="str">
        <f t="shared" si="4"/>
        <v/>
      </c>
      <c r="H91" t="str">
        <f t="shared" si="5"/>
        <v/>
      </c>
    </row>
    <row r="92" spans="1:8">
      <c r="A92" t="s">
        <v>353</v>
      </c>
      <c r="B92" s="65">
        <v>-2727.963233417373</v>
      </c>
      <c r="C92" s="68">
        <v>-20727.963233417373</v>
      </c>
      <c r="D92" s="68">
        <v>3272.036766582627</v>
      </c>
      <c r="F92" t="str">
        <f t="shared" si="3"/>
        <v/>
      </c>
      <c r="G92" t="str">
        <f t="shared" si="4"/>
        <v/>
      </c>
      <c r="H92" t="str">
        <f t="shared" si="5"/>
        <v/>
      </c>
    </row>
    <row r="93" spans="1:8">
      <c r="A93" t="s">
        <v>356</v>
      </c>
      <c r="B93" s="65">
        <v>-2827.6666638213283</v>
      </c>
      <c r="C93" s="68">
        <v>-20827.666663821328</v>
      </c>
      <c r="D93" s="68">
        <v>3172.3333361786717</v>
      </c>
      <c r="F93" t="str">
        <f t="shared" si="3"/>
        <v/>
      </c>
      <c r="G93" t="str">
        <f t="shared" si="4"/>
        <v/>
      </c>
      <c r="H93" t="str">
        <f t="shared" si="5"/>
        <v/>
      </c>
    </row>
    <row r="94" spans="1:8">
      <c r="A94" t="s">
        <v>168</v>
      </c>
      <c r="B94" s="65">
        <v>-3241.9026243908011</v>
      </c>
      <c r="C94" s="68">
        <v>-21241.902624390805</v>
      </c>
      <c r="D94" s="68">
        <v>2758.0973756091989</v>
      </c>
      <c r="F94" t="str">
        <f t="shared" si="3"/>
        <v/>
      </c>
      <c r="G94" t="str">
        <f t="shared" si="4"/>
        <v/>
      </c>
      <c r="H94" t="str">
        <f t="shared" si="5"/>
        <v/>
      </c>
    </row>
    <row r="95" spans="1:8">
      <c r="A95" t="s">
        <v>262</v>
      </c>
      <c r="B95" s="65">
        <v>-3437.1541298061129</v>
      </c>
      <c r="C95" s="68">
        <v>-21437.154129806113</v>
      </c>
      <c r="D95" s="68">
        <v>2562.8458701938871</v>
      </c>
      <c r="F95" t="str">
        <f t="shared" si="3"/>
        <v/>
      </c>
      <c r="G95" t="str">
        <f t="shared" si="4"/>
        <v/>
      </c>
      <c r="H95" t="str">
        <f t="shared" si="5"/>
        <v/>
      </c>
    </row>
    <row r="96" spans="1:8">
      <c r="A96" t="s">
        <v>136</v>
      </c>
      <c r="B96" s="65">
        <v>-3488.5309973872572</v>
      </c>
      <c r="C96" s="68">
        <v>-21488.530997387257</v>
      </c>
      <c r="D96" s="68">
        <v>2511.4690026127428</v>
      </c>
      <c r="F96" t="str">
        <f t="shared" si="3"/>
        <v/>
      </c>
      <c r="G96" t="str">
        <f t="shared" si="4"/>
        <v/>
      </c>
      <c r="H96" t="str">
        <f t="shared" si="5"/>
        <v/>
      </c>
    </row>
    <row r="97" spans="1:8">
      <c r="A97" t="s">
        <v>155</v>
      </c>
      <c r="B97" s="65">
        <v>-3562.1789231197108</v>
      </c>
      <c r="C97" s="68">
        <v>-21562.178923119711</v>
      </c>
      <c r="D97" s="68">
        <v>2437.8210768802892</v>
      </c>
      <c r="F97" t="str">
        <f t="shared" si="3"/>
        <v/>
      </c>
      <c r="G97" t="str">
        <f t="shared" si="4"/>
        <v/>
      </c>
      <c r="H97" t="str">
        <f t="shared" si="5"/>
        <v/>
      </c>
    </row>
    <row r="98" spans="1:8">
      <c r="A98" t="s">
        <v>235</v>
      </c>
      <c r="B98" s="65">
        <v>-4123.4117683344994</v>
      </c>
      <c r="C98" s="68">
        <v>-22123.411768334499</v>
      </c>
      <c r="D98" s="68">
        <v>1876.5882316655006</v>
      </c>
      <c r="F98" t="str">
        <f t="shared" si="3"/>
        <v/>
      </c>
      <c r="G98" t="str">
        <f t="shared" si="4"/>
        <v/>
      </c>
      <c r="H98" t="str">
        <f t="shared" si="5"/>
        <v/>
      </c>
    </row>
    <row r="99" spans="1:8">
      <c r="A99" t="s">
        <v>290</v>
      </c>
      <c r="B99" s="65">
        <v>-4127.5179466666632</v>
      </c>
      <c r="C99" s="68">
        <v>-22127.517946666663</v>
      </c>
      <c r="D99" s="68">
        <v>1872.4820533333368</v>
      </c>
      <c r="F99" t="str">
        <f t="shared" si="3"/>
        <v/>
      </c>
      <c r="G99" t="str">
        <f t="shared" si="4"/>
        <v/>
      </c>
      <c r="H99" t="str">
        <f t="shared" si="5"/>
        <v/>
      </c>
    </row>
    <row r="100" spans="1:8">
      <c r="A100" t="s">
        <v>268</v>
      </c>
      <c r="B100" s="65">
        <v>-4228.9509097233786</v>
      </c>
      <c r="C100" s="68">
        <v>-22228.950909723379</v>
      </c>
      <c r="D100" s="68">
        <v>1771.0490902766214</v>
      </c>
      <c r="F100" t="str">
        <f t="shared" si="3"/>
        <v/>
      </c>
      <c r="G100" t="str">
        <f t="shared" si="4"/>
        <v/>
      </c>
      <c r="H100" t="str">
        <f t="shared" si="5"/>
        <v/>
      </c>
    </row>
    <row r="101" spans="1:8">
      <c r="A101" t="s">
        <v>200</v>
      </c>
      <c r="B101" s="65">
        <v>-4425.5550535127695</v>
      </c>
      <c r="C101" s="68">
        <v>-22425.55505351277</v>
      </c>
      <c r="D101" s="68">
        <v>1574.4449464872305</v>
      </c>
      <c r="F101" t="str">
        <f t="shared" si="3"/>
        <v/>
      </c>
      <c r="G101" t="str">
        <f t="shared" si="4"/>
        <v/>
      </c>
      <c r="H101" t="str">
        <f t="shared" si="5"/>
        <v/>
      </c>
    </row>
    <row r="102" spans="1:8">
      <c r="A102" t="s">
        <v>156</v>
      </c>
      <c r="B102" s="65">
        <v>-4488.3432366666639</v>
      </c>
      <c r="C102" s="68">
        <v>-22488.343236666664</v>
      </c>
      <c r="D102" s="68">
        <v>1511.6567633333361</v>
      </c>
      <c r="F102" t="str">
        <f t="shared" si="3"/>
        <v/>
      </c>
      <c r="G102" t="str">
        <f t="shared" si="4"/>
        <v/>
      </c>
      <c r="H102" t="str">
        <f t="shared" si="5"/>
        <v/>
      </c>
    </row>
    <row r="103" spans="1:8">
      <c r="A103" t="s">
        <v>111</v>
      </c>
      <c r="B103" s="65">
        <v>-4488.8596316906587</v>
      </c>
      <c r="C103" s="68">
        <v>-22488.859631690659</v>
      </c>
      <c r="D103" s="68">
        <v>1511.1403683093395</v>
      </c>
      <c r="F103" t="str">
        <f t="shared" si="3"/>
        <v/>
      </c>
      <c r="G103" t="str">
        <f t="shared" si="4"/>
        <v/>
      </c>
      <c r="H103" t="str">
        <f t="shared" si="5"/>
        <v/>
      </c>
    </row>
    <row r="104" spans="1:8">
      <c r="A104" t="s">
        <v>250</v>
      </c>
      <c r="B104" s="65">
        <v>-4577.1611558070981</v>
      </c>
      <c r="C104" s="68">
        <v>-22577.161155807094</v>
      </c>
      <c r="D104" s="68">
        <v>1422.8388441929019</v>
      </c>
      <c r="F104" t="str">
        <f t="shared" si="3"/>
        <v/>
      </c>
      <c r="G104" t="str">
        <f t="shared" si="4"/>
        <v/>
      </c>
      <c r="H104" t="str">
        <f t="shared" si="5"/>
        <v/>
      </c>
    </row>
    <row r="105" spans="1:8">
      <c r="A105" t="s">
        <v>182</v>
      </c>
      <c r="B105" s="65">
        <v>-4822.3665766666709</v>
      </c>
      <c r="C105" s="68">
        <v>-22822.366576666671</v>
      </c>
      <c r="D105" s="68">
        <v>1177.6334233333291</v>
      </c>
      <c r="F105" t="str">
        <f t="shared" si="3"/>
        <v/>
      </c>
      <c r="G105" t="str">
        <f t="shared" si="4"/>
        <v/>
      </c>
      <c r="H105" t="str">
        <f t="shared" si="5"/>
        <v/>
      </c>
    </row>
    <row r="106" spans="1:8">
      <c r="A106" t="s">
        <v>251</v>
      </c>
      <c r="B106" s="65">
        <v>-4879.1679582270153</v>
      </c>
      <c r="C106" s="68">
        <v>-22879.167958227015</v>
      </c>
      <c r="D106" s="68">
        <v>1120.8320417729847</v>
      </c>
      <c r="F106" t="str">
        <f t="shared" si="3"/>
        <v/>
      </c>
      <c r="G106" t="str">
        <f t="shared" si="4"/>
        <v/>
      </c>
      <c r="H106" t="str">
        <f t="shared" si="5"/>
        <v/>
      </c>
    </row>
    <row r="107" spans="1:8">
      <c r="A107" t="s">
        <v>205</v>
      </c>
      <c r="B107" s="65">
        <v>-4925.8601982009714</v>
      </c>
      <c r="C107" s="68">
        <v>-22925.860198200971</v>
      </c>
      <c r="D107" s="68">
        <v>1074.1398017990286</v>
      </c>
      <c r="F107" t="str">
        <f t="shared" si="3"/>
        <v/>
      </c>
      <c r="G107" t="str">
        <f t="shared" si="4"/>
        <v/>
      </c>
      <c r="H107" t="str">
        <f t="shared" si="5"/>
        <v/>
      </c>
    </row>
    <row r="108" spans="1:8">
      <c r="A108" t="s">
        <v>212</v>
      </c>
      <c r="B108" s="65">
        <v>-5102.5609245739943</v>
      </c>
      <c r="C108" s="68">
        <v>-23102.560924573998</v>
      </c>
      <c r="D108" s="68">
        <v>897.43907542600573</v>
      </c>
      <c r="F108" t="str">
        <f t="shared" si="3"/>
        <v/>
      </c>
      <c r="G108" t="str">
        <f t="shared" si="4"/>
        <v/>
      </c>
      <c r="H108" t="str">
        <f t="shared" si="5"/>
        <v/>
      </c>
    </row>
    <row r="109" spans="1:8">
      <c r="A109" t="s">
        <v>285</v>
      </c>
      <c r="B109" s="65">
        <v>-5173.9085118726362</v>
      </c>
      <c r="C109" s="68">
        <v>-23173.90851187264</v>
      </c>
      <c r="D109" s="68">
        <v>826.09148812736385</v>
      </c>
      <c r="F109" t="str">
        <f t="shared" si="3"/>
        <v/>
      </c>
      <c r="G109" t="str">
        <f t="shared" si="4"/>
        <v/>
      </c>
      <c r="H109" t="str">
        <f t="shared" si="5"/>
        <v/>
      </c>
    </row>
    <row r="110" spans="1:8">
      <c r="A110" t="s">
        <v>108</v>
      </c>
      <c r="B110" s="65">
        <v>-5196.9340323040669</v>
      </c>
      <c r="C110" s="68">
        <v>-23196.934032304071</v>
      </c>
      <c r="D110" s="68">
        <v>803.06596769593307</v>
      </c>
      <c r="F110" t="str">
        <f t="shared" si="3"/>
        <v/>
      </c>
      <c r="G110" t="str">
        <f t="shared" si="4"/>
        <v/>
      </c>
      <c r="H110" t="str">
        <f t="shared" si="5"/>
        <v/>
      </c>
    </row>
    <row r="111" spans="1:8">
      <c r="A111" t="s">
        <v>366</v>
      </c>
      <c r="B111" s="65">
        <v>-5295.0380003359242</v>
      </c>
      <c r="C111" s="68">
        <v>-23295.038000335924</v>
      </c>
      <c r="D111" s="68">
        <v>704.96199966407585</v>
      </c>
      <c r="F111" t="str">
        <f t="shared" si="3"/>
        <v/>
      </c>
      <c r="G111" t="str">
        <f t="shared" si="4"/>
        <v/>
      </c>
      <c r="H111" t="str">
        <f t="shared" si="5"/>
        <v/>
      </c>
    </row>
    <row r="112" spans="1:8">
      <c r="A112" t="s">
        <v>358</v>
      </c>
      <c r="B112" s="65">
        <v>-5329.5720653926728</v>
      </c>
      <c r="C112" s="68">
        <v>-23329.572065392676</v>
      </c>
      <c r="D112" s="68">
        <v>670.42793460732719</v>
      </c>
      <c r="F112" t="str">
        <f t="shared" si="3"/>
        <v/>
      </c>
      <c r="G112" t="str">
        <f t="shared" si="4"/>
        <v/>
      </c>
      <c r="H112" t="str">
        <f t="shared" si="5"/>
        <v/>
      </c>
    </row>
    <row r="113" spans="1:8">
      <c r="A113" t="s">
        <v>277</v>
      </c>
      <c r="B113" s="65">
        <v>-5650.2356523770686</v>
      </c>
      <c r="C113" s="68">
        <v>-23650.235652377069</v>
      </c>
      <c r="D113" s="68">
        <v>349.76434762293138</v>
      </c>
      <c r="F113" t="str">
        <f t="shared" si="3"/>
        <v/>
      </c>
      <c r="G113" t="str">
        <f t="shared" si="4"/>
        <v/>
      </c>
      <c r="H113" t="str">
        <f t="shared" si="5"/>
        <v/>
      </c>
    </row>
    <row r="114" spans="1:8">
      <c r="A114" t="s">
        <v>175</v>
      </c>
      <c r="B114" s="65">
        <v>-5664.4706818913983</v>
      </c>
      <c r="C114" s="68">
        <v>-23664.470681891395</v>
      </c>
      <c r="D114" s="68">
        <v>335.52931810860173</v>
      </c>
      <c r="F114" t="str">
        <f t="shared" si="3"/>
        <v/>
      </c>
      <c r="G114" t="str">
        <f t="shared" si="4"/>
        <v/>
      </c>
      <c r="H114" t="str">
        <f t="shared" si="5"/>
        <v/>
      </c>
    </row>
    <row r="115" spans="1:8">
      <c r="A115" t="s">
        <v>120</v>
      </c>
      <c r="B115" s="65">
        <v>-5816.8156970281198</v>
      </c>
      <c r="C115" s="68">
        <v>-23816.815697028123</v>
      </c>
      <c r="D115" s="68">
        <v>183.18430297188024</v>
      </c>
      <c r="F115" t="str">
        <f t="shared" si="3"/>
        <v/>
      </c>
      <c r="G115" t="str">
        <f t="shared" si="4"/>
        <v/>
      </c>
      <c r="H115" t="str">
        <f t="shared" si="5"/>
        <v/>
      </c>
    </row>
    <row r="116" spans="1:8">
      <c r="A116" t="s">
        <v>310</v>
      </c>
      <c r="B116" s="65">
        <v>-5873.0442585452911</v>
      </c>
      <c r="C116" s="68">
        <v>-23873.044258545291</v>
      </c>
      <c r="D116" s="68">
        <v>126.95574145470709</v>
      </c>
      <c r="F116" t="str">
        <f t="shared" si="3"/>
        <v/>
      </c>
      <c r="G116" t="str">
        <f t="shared" si="4"/>
        <v/>
      </c>
      <c r="H116" t="str">
        <f t="shared" si="5"/>
        <v/>
      </c>
    </row>
    <row r="117" spans="1:8">
      <c r="A117" t="s">
        <v>131</v>
      </c>
      <c r="B117" s="65">
        <v>-5973.43670666666</v>
      </c>
      <c r="C117" s="68">
        <v>-23973.43670666666</v>
      </c>
      <c r="D117" s="68">
        <v>26.563293333339971</v>
      </c>
      <c r="F117" t="str">
        <f t="shared" si="3"/>
        <v/>
      </c>
      <c r="G117" t="str">
        <f t="shared" si="4"/>
        <v/>
      </c>
      <c r="H117" t="str">
        <f t="shared" si="5"/>
        <v/>
      </c>
    </row>
    <row r="118" spans="1:8">
      <c r="A118" t="s">
        <v>245</v>
      </c>
      <c r="B118" s="65">
        <v>-6110.352016666664</v>
      </c>
      <c r="C118" s="68">
        <v>-24110.352016666664</v>
      </c>
      <c r="D118" s="68">
        <v>-110.35201666666399</v>
      </c>
      <c r="F118" t="str">
        <f t="shared" si="3"/>
        <v/>
      </c>
      <c r="G118" t="str">
        <f t="shared" si="4"/>
        <v/>
      </c>
      <c r="H118" t="str">
        <f t="shared" si="5"/>
        <v/>
      </c>
    </row>
    <row r="119" spans="1:8">
      <c r="A119" t="s">
        <v>355</v>
      </c>
      <c r="B119" s="65">
        <v>-6113.4483744187964</v>
      </c>
      <c r="C119" s="68">
        <v>-24113.448374418796</v>
      </c>
      <c r="D119" s="68">
        <v>-113.44837441879645</v>
      </c>
      <c r="F119" t="str">
        <f t="shared" si="3"/>
        <v/>
      </c>
      <c r="G119" t="str">
        <f t="shared" si="4"/>
        <v/>
      </c>
      <c r="H119" t="str">
        <f t="shared" si="5"/>
        <v/>
      </c>
    </row>
    <row r="120" spans="1:8">
      <c r="A120" t="s">
        <v>284</v>
      </c>
      <c r="B120" s="65">
        <v>-6197.3852229160184</v>
      </c>
      <c r="C120" s="68">
        <v>-24197.385222916018</v>
      </c>
      <c r="D120" s="68">
        <v>-197.38522291601839</v>
      </c>
      <c r="F120" t="str">
        <f t="shared" si="3"/>
        <v/>
      </c>
      <c r="G120" t="str">
        <f t="shared" si="4"/>
        <v/>
      </c>
      <c r="H120" t="str">
        <f t="shared" si="5"/>
        <v/>
      </c>
    </row>
    <row r="121" spans="1:8">
      <c r="A121" t="s">
        <v>139</v>
      </c>
      <c r="B121" s="65">
        <v>-6288.3179864243721</v>
      </c>
      <c r="C121" s="68">
        <v>-24288.317986424372</v>
      </c>
      <c r="D121" s="68">
        <v>-288.31798642437388</v>
      </c>
      <c r="F121" t="str">
        <f t="shared" si="3"/>
        <v/>
      </c>
      <c r="G121" t="str">
        <f t="shared" si="4"/>
        <v/>
      </c>
      <c r="H121" t="str">
        <f t="shared" si="5"/>
        <v/>
      </c>
    </row>
    <row r="122" spans="1:8">
      <c r="A122" t="s">
        <v>294</v>
      </c>
      <c r="B122" s="65">
        <v>-6463.1634201619745</v>
      </c>
      <c r="C122" s="68">
        <v>-24463.163420161974</v>
      </c>
      <c r="D122" s="68">
        <v>-463.1634201619745</v>
      </c>
      <c r="F122" t="str">
        <f t="shared" si="3"/>
        <v/>
      </c>
      <c r="G122" t="str">
        <f t="shared" si="4"/>
        <v/>
      </c>
      <c r="H122" t="str">
        <f t="shared" si="5"/>
        <v/>
      </c>
    </row>
    <row r="123" spans="1:8">
      <c r="A123" t="s">
        <v>198</v>
      </c>
      <c r="B123" s="65">
        <v>-6601.7052242833888</v>
      </c>
      <c r="C123" s="68">
        <v>-24601.705224283389</v>
      </c>
      <c r="D123" s="68">
        <v>-601.70522428338882</v>
      </c>
      <c r="F123" t="str">
        <f t="shared" si="3"/>
        <v/>
      </c>
      <c r="G123" t="str">
        <f t="shared" si="4"/>
        <v/>
      </c>
      <c r="H123" t="str">
        <f t="shared" si="5"/>
        <v/>
      </c>
    </row>
    <row r="124" spans="1:8">
      <c r="A124" t="s">
        <v>365</v>
      </c>
      <c r="B124" s="65">
        <v>-6657.921219621594</v>
      </c>
      <c r="C124" s="68">
        <v>-24657.921219621596</v>
      </c>
      <c r="D124" s="68">
        <v>-657.92121962159399</v>
      </c>
      <c r="F124" t="str">
        <f t="shared" si="3"/>
        <v/>
      </c>
      <c r="G124" t="str">
        <f t="shared" si="4"/>
        <v/>
      </c>
      <c r="H124" t="str">
        <f t="shared" si="5"/>
        <v/>
      </c>
    </row>
    <row r="125" spans="1:8">
      <c r="A125" t="s">
        <v>274</v>
      </c>
      <c r="B125" s="65">
        <v>-6691.1308166666568</v>
      </c>
      <c r="C125" s="68">
        <v>-24691.130816666657</v>
      </c>
      <c r="D125" s="68">
        <v>-691.13081666665676</v>
      </c>
      <c r="F125" t="str">
        <f t="shared" si="3"/>
        <v/>
      </c>
      <c r="G125" t="str">
        <f t="shared" si="4"/>
        <v/>
      </c>
      <c r="H125" t="str">
        <f t="shared" si="5"/>
        <v/>
      </c>
    </row>
    <row r="126" spans="1:8">
      <c r="A126" t="s">
        <v>263</v>
      </c>
      <c r="B126" s="65">
        <v>-6735.3557675011034</v>
      </c>
      <c r="C126" s="68">
        <v>-24735.355767501103</v>
      </c>
      <c r="D126" s="68">
        <v>-735.3557675011034</v>
      </c>
      <c r="F126" t="str">
        <f t="shared" si="3"/>
        <v/>
      </c>
      <c r="G126" t="str">
        <f t="shared" si="4"/>
        <v/>
      </c>
      <c r="H126" t="str">
        <f t="shared" si="5"/>
        <v/>
      </c>
    </row>
    <row r="127" spans="1:8">
      <c r="A127" t="s">
        <v>167</v>
      </c>
      <c r="B127" s="65">
        <v>-6991.7370259478921</v>
      </c>
      <c r="C127" s="68">
        <v>-24991.737025947892</v>
      </c>
      <c r="D127" s="68">
        <v>-991.73702594789211</v>
      </c>
      <c r="F127" t="str">
        <f t="shared" si="3"/>
        <v/>
      </c>
      <c r="G127" t="str">
        <f t="shared" si="4"/>
        <v/>
      </c>
      <c r="H127" t="str">
        <f t="shared" si="5"/>
        <v/>
      </c>
    </row>
    <row r="128" spans="1:8">
      <c r="A128" t="s">
        <v>146</v>
      </c>
      <c r="B128" s="65">
        <v>-7221.0587652345548</v>
      </c>
      <c r="C128" s="68">
        <v>-25221.058765234557</v>
      </c>
      <c r="D128" s="68">
        <v>-1221.0587652345548</v>
      </c>
      <c r="F128" t="str">
        <f t="shared" si="3"/>
        <v/>
      </c>
      <c r="G128" t="str">
        <f t="shared" si="4"/>
        <v/>
      </c>
      <c r="H128" t="str">
        <f t="shared" si="5"/>
        <v/>
      </c>
    </row>
    <row r="129" spans="1:8">
      <c r="A129" t="s">
        <v>313</v>
      </c>
      <c r="B129" s="65">
        <v>-7302.974098263745</v>
      </c>
      <c r="C129" s="68">
        <v>-25302.974098263745</v>
      </c>
      <c r="D129" s="68">
        <v>-1302.974098263745</v>
      </c>
      <c r="F129" t="str">
        <f t="shared" si="3"/>
        <v/>
      </c>
      <c r="G129" t="str">
        <f t="shared" si="4"/>
        <v/>
      </c>
      <c r="H129" t="str">
        <f t="shared" si="5"/>
        <v/>
      </c>
    </row>
    <row r="130" spans="1:8">
      <c r="A130" t="s">
        <v>257</v>
      </c>
      <c r="B130" s="65">
        <v>-7572.5842828341265</v>
      </c>
      <c r="C130" s="68">
        <v>-25572.584282834126</v>
      </c>
      <c r="D130" s="68">
        <v>-1572.5842828341265</v>
      </c>
      <c r="F130" t="str">
        <f t="shared" si="3"/>
        <v/>
      </c>
      <c r="G130" t="str">
        <f t="shared" si="4"/>
        <v/>
      </c>
      <c r="H130" t="str">
        <f t="shared" si="5"/>
        <v/>
      </c>
    </row>
    <row r="131" spans="1:8">
      <c r="A131" t="s">
        <v>283</v>
      </c>
      <c r="B131" s="65">
        <v>-7699.6114997709301</v>
      </c>
      <c r="C131" s="68">
        <v>-25699.61149977093</v>
      </c>
      <c r="D131" s="68">
        <v>-1699.6114997709301</v>
      </c>
      <c r="F131" t="str">
        <f t="shared" ref="F131:F194" si="6">IF(B131&gt;6000,1,"")</f>
        <v/>
      </c>
      <c r="G131" t="str">
        <f t="shared" ref="G131:G194" si="7">IF(C131&gt;0,1,"")</f>
        <v/>
      </c>
      <c r="H131" t="str">
        <f t="shared" ref="H131:H194" si="8">IF(C131+D131&gt;0,1,"")</f>
        <v/>
      </c>
    </row>
    <row r="132" spans="1:8">
      <c r="A132" t="s">
        <v>321</v>
      </c>
      <c r="B132" s="65">
        <v>-7720.4267883989196</v>
      </c>
      <c r="C132" s="68">
        <v>-25720.426788398923</v>
      </c>
      <c r="D132" s="68">
        <v>-1720.4267883989196</v>
      </c>
      <c r="F132" t="str">
        <f t="shared" si="6"/>
        <v/>
      </c>
      <c r="G132" t="str">
        <f t="shared" si="7"/>
        <v/>
      </c>
      <c r="H132" t="str">
        <f t="shared" si="8"/>
        <v/>
      </c>
    </row>
    <row r="133" spans="1:8">
      <c r="A133" t="s">
        <v>258</v>
      </c>
      <c r="B133" s="65">
        <v>-7772.6714166666607</v>
      </c>
      <c r="C133" s="68">
        <v>-25772.671416666661</v>
      </c>
      <c r="D133" s="68">
        <v>-1772.6714166666607</v>
      </c>
      <c r="F133" t="str">
        <f t="shared" si="6"/>
        <v/>
      </c>
      <c r="G133" t="str">
        <f t="shared" si="7"/>
        <v/>
      </c>
      <c r="H133" t="str">
        <f t="shared" si="8"/>
        <v/>
      </c>
    </row>
    <row r="134" spans="1:8">
      <c r="A134" t="s">
        <v>293</v>
      </c>
      <c r="B134" s="65">
        <v>-7852.0909393035945</v>
      </c>
      <c r="C134" s="68">
        <v>-25852.090939303594</v>
      </c>
      <c r="D134" s="68">
        <v>-1852.0909393035945</v>
      </c>
      <c r="F134" t="str">
        <f t="shared" si="6"/>
        <v/>
      </c>
      <c r="G134" t="str">
        <f t="shared" si="7"/>
        <v/>
      </c>
      <c r="H134" t="str">
        <f t="shared" si="8"/>
        <v/>
      </c>
    </row>
    <row r="135" spans="1:8">
      <c r="A135" t="s">
        <v>196</v>
      </c>
      <c r="B135" s="65">
        <v>-7991.6541696143613</v>
      </c>
      <c r="C135" s="68">
        <v>-25991.654169614361</v>
      </c>
      <c r="D135" s="68">
        <v>-1991.6541696143631</v>
      </c>
      <c r="F135" t="str">
        <f t="shared" si="6"/>
        <v/>
      </c>
      <c r="G135" t="str">
        <f t="shared" si="7"/>
        <v/>
      </c>
      <c r="H135" t="str">
        <f t="shared" si="8"/>
        <v/>
      </c>
    </row>
    <row r="136" spans="1:8">
      <c r="A136" t="s">
        <v>240</v>
      </c>
      <c r="B136" s="65">
        <v>-8011.1187635562383</v>
      </c>
      <c r="C136" s="68">
        <v>-26011.118763556235</v>
      </c>
      <c r="D136" s="68">
        <v>-2011.1187635562383</v>
      </c>
      <c r="F136" t="str">
        <f t="shared" si="6"/>
        <v/>
      </c>
      <c r="G136" t="str">
        <f t="shared" si="7"/>
        <v/>
      </c>
      <c r="H136" t="str">
        <f t="shared" si="8"/>
        <v/>
      </c>
    </row>
    <row r="137" spans="1:8">
      <c r="A137" t="s">
        <v>351</v>
      </c>
      <c r="B137" s="65">
        <v>-8020.1204405568842</v>
      </c>
      <c r="C137" s="68">
        <v>-26020.120440556886</v>
      </c>
      <c r="D137" s="68">
        <v>-2020.1204405568842</v>
      </c>
      <c r="F137" t="str">
        <f t="shared" si="6"/>
        <v/>
      </c>
      <c r="G137" t="str">
        <f t="shared" si="7"/>
        <v/>
      </c>
      <c r="H137" t="str">
        <f t="shared" si="8"/>
        <v/>
      </c>
    </row>
    <row r="138" spans="1:8">
      <c r="A138" t="s">
        <v>278</v>
      </c>
      <c r="B138" s="65">
        <v>-8063.8808140270012</v>
      </c>
      <c r="C138" s="68">
        <v>-26063.880814027001</v>
      </c>
      <c r="D138" s="68">
        <v>-2063.8808140270012</v>
      </c>
      <c r="F138" t="str">
        <f t="shared" si="6"/>
        <v/>
      </c>
      <c r="G138" t="str">
        <f t="shared" si="7"/>
        <v/>
      </c>
      <c r="H138" t="str">
        <f t="shared" si="8"/>
        <v/>
      </c>
    </row>
    <row r="139" spans="1:8">
      <c r="A139" t="s">
        <v>341</v>
      </c>
      <c r="B139" s="65">
        <v>-8190.2081495877646</v>
      </c>
      <c r="C139" s="68">
        <v>-26190.208149587765</v>
      </c>
      <c r="D139" s="68">
        <v>-2190.2081495877628</v>
      </c>
      <c r="F139" t="str">
        <f t="shared" si="6"/>
        <v/>
      </c>
      <c r="G139" t="str">
        <f t="shared" si="7"/>
        <v/>
      </c>
      <c r="H139" t="str">
        <f t="shared" si="8"/>
        <v/>
      </c>
    </row>
    <row r="140" spans="1:8">
      <c r="A140" t="s">
        <v>203</v>
      </c>
      <c r="B140" s="65">
        <v>-8651.3186902993511</v>
      </c>
      <c r="C140" s="68">
        <v>-26651.318690299355</v>
      </c>
      <c r="D140" s="68">
        <v>-2651.3186902993511</v>
      </c>
      <c r="F140" t="str">
        <f t="shared" si="6"/>
        <v/>
      </c>
      <c r="G140" t="str">
        <f t="shared" si="7"/>
        <v/>
      </c>
      <c r="H140" t="str">
        <f t="shared" si="8"/>
        <v/>
      </c>
    </row>
    <row r="141" spans="1:8">
      <c r="A141" t="s">
        <v>376</v>
      </c>
      <c r="B141" s="65">
        <v>-8832.3720653926684</v>
      </c>
      <c r="C141" s="68">
        <v>-26832.372065392672</v>
      </c>
      <c r="D141" s="68">
        <v>-2832.3720653926684</v>
      </c>
      <c r="F141" t="str">
        <f t="shared" si="6"/>
        <v/>
      </c>
      <c r="G141" t="str">
        <f t="shared" si="7"/>
        <v/>
      </c>
      <c r="H141" t="str">
        <f t="shared" si="8"/>
        <v/>
      </c>
    </row>
    <row r="142" spans="1:8">
      <c r="A142" t="s">
        <v>296</v>
      </c>
      <c r="B142" s="65">
        <v>-8880.7493127214839</v>
      </c>
      <c r="C142" s="68">
        <v>-26880.749312721484</v>
      </c>
      <c r="D142" s="68">
        <v>-2880.7493127214839</v>
      </c>
      <c r="F142" t="str">
        <f t="shared" si="6"/>
        <v/>
      </c>
      <c r="G142" t="str">
        <f t="shared" si="7"/>
        <v/>
      </c>
      <c r="H142" t="str">
        <f t="shared" si="8"/>
        <v/>
      </c>
    </row>
    <row r="143" spans="1:8">
      <c r="A143" t="s">
        <v>129</v>
      </c>
      <c r="B143" s="65">
        <v>-8938.7097685792542</v>
      </c>
      <c r="C143" s="68">
        <v>-26938.709768579251</v>
      </c>
      <c r="D143" s="68">
        <v>-2938.7097685792542</v>
      </c>
      <c r="F143" t="str">
        <f t="shared" si="6"/>
        <v/>
      </c>
      <c r="G143" t="str">
        <f t="shared" si="7"/>
        <v/>
      </c>
      <c r="H143" t="str">
        <f t="shared" si="8"/>
        <v/>
      </c>
    </row>
    <row r="144" spans="1:8">
      <c r="A144" t="s">
        <v>350</v>
      </c>
      <c r="B144" s="65">
        <v>-9131.3856074513897</v>
      </c>
      <c r="C144" s="68">
        <v>-27131.38560745139</v>
      </c>
      <c r="D144" s="68">
        <v>-3131.3856074513897</v>
      </c>
      <c r="F144" t="str">
        <f t="shared" si="6"/>
        <v/>
      </c>
      <c r="G144" t="str">
        <f t="shared" si="7"/>
        <v/>
      </c>
      <c r="H144" t="str">
        <f t="shared" si="8"/>
        <v/>
      </c>
    </row>
    <row r="145" spans="1:8">
      <c r="A145" t="s">
        <v>116</v>
      </c>
      <c r="B145" s="65">
        <v>-9187.7204405568846</v>
      </c>
      <c r="C145" s="68">
        <v>-27187.720440556885</v>
      </c>
      <c r="D145" s="68">
        <v>-3187.7204405568846</v>
      </c>
      <c r="F145" t="str">
        <f t="shared" si="6"/>
        <v/>
      </c>
      <c r="G145" t="str">
        <f t="shared" si="7"/>
        <v/>
      </c>
      <c r="H145" t="str">
        <f t="shared" si="8"/>
        <v/>
      </c>
    </row>
    <row r="146" spans="1:8">
      <c r="A146" t="s">
        <v>279</v>
      </c>
      <c r="B146" s="65">
        <v>-9382.5557676120352</v>
      </c>
      <c r="C146" s="68">
        <v>-27382.555767612037</v>
      </c>
      <c r="D146" s="68">
        <v>-3382.555767612037</v>
      </c>
      <c r="F146" t="str">
        <f t="shared" si="6"/>
        <v/>
      </c>
      <c r="G146" t="str">
        <f t="shared" si="7"/>
        <v/>
      </c>
      <c r="H146" t="str">
        <f t="shared" si="8"/>
        <v/>
      </c>
    </row>
    <row r="147" spans="1:8">
      <c r="A147" t="s">
        <v>171</v>
      </c>
      <c r="B147" s="65">
        <v>-9525.8352174330375</v>
      </c>
      <c r="C147" s="68">
        <v>-27525.835217433036</v>
      </c>
      <c r="D147" s="68">
        <v>-3525.8352174330375</v>
      </c>
      <c r="F147" t="str">
        <f t="shared" si="6"/>
        <v/>
      </c>
      <c r="G147" t="str">
        <f t="shared" si="7"/>
        <v/>
      </c>
      <c r="H147" t="str">
        <f t="shared" si="8"/>
        <v/>
      </c>
    </row>
    <row r="148" spans="1:8">
      <c r="A148" t="s">
        <v>158</v>
      </c>
      <c r="B148" s="65">
        <v>-9894.8155333452269</v>
      </c>
      <c r="C148" s="68">
        <v>-27894.815533345227</v>
      </c>
      <c r="D148" s="68">
        <v>-3894.8155333452269</v>
      </c>
      <c r="F148" t="str">
        <f t="shared" si="6"/>
        <v/>
      </c>
      <c r="G148" t="str">
        <f t="shared" si="7"/>
        <v/>
      </c>
      <c r="H148" t="str">
        <f t="shared" si="8"/>
        <v/>
      </c>
    </row>
    <row r="149" spans="1:8">
      <c r="A149" t="s">
        <v>369</v>
      </c>
      <c r="B149" s="65">
        <v>-9990.7594039744363</v>
      </c>
      <c r="C149" s="68">
        <v>-27990.759403974436</v>
      </c>
      <c r="D149" s="68">
        <v>-3990.7594039744363</v>
      </c>
      <c r="F149" t="str">
        <f t="shared" si="6"/>
        <v/>
      </c>
      <c r="G149" t="str">
        <f t="shared" si="7"/>
        <v/>
      </c>
      <c r="H149" t="str">
        <f t="shared" si="8"/>
        <v/>
      </c>
    </row>
    <row r="150" spans="1:8">
      <c r="A150" t="s">
        <v>301</v>
      </c>
      <c r="B150" s="65">
        <v>-10154.474262976313</v>
      </c>
      <c r="C150" s="68">
        <v>-28154.47426297631</v>
      </c>
      <c r="D150" s="68">
        <v>-4154.4742629763132</v>
      </c>
      <c r="F150" t="str">
        <f t="shared" si="6"/>
        <v/>
      </c>
      <c r="G150" t="str">
        <f t="shared" si="7"/>
        <v/>
      </c>
      <c r="H150" t="str">
        <f t="shared" si="8"/>
        <v/>
      </c>
    </row>
    <row r="151" spans="1:8">
      <c r="A151" t="s">
        <v>317</v>
      </c>
      <c r="B151" s="65">
        <v>-10396.390187326284</v>
      </c>
      <c r="C151" s="68">
        <v>-28396.390187326284</v>
      </c>
      <c r="D151" s="68">
        <v>-4396.3901873262839</v>
      </c>
      <c r="F151" t="str">
        <f t="shared" si="6"/>
        <v/>
      </c>
      <c r="G151" t="str">
        <f t="shared" si="7"/>
        <v/>
      </c>
      <c r="H151" t="str">
        <f t="shared" si="8"/>
        <v/>
      </c>
    </row>
    <row r="152" spans="1:8">
      <c r="A152" t="s">
        <v>295</v>
      </c>
      <c r="B152" s="65">
        <v>-10516.281342446095</v>
      </c>
      <c r="C152" s="68">
        <v>-28516.281342446095</v>
      </c>
      <c r="D152" s="68">
        <v>-4516.2813424460928</v>
      </c>
      <c r="F152" t="str">
        <f t="shared" si="6"/>
        <v/>
      </c>
      <c r="G152" t="str">
        <f t="shared" si="7"/>
        <v/>
      </c>
      <c r="H152" t="str">
        <f t="shared" si="8"/>
        <v/>
      </c>
    </row>
    <row r="153" spans="1:8">
      <c r="A153" t="s">
        <v>202</v>
      </c>
      <c r="B153" s="65">
        <v>-10598.765756751767</v>
      </c>
      <c r="C153" s="68">
        <v>-28598.765756751764</v>
      </c>
      <c r="D153" s="68">
        <v>-4598.7657567517672</v>
      </c>
      <c r="F153" t="str">
        <f t="shared" si="6"/>
        <v/>
      </c>
      <c r="G153" t="str">
        <f t="shared" si="7"/>
        <v/>
      </c>
      <c r="H153" t="str">
        <f t="shared" si="8"/>
        <v/>
      </c>
    </row>
    <row r="154" spans="1:8">
      <c r="A154" t="s">
        <v>302</v>
      </c>
      <c r="B154" s="65">
        <v>-10691.378363387841</v>
      </c>
      <c r="C154" s="68">
        <v>-28691.378363387841</v>
      </c>
      <c r="D154" s="68">
        <v>-4691.3783633878393</v>
      </c>
      <c r="F154" t="str">
        <f t="shared" si="6"/>
        <v/>
      </c>
      <c r="G154" t="str">
        <f t="shared" si="7"/>
        <v/>
      </c>
      <c r="H154" t="str">
        <f t="shared" si="8"/>
        <v/>
      </c>
    </row>
    <row r="155" spans="1:8">
      <c r="A155" t="s">
        <v>188</v>
      </c>
      <c r="B155" s="65">
        <v>-10778.975366928975</v>
      </c>
      <c r="C155" s="68">
        <v>-28778.975366928975</v>
      </c>
      <c r="D155" s="68">
        <v>-4778.9753669289767</v>
      </c>
      <c r="F155" t="str">
        <f t="shared" si="6"/>
        <v/>
      </c>
      <c r="G155" t="str">
        <f t="shared" si="7"/>
        <v/>
      </c>
      <c r="H155" t="str">
        <f t="shared" si="8"/>
        <v/>
      </c>
    </row>
    <row r="156" spans="1:8">
      <c r="A156" t="s">
        <v>191</v>
      </c>
      <c r="B156" s="65">
        <v>-10936.13613645919</v>
      </c>
      <c r="C156" s="68">
        <v>-28936.13613645919</v>
      </c>
      <c r="D156" s="68">
        <v>-4936.1361364591903</v>
      </c>
      <c r="F156" t="str">
        <f t="shared" si="6"/>
        <v/>
      </c>
      <c r="G156" t="str">
        <f t="shared" si="7"/>
        <v/>
      </c>
      <c r="H156" t="str">
        <f t="shared" si="8"/>
        <v/>
      </c>
    </row>
    <row r="157" spans="1:8">
      <c r="A157" t="s">
        <v>151</v>
      </c>
      <c r="B157" s="65">
        <v>-10943.879004063378</v>
      </c>
      <c r="C157" s="68">
        <v>-28943.879004063376</v>
      </c>
      <c r="D157" s="68">
        <v>-4943.8790040633776</v>
      </c>
      <c r="F157" t="str">
        <f t="shared" si="6"/>
        <v/>
      </c>
      <c r="G157" t="str">
        <f t="shared" si="7"/>
        <v/>
      </c>
      <c r="H157" t="str">
        <f t="shared" si="8"/>
        <v/>
      </c>
    </row>
    <row r="158" spans="1:8">
      <c r="A158" t="s">
        <v>372</v>
      </c>
      <c r="B158" s="65">
        <v>-11189.800430911288</v>
      </c>
      <c r="C158" s="68">
        <v>-29189.800430911288</v>
      </c>
      <c r="D158" s="68">
        <v>-5189.8004309112875</v>
      </c>
      <c r="F158" t="str">
        <f t="shared" si="6"/>
        <v/>
      </c>
      <c r="G158" t="str">
        <f t="shared" si="7"/>
        <v/>
      </c>
      <c r="H158" t="str">
        <f t="shared" si="8"/>
        <v/>
      </c>
    </row>
    <row r="159" spans="1:8">
      <c r="A159" t="s">
        <v>246</v>
      </c>
      <c r="B159" s="65">
        <v>-11357.027926666666</v>
      </c>
      <c r="C159" s="68">
        <v>-29357.027926666666</v>
      </c>
      <c r="D159" s="68">
        <v>-5357.0279266666657</v>
      </c>
      <c r="F159" t="str">
        <f t="shared" si="6"/>
        <v/>
      </c>
      <c r="G159" t="str">
        <f t="shared" si="7"/>
        <v/>
      </c>
      <c r="H159" t="str">
        <f t="shared" si="8"/>
        <v/>
      </c>
    </row>
    <row r="160" spans="1:8">
      <c r="A160" t="s">
        <v>264</v>
      </c>
      <c r="B160" s="65">
        <v>-11503.167924263373</v>
      </c>
      <c r="C160" s="68">
        <v>-29503.167924263373</v>
      </c>
      <c r="D160" s="68">
        <v>-5503.1679242633745</v>
      </c>
      <c r="F160" t="str">
        <f t="shared" si="6"/>
        <v/>
      </c>
      <c r="G160" t="str">
        <f t="shared" si="7"/>
        <v/>
      </c>
      <c r="H160" t="str">
        <f t="shared" si="8"/>
        <v/>
      </c>
    </row>
    <row r="161" spans="1:8">
      <c r="A161" t="s">
        <v>193</v>
      </c>
      <c r="B161" s="65">
        <v>-11629.523994918905</v>
      </c>
      <c r="C161" s="68">
        <v>-29629.523994918902</v>
      </c>
      <c r="D161" s="68">
        <v>-5629.5239949189054</v>
      </c>
      <c r="F161" t="str">
        <f t="shared" si="6"/>
        <v/>
      </c>
      <c r="G161" t="str">
        <f t="shared" si="7"/>
        <v/>
      </c>
      <c r="H161" t="str">
        <f t="shared" si="8"/>
        <v/>
      </c>
    </row>
    <row r="162" spans="1:8">
      <c r="A162" t="s">
        <v>384</v>
      </c>
      <c r="B162" s="65">
        <v>-11691.855225434105</v>
      </c>
      <c r="C162" s="68">
        <v>-29691.855225434105</v>
      </c>
      <c r="D162" s="68">
        <v>-5691.8552254341048</v>
      </c>
      <c r="F162" t="str">
        <f t="shared" si="6"/>
        <v/>
      </c>
      <c r="G162" t="str">
        <f t="shared" si="7"/>
        <v/>
      </c>
      <c r="H162" t="str">
        <f t="shared" si="8"/>
        <v/>
      </c>
    </row>
    <row r="163" spans="1:8">
      <c r="A163" t="s">
        <v>157</v>
      </c>
      <c r="B163" s="65">
        <v>-11790.011919337156</v>
      </c>
      <c r="C163" s="68">
        <v>-29790.011919337157</v>
      </c>
      <c r="D163" s="68">
        <v>-5790.0119193371556</v>
      </c>
      <c r="F163" t="str">
        <f t="shared" si="6"/>
        <v/>
      </c>
      <c r="G163" t="str">
        <f t="shared" si="7"/>
        <v/>
      </c>
      <c r="H163" t="str">
        <f t="shared" si="8"/>
        <v/>
      </c>
    </row>
    <row r="164" spans="1:8">
      <c r="A164" t="s">
        <v>266</v>
      </c>
      <c r="B164" s="65">
        <v>-11868.472189338549</v>
      </c>
      <c r="C164" s="68">
        <v>-29868.47218933855</v>
      </c>
      <c r="D164" s="68">
        <v>-5868.4721893385486</v>
      </c>
      <c r="F164" t="str">
        <f t="shared" si="6"/>
        <v/>
      </c>
      <c r="G164" t="str">
        <f t="shared" si="7"/>
        <v/>
      </c>
      <c r="H164" t="str">
        <f t="shared" si="8"/>
        <v/>
      </c>
    </row>
    <row r="165" spans="1:8">
      <c r="A165" t="s">
        <v>286</v>
      </c>
      <c r="B165" s="65">
        <v>-11979.052616666666</v>
      </c>
      <c r="C165" s="68">
        <v>-29979.052616666668</v>
      </c>
      <c r="D165" s="68">
        <v>-5979.0526166666659</v>
      </c>
      <c r="F165" t="str">
        <f t="shared" si="6"/>
        <v/>
      </c>
      <c r="G165" t="str">
        <f t="shared" si="7"/>
        <v/>
      </c>
      <c r="H165" t="str">
        <f t="shared" si="8"/>
        <v/>
      </c>
    </row>
    <row r="166" spans="1:8">
      <c r="A166" t="s">
        <v>219</v>
      </c>
      <c r="B166" s="65">
        <v>-12004.426043103935</v>
      </c>
      <c r="C166" s="68">
        <v>-30004.426043103937</v>
      </c>
      <c r="D166" s="68">
        <v>-6004.4260431039347</v>
      </c>
      <c r="F166" t="str">
        <f t="shared" si="6"/>
        <v/>
      </c>
      <c r="G166" t="str">
        <f t="shared" si="7"/>
        <v/>
      </c>
      <c r="H166" t="str">
        <f t="shared" si="8"/>
        <v/>
      </c>
    </row>
    <row r="167" spans="1:8">
      <c r="A167" t="s">
        <v>214</v>
      </c>
      <c r="B167" s="65">
        <v>-12148.27449250155</v>
      </c>
      <c r="C167" s="68">
        <v>-30148.27449250155</v>
      </c>
      <c r="D167" s="68">
        <v>-6148.2744925015504</v>
      </c>
      <c r="F167" t="str">
        <f t="shared" si="6"/>
        <v/>
      </c>
      <c r="G167" t="str">
        <f t="shared" si="7"/>
        <v/>
      </c>
      <c r="H167" t="str">
        <f t="shared" si="8"/>
        <v/>
      </c>
    </row>
    <row r="168" spans="1:8">
      <c r="A168" t="s">
        <v>186</v>
      </c>
      <c r="B168" s="65">
        <v>-12293.259990612976</v>
      </c>
      <c r="C168" s="68">
        <v>-30293.259990612976</v>
      </c>
      <c r="D168" s="68">
        <v>-6293.2599906129763</v>
      </c>
      <c r="F168" t="str">
        <f t="shared" si="6"/>
        <v/>
      </c>
      <c r="G168" t="str">
        <f t="shared" si="7"/>
        <v/>
      </c>
      <c r="H168" t="str">
        <f t="shared" si="8"/>
        <v/>
      </c>
    </row>
    <row r="169" spans="1:8">
      <c r="A169" t="s">
        <v>400</v>
      </c>
      <c r="B169" s="65">
        <v>-12459.874120035176</v>
      </c>
      <c r="C169" s="68">
        <v>-30459.874120035172</v>
      </c>
      <c r="D169" s="68">
        <v>-6459.874120035176</v>
      </c>
      <c r="F169" t="str">
        <f t="shared" si="6"/>
        <v/>
      </c>
      <c r="G169" t="str">
        <f t="shared" si="7"/>
        <v/>
      </c>
      <c r="H169" t="str">
        <f t="shared" si="8"/>
        <v/>
      </c>
    </row>
    <row r="170" spans="1:8">
      <c r="A170" t="s">
        <v>329</v>
      </c>
      <c r="B170" s="65">
        <v>-12580.900837498921</v>
      </c>
      <c r="C170" s="68">
        <v>-30580.900837498921</v>
      </c>
      <c r="D170" s="68">
        <v>-6580.9008374989207</v>
      </c>
      <c r="F170" t="str">
        <f t="shared" si="6"/>
        <v/>
      </c>
      <c r="G170" t="str">
        <f t="shared" si="7"/>
        <v/>
      </c>
      <c r="H170" t="str">
        <f t="shared" si="8"/>
        <v/>
      </c>
    </row>
    <row r="171" spans="1:8">
      <c r="A171" t="s">
        <v>289</v>
      </c>
      <c r="B171" s="65">
        <v>-12779.772802496447</v>
      </c>
      <c r="C171" s="68">
        <v>-30779.772802496445</v>
      </c>
      <c r="D171" s="68">
        <v>-6779.7728024964472</v>
      </c>
      <c r="F171" t="str">
        <f t="shared" si="6"/>
        <v/>
      </c>
      <c r="G171" t="str">
        <f t="shared" si="7"/>
        <v/>
      </c>
      <c r="H171" t="str">
        <f t="shared" si="8"/>
        <v/>
      </c>
    </row>
    <row r="172" spans="1:8">
      <c r="A172" t="s">
        <v>396</v>
      </c>
      <c r="B172" s="65">
        <v>-12833.238718479231</v>
      </c>
      <c r="C172" s="68">
        <v>-30833.238718479231</v>
      </c>
      <c r="D172" s="68">
        <v>-6833.2387184792333</v>
      </c>
      <c r="F172" t="str">
        <f t="shared" si="6"/>
        <v/>
      </c>
      <c r="G172" t="str">
        <f t="shared" si="7"/>
        <v/>
      </c>
      <c r="H172" t="str">
        <f t="shared" si="8"/>
        <v/>
      </c>
    </row>
    <row r="173" spans="1:8">
      <c r="A173" t="s">
        <v>304</v>
      </c>
      <c r="B173" s="65">
        <v>-12913.632387086542</v>
      </c>
      <c r="C173" s="68">
        <v>-30913.632387086538</v>
      </c>
      <c r="D173" s="68">
        <v>-6913.6323870865417</v>
      </c>
      <c r="F173" t="str">
        <f t="shared" si="6"/>
        <v/>
      </c>
      <c r="G173" t="str">
        <f t="shared" si="7"/>
        <v/>
      </c>
      <c r="H173" t="str">
        <f t="shared" si="8"/>
        <v/>
      </c>
    </row>
    <row r="174" spans="1:8">
      <c r="A174" t="s">
        <v>172</v>
      </c>
      <c r="B174" s="65">
        <v>-12914.073877021718</v>
      </c>
      <c r="C174" s="68">
        <v>-30914.073877021718</v>
      </c>
      <c r="D174" s="68">
        <v>-6914.0738770217176</v>
      </c>
      <c r="F174" t="str">
        <f t="shared" si="6"/>
        <v/>
      </c>
      <c r="G174" t="str">
        <f t="shared" si="7"/>
        <v/>
      </c>
      <c r="H174" t="str">
        <f t="shared" si="8"/>
        <v/>
      </c>
    </row>
    <row r="175" spans="1:8">
      <c r="A175" t="s">
        <v>169</v>
      </c>
      <c r="B175" s="65">
        <v>-13104.910346373479</v>
      </c>
      <c r="C175" s="68">
        <v>-31104.910346373479</v>
      </c>
      <c r="D175" s="68">
        <v>-7104.9103463734791</v>
      </c>
      <c r="F175" t="str">
        <f t="shared" si="6"/>
        <v/>
      </c>
      <c r="G175" t="str">
        <f t="shared" si="7"/>
        <v/>
      </c>
      <c r="H175" t="str">
        <f t="shared" si="8"/>
        <v/>
      </c>
    </row>
    <row r="176" spans="1:8">
      <c r="A176" t="s">
        <v>254</v>
      </c>
      <c r="B176" s="65">
        <v>-13126.224793633755</v>
      </c>
      <c r="C176" s="68">
        <v>-31126.224793633755</v>
      </c>
      <c r="D176" s="68">
        <v>-7126.2247936337535</v>
      </c>
      <c r="F176" t="str">
        <f t="shared" si="6"/>
        <v/>
      </c>
      <c r="G176" t="str">
        <f t="shared" si="7"/>
        <v/>
      </c>
      <c r="H176" t="str">
        <f t="shared" si="8"/>
        <v/>
      </c>
    </row>
    <row r="177" spans="1:8">
      <c r="A177" t="s">
        <v>230</v>
      </c>
      <c r="B177" s="65">
        <v>-13399.847755689267</v>
      </c>
      <c r="C177" s="68">
        <v>-31399.847755689269</v>
      </c>
      <c r="D177" s="68">
        <v>-7399.8477556892649</v>
      </c>
      <c r="F177" t="str">
        <f t="shared" si="6"/>
        <v/>
      </c>
      <c r="G177" t="str">
        <f t="shared" si="7"/>
        <v/>
      </c>
      <c r="H177" t="str">
        <f t="shared" si="8"/>
        <v/>
      </c>
    </row>
    <row r="178" spans="1:8">
      <c r="A178" t="s">
        <v>291</v>
      </c>
      <c r="B178" s="65">
        <v>-13404.489911510935</v>
      </c>
      <c r="C178" s="68">
        <v>-31404.489911510937</v>
      </c>
      <c r="D178" s="68">
        <v>-7404.4899115109347</v>
      </c>
      <c r="F178" t="str">
        <f t="shared" si="6"/>
        <v/>
      </c>
      <c r="G178" t="str">
        <f t="shared" si="7"/>
        <v/>
      </c>
      <c r="H178" t="str">
        <f t="shared" si="8"/>
        <v/>
      </c>
    </row>
    <row r="179" spans="1:8">
      <c r="A179" t="s">
        <v>147</v>
      </c>
      <c r="B179" s="65">
        <v>-13542.750200733133</v>
      </c>
      <c r="C179" s="68">
        <v>-31542.750200733128</v>
      </c>
      <c r="D179" s="68">
        <v>-7542.7502007331332</v>
      </c>
      <c r="F179" t="str">
        <f t="shared" si="6"/>
        <v/>
      </c>
      <c r="G179" t="str">
        <f t="shared" si="7"/>
        <v/>
      </c>
      <c r="H179" t="str">
        <f t="shared" si="8"/>
        <v/>
      </c>
    </row>
    <row r="180" spans="1:8">
      <c r="A180" t="s">
        <v>273</v>
      </c>
      <c r="B180" s="65">
        <v>-13611.95168285671</v>
      </c>
      <c r="C180" s="68">
        <v>-31611.95168285671</v>
      </c>
      <c r="D180" s="68">
        <v>-7611.9516828567102</v>
      </c>
      <c r="F180" t="str">
        <f t="shared" si="6"/>
        <v/>
      </c>
      <c r="G180" t="str">
        <f t="shared" si="7"/>
        <v/>
      </c>
      <c r="H180" t="str">
        <f t="shared" si="8"/>
        <v/>
      </c>
    </row>
    <row r="181" spans="1:8">
      <c r="A181" t="s">
        <v>143</v>
      </c>
      <c r="B181" s="65">
        <v>-13849.025336666664</v>
      </c>
      <c r="C181" s="68">
        <v>-31849.025336666666</v>
      </c>
      <c r="D181" s="68">
        <v>-7849.0253366666639</v>
      </c>
      <c r="F181" t="str">
        <f t="shared" si="6"/>
        <v/>
      </c>
      <c r="G181" t="str">
        <f t="shared" si="7"/>
        <v/>
      </c>
      <c r="H181" t="str">
        <f t="shared" si="8"/>
        <v/>
      </c>
    </row>
    <row r="182" spans="1:8">
      <c r="A182" t="s">
        <v>261</v>
      </c>
      <c r="B182" s="65">
        <v>-13992.213753731359</v>
      </c>
      <c r="C182" s="68">
        <v>-31992.213753731361</v>
      </c>
      <c r="D182" s="68">
        <v>-7992.2137537313592</v>
      </c>
      <c r="F182" t="str">
        <f t="shared" si="6"/>
        <v/>
      </c>
      <c r="G182" t="str">
        <f t="shared" si="7"/>
        <v/>
      </c>
      <c r="H182" t="str">
        <f t="shared" si="8"/>
        <v/>
      </c>
    </row>
    <row r="183" spans="1:8">
      <c r="A183" t="s">
        <v>275</v>
      </c>
      <c r="B183" s="65">
        <v>-14034.096626046277</v>
      </c>
      <c r="C183" s="68">
        <v>-32034.096626046281</v>
      </c>
      <c r="D183" s="68">
        <v>-8034.0966260462774</v>
      </c>
      <c r="F183" t="str">
        <f t="shared" si="6"/>
        <v/>
      </c>
      <c r="G183" t="str">
        <f t="shared" si="7"/>
        <v/>
      </c>
      <c r="H183" t="str">
        <f t="shared" si="8"/>
        <v/>
      </c>
    </row>
    <row r="184" spans="1:8">
      <c r="A184" t="s">
        <v>249</v>
      </c>
      <c r="B184" s="65">
        <v>-14461.713216666665</v>
      </c>
      <c r="C184" s="68">
        <v>-32461.713216666663</v>
      </c>
      <c r="D184" s="68">
        <v>-8461.7132166666652</v>
      </c>
      <c r="F184" t="str">
        <f t="shared" si="6"/>
        <v/>
      </c>
      <c r="G184" t="str">
        <f t="shared" si="7"/>
        <v/>
      </c>
      <c r="H184" t="str">
        <f t="shared" si="8"/>
        <v/>
      </c>
    </row>
    <row r="185" spans="1:8">
      <c r="A185" t="s">
        <v>378</v>
      </c>
      <c r="B185" s="65">
        <v>-14495.538417580125</v>
      </c>
      <c r="C185" s="68">
        <v>-32495.538417580123</v>
      </c>
      <c r="D185" s="68">
        <v>-8495.5384175801264</v>
      </c>
      <c r="F185" t="str">
        <f t="shared" si="6"/>
        <v/>
      </c>
      <c r="G185" t="str">
        <f t="shared" si="7"/>
        <v/>
      </c>
      <c r="H185" t="str">
        <f t="shared" si="8"/>
        <v/>
      </c>
    </row>
    <row r="186" spans="1:8">
      <c r="A186" t="s">
        <v>312</v>
      </c>
      <c r="B186" s="65">
        <v>-14539.802066489727</v>
      </c>
      <c r="C186" s="68">
        <v>-32539.802066489727</v>
      </c>
      <c r="D186" s="68">
        <v>-8539.8020664897249</v>
      </c>
      <c r="F186" t="str">
        <f t="shared" si="6"/>
        <v/>
      </c>
      <c r="G186" t="str">
        <f t="shared" si="7"/>
        <v/>
      </c>
      <c r="H186" t="str">
        <f t="shared" si="8"/>
        <v/>
      </c>
    </row>
    <row r="187" spans="1:8">
      <c r="A187" t="s">
        <v>374</v>
      </c>
      <c r="B187" s="65">
        <v>-14741.847645288279</v>
      </c>
      <c r="C187" s="68">
        <v>-32741.847645288275</v>
      </c>
      <c r="D187" s="68">
        <v>-8741.8476452882787</v>
      </c>
      <c r="F187" t="str">
        <f t="shared" si="6"/>
        <v/>
      </c>
      <c r="G187" t="str">
        <f t="shared" si="7"/>
        <v/>
      </c>
      <c r="H187" t="str">
        <f t="shared" si="8"/>
        <v/>
      </c>
    </row>
    <row r="188" spans="1:8">
      <c r="A188" t="s">
        <v>377</v>
      </c>
      <c r="B188" s="65">
        <v>-14833.773153383499</v>
      </c>
      <c r="C188" s="68">
        <v>-32833.773153383503</v>
      </c>
      <c r="D188" s="68">
        <v>-8833.7731533834994</v>
      </c>
      <c r="F188" t="str">
        <f t="shared" si="6"/>
        <v/>
      </c>
      <c r="G188" t="str">
        <f t="shared" si="7"/>
        <v/>
      </c>
      <c r="H188" t="str">
        <f t="shared" si="8"/>
        <v/>
      </c>
    </row>
    <row r="189" spans="1:8">
      <c r="A189" t="s">
        <v>297</v>
      </c>
      <c r="B189" s="65">
        <v>-14871.475820417805</v>
      </c>
      <c r="C189" s="68">
        <v>-32871.475820417807</v>
      </c>
      <c r="D189" s="68">
        <v>-8871.475820417807</v>
      </c>
      <c r="F189" t="str">
        <f t="shared" si="6"/>
        <v/>
      </c>
      <c r="G189" t="str">
        <f t="shared" si="7"/>
        <v/>
      </c>
      <c r="H189" t="str">
        <f t="shared" si="8"/>
        <v/>
      </c>
    </row>
    <row r="190" spans="1:8">
      <c r="A190" t="s">
        <v>150</v>
      </c>
      <c r="B190" s="65">
        <v>-14874.876106666667</v>
      </c>
      <c r="C190" s="68">
        <v>-32874.876106666663</v>
      </c>
      <c r="D190" s="68">
        <v>-8874.8761066666666</v>
      </c>
      <c r="F190" t="str">
        <f t="shared" si="6"/>
        <v/>
      </c>
      <c r="G190" t="str">
        <f t="shared" si="7"/>
        <v/>
      </c>
      <c r="H190" t="str">
        <f t="shared" si="8"/>
        <v/>
      </c>
    </row>
    <row r="191" spans="1:8">
      <c r="A191" t="s">
        <v>96</v>
      </c>
      <c r="B191" s="65">
        <v>-14892.341246666661</v>
      </c>
      <c r="C191" s="68">
        <v>-32892.341246666663</v>
      </c>
      <c r="D191" s="68">
        <v>-8892.3412466666614</v>
      </c>
      <c r="F191" t="str">
        <f t="shared" si="6"/>
        <v/>
      </c>
      <c r="G191" t="str">
        <f t="shared" si="7"/>
        <v/>
      </c>
      <c r="H191" t="str">
        <f t="shared" si="8"/>
        <v/>
      </c>
    </row>
    <row r="192" spans="1:8">
      <c r="A192" t="s">
        <v>357</v>
      </c>
      <c r="B192" s="65">
        <v>-15025.536143105292</v>
      </c>
      <c r="C192" s="68">
        <v>-33025.536143105295</v>
      </c>
      <c r="D192" s="68">
        <v>-9025.5361431052916</v>
      </c>
      <c r="F192" t="str">
        <f t="shared" si="6"/>
        <v/>
      </c>
      <c r="G192" t="str">
        <f t="shared" si="7"/>
        <v/>
      </c>
      <c r="H192" t="str">
        <f t="shared" si="8"/>
        <v/>
      </c>
    </row>
    <row r="193" spans="1:8">
      <c r="A193" t="s">
        <v>152</v>
      </c>
      <c r="B193" s="65">
        <v>-15079.82983667338</v>
      </c>
      <c r="C193" s="68">
        <v>-33079.82983667338</v>
      </c>
      <c r="D193" s="68">
        <v>-9079.8298366733798</v>
      </c>
      <c r="F193" t="str">
        <f t="shared" si="6"/>
        <v/>
      </c>
      <c r="G193" t="str">
        <f t="shared" si="7"/>
        <v/>
      </c>
      <c r="H193" t="str">
        <f t="shared" si="8"/>
        <v/>
      </c>
    </row>
    <row r="194" spans="1:8">
      <c r="A194" t="s">
        <v>164</v>
      </c>
      <c r="B194" s="65">
        <v>-15206.014443937542</v>
      </c>
      <c r="C194" s="68">
        <v>-33206.014443937544</v>
      </c>
      <c r="D194" s="68">
        <v>-9206.0144439375417</v>
      </c>
      <c r="F194" t="str">
        <f t="shared" si="6"/>
        <v/>
      </c>
      <c r="G194" t="str">
        <f t="shared" si="7"/>
        <v/>
      </c>
      <c r="H194" t="str">
        <f t="shared" si="8"/>
        <v/>
      </c>
    </row>
    <row r="195" spans="1:8">
      <c r="A195" t="s">
        <v>148</v>
      </c>
      <c r="B195" s="65">
        <v>-15329.284886666661</v>
      </c>
      <c r="C195" s="68">
        <v>-33329.284886666661</v>
      </c>
      <c r="D195" s="68">
        <v>-9329.2848866666609</v>
      </c>
      <c r="F195" t="str">
        <f t="shared" ref="F195:F246" si="9">IF(B195&gt;6000,1,"")</f>
        <v/>
      </c>
      <c r="G195" t="str">
        <f t="shared" ref="G195:G246" si="10">IF(C195&gt;0,1,"")</f>
        <v/>
      </c>
      <c r="H195" t="str">
        <f t="shared" ref="H195:H246" si="11">IF(C195+D195&gt;0,1,"")</f>
        <v/>
      </c>
    </row>
    <row r="196" spans="1:8">
      <c r="A196" t="s">
        <v>327</v>
      </c>
      <c r="B196" s="65">
        <v>-15374.243352497022</v>
      </c>
      <c r="C196" s="68">
        <v>-33374.243352497018</v>
      </c>
      <c r="D196" s="68">
        <v>-9374.243352497022</v>
      </c>
      <c r="F196" t="str">
        <f t="shared" si="9"/>
        <v/>
      </c>
      <c r="G196" t="str">
        <f t="shared" si="10"/>
        <v/>
      </c>
      <c r="H196" t="str">
        <f t="shared" si="11"/>
        <v/>
      </c>
    </row>
    <row r="197" spans="1:8">
      <c r="A197" t="s">
        <v>299</v>
      </c>
      <c r="B197" s="65">
        <v>-15518.383009885903</v>
      </c>
      <c r="C197" s="68">
        <v>-33518.383009885903</v>
      </c>
      <c r="D197" s="68">
        <v>-9518.3830098859034</v>
      </c>
      <c r="F197" t="str">
        <f t="shared" si="9"/>
        <v/>
      </c>
      <c r="G197" t="str">
        <f t="shared" si="10"/>
        <v/>
      </c>
      <c r="H197" t="str">
        <f t="shared" si="11"/>
        <v/>
      </c>
    </row>
    <row r="198" spans="1:8">
      <c r="A198" t="s">
        <v>256</v>
      </c>
      <c r="B198" s="65">
        <v>-15526.392916666664</v>
      </c>
      <c r="C198" s="68">
        <v>-33526.392916666664</v>
      </c>
      <c r="D198" s="68">
        <v>-9526.392916666664</v>
      </c>
      <c r="F198" t="str">
        <f t="shared" si="9"/>
        <v/>
      </c>
      <c r="G198" t="str">
        <f t="shared" si="10"/>
        <v/>
      </c>
      <c r="H198" t="str">
        <f t="shared" si="11"/>
        <v/>
      </c>
    </row>
    <row r="199" spans="1:8">
      <c r="A199" t="s">
        <v>337</v>
      </c>
      <c r="B199" s="65">
        <v>-15950.705336666664</v>
      </c>
      <c r="C199" s="68">
        <v>-33950.705336666666</v>
      </c>
      <c r="D199" s="68">
        <v>-9950.7053366666642</v>
      </c>
      <c r="F199" t="str">
        <f t="shared" si="9"/>
        <v/>
      </c>
      <c r="G199" t="str">
        <f t="shared" si="10"/>
        <v/>
      </c>
      <c r="H199" t="str">
        <f t="shared" si="11"/>
        <v/>
      </c>
    </row>
    <row r="200" spans="1:8">
      <c r="A200" t="s">
        <v>259</v>
      </c>
      <c r="B200" s="65">
        <v>-16083.431490612258</v>
      </c>
      <c r="C200" s="68">
        <v>-34083.43149061226</v>
      </c>
      <c r="D200" s="68">
        <v>-10083.431490612258</v>
      </c>
      <c r="F200" t="str">
        <f t="shared" si="9"/>
        <v/>
      </c>
      <c r="G200" t="str">
        <f t="shared" si="10"/>
        <v/>
      </c>
      <c r="H200" t="str">
        <f t="shared" si="11"/>
        <v/>
      </c>
    </row>
    <row r="201" spans="1:8">
      <c r="A201" t="s">
        <v>247</v>
      </c>
      <c r="B201" s="65">
        <v>-16200.481996666666</v>
      </c>
      <c r="C201" s="68">
        <v>-34200.481996666669</v>
      </c>
      <c r="D201" s="68">
        <v>-10200.481996666666</v>
      </c>
      <c r="F201" t="str">
        <f t="shared" si="9"/>
        <v/>
      </c>
      <c r="G201" t="str">
        <f t="shared" si="10"/>
        <v/>
      </c>
      <c r="H201" t="str">
        <f t="shared" si="11"/>
        <v/>
      </c>
    </row>
    <row r="202" spans="1:8">
      <c r="A202" t="s">
        <v>270</v>
      </c>
      <c r="B202" s="65">
        <v>-16213.74557084851</v>
      </c>
      <c r="C202" s="68">
        <v>-34213.745570848507</v>
      </c>
      <c r="D202" s="68">
        <v>-10213.74557084851</v>
      </c>
      <c r="F202" t="str">
        <f t="shared" si="9"/>
        <v/>
      </c>
      <c r="G202" t="str">
        <f t="shared" si="10"/>
        <v/>
      </c>
      <c r="H202" t="str">
        <f t="shared" si="11"/>
        <v/>
      </c>
    </row>
    <row r="203" spans="1:8">
      <c r="A203" t="s">
        <v>159</v>
      </c>
      <c r="B203" s="65">
        <v>-16284.825293574037</v>
      </c>
      <c r="C203" s="68">
        <v>-34284.825293574031</v>
      </c>
      <c r="D203" s="68">
        <v>-10284.825293574037</v>
      </c>
      <c r="F203" t="str">
        <f t="shared" si="9"/>
        <v/>
      </c>
      <c r="G203" t="str">
        <f t="shared" si="10"/>
        <v/>
      </c>
      <c r="H203" t="str">
        <f t="shared" si="11"/>
        <v/>
      </c>
    </row>
    <row r="204" spans="1:8">
      <c r="A204" t="s">
        <v>363</v>
      </c>
      <c r="B204" s="65">
        <v>-16497.227114499892</v>
      </c>
      <c r="C204" s="68">
        <v>-34497.227114499896</v>
      </c>
      <c r="D204" s="68">
        <v>-10497.227114499892</v>
      </c>
      <c r="F204" t="str">
        <f t="shared" si="9"/>
        <v/>
      </c>
      <c r="G204" t="str">
        <f t="shared" si="10"/>
        <v/>
      </c>
      <c r="H204" t="str">
        <f t="shared" si="11"/>
        <v/>
      </c>
    </row>
    <row r="205" spans="1:8">
      <c r="A205" t="s">
        <v>323</v>
      </c>
      <c r="B205" s="65">
        <v>-16975.106260047287</v>
      </c>
      <c r="C205" s="68">
        <v>-34975.106260047287</v>
      </c>
      <c r="D205" s="68">
        <v>-10975.106260047289</v>
      </c>
      <c r="F205" t="str">
        <f t="shared" si="9"/>
        <v/>
      </c>
      <c r="G205" t="str">
        <f t="shared" si="10"/>
        <v/>
      </c>
      <c r="H205" t="str">
        <f t="shared" si="11"/>
        <v/>
      </c>
    </row>
    <row r="206" spans="1:8">
      <c r="A206" t="s">
        <v>280</v>
      </c>
      <c r="B206" s="65">
        <v>-17001.382239280443</v>
      </c>
      <c r="C206" s="68">
        <v>-35001.382239280443</v>
      </c>
      <c r="D206" s="68">
        <v>-11001.382239280445</v>
      </c>
      <c r="F206" t="str">
        <f t="shared" si="9"/>
        <v/>
      </c>
      <c r="G206" t="str">
        <f t="shared" si="10"/>
        <v/>
      </c>
      <c r="H206" t="str">
        <f t="shared" si="11"/>
        <v/>
      </c>
    </row>
    <row r="207" spans="1:8">
      <c r="A207" t="s">
        <v>184</v>
      </c>
      <c r="B207" s="65">
        <v>-17050.934237609974</v>
      </c>
      <c r="C207" s="68">
        <v>-35050.934237609974</v>
      </c>
      <c r="D207" s="68">
        <v>-11050.934237609972</v>
      </c>
      <c r="F207" t="str">
        <f t="shared" si="9"/>
        <v/>
      </c>
      <c r="G207" t="str">
        <f t="shared" si="10"/>
        <v/>
      </c>
      <c r="H207" t="str">
        <f t="shared" si="11"/>
        <v/>
      </c>
    </row>
    <row r="208" spans="1:8">
      <c r="A208" t="s">
        <v>99</v>
      </c>
      <c r="B208" s="65">
        <v>-17118.305336666665</v>
      </c>
      <c r="C208" s="68">
        <v>-35118.305336666665</v>
      </c>
      <c r="D208" s="68">
        <v>-11118.305336666663</v>
      </c>
      <c r="F208" t="str">
        <f t="shared" si="9"/>
        <v/>
      </c>
      <c r="G208" t="str">
        <f t="shared" si="10"/>
        <v/>
      </c>
      <c r="H208" t="str">
        <f t="shared" si="11"/>
        <v/>
      </c>
    </row>
    <row r="209" spans="1:8">
      <c r="A209" t="s">
        <v>402</v>
      </c>
      <c r="B209" s="65">
        <v>-17542.561850666327</v>
      </c>
      <c r="C209" s="68">
        <v>-35542.56185066633</v>
      </c>
      <c r="D209" s="68">
        <v>-11542.561850666327</v>
      </c>
      <c r="F209" t="str">
        <f t="shared" si="9"/>
        <v/>
      </c>
      <c r="G209" t="str">
        <f t="shared" si="10"/>
        <v/>
      </c>
      <c r="H209" t="str">
        <f t="shared" si="11"/>
        <v/>
      </c>
    </row>
    <row r="210" spans="1:8">
      <c r="A210" t="s">
        <v>161</v>
      </c>
      <c r="B210" s="65">
        <v>-17679.533066666663</v>
      </c>
      <c r="C210" s="68">
        <v>-35679.533066666663</v>
      </c>
      <c r="D210" s="68">
        <v>-11679.533066666661</v>
      </c>
      <c r="F210" t="str">
        <f t="shared" si="9"/>
        <v/>
      </c>
      <c r="G210" t="str">
        <f t="shared" si="10"/>
        <v/>
      </c>
      <c r="H210" t="str">
        <f t="shared" si="11"/>
        <v/>
      </c>
    </row>
    <row r="211" spans="1:8">
      <c r="A211" t="s">
        <v>101</v>
      </c>
      <c r="B211" s="65">
        <v>-17926.748566891391</v>
      </c>
      <c r="C211" s="68">
        <v>-35926.748566891394</v>
      </c>
      <c r="D211" s="68">
        <v>-11926.748566891391</v>
      </c>
      <c r="F211" t="str">
        <f t="shared" si="9"/>
        <v/>
      </c>
      <c r="G211" t="str">
        <f t="shared" si="10"/>
        <v/>
      </c>
      <c r="H211" t="str">
        <f t="shared" si="11"/>
        <v/>
      </c>
    </row>
    <row r="212" spans="1:8">
      <c r="A212" t="s">
        <v>252</v>
      </c>
      <c r="B212" s="65">
        <v>-17969.464126733954</v>
      </c>
      <c r="C212" s="68">
        <v>-35969.464126733954</v>
      </c>
      <c r="D212" s="68">
        <v>-11969.464126733952</v>
      </c>
      <c r="F212" t="str">
        <f t="shared" si="9"/>
        <v/>
      </c>
      <c r="G212" t="str">
        <f t="shared" si="10"/>
        <v/>
      </c>
      <c r="H212" t="str">
        <f t="shared" si="11"/>
        <v/>
      </c>
    </row>
    <row r="213" spans="1:8">
      <c r="A213" t="s">
        <v>307</v>
      </c>
      <c r="B213" s="65">
        <v>-18052.992870159913</v>
      </c>
      <c r="C213" s="68">
        <v>-36052.992870159913</v>
      </c>
      <c r="D213" s="68">
        <v>-12052.992870159913</v>
      </c>
      <c r="F213" t="str">
        <f t="shared" si="9"/>
        <v/>
      </c>
      <c r="G213" t="str">
        <f t="shared" si="10"/>
        <v/>
      </c>
      <c r="H213" t="str">
        <f t="shared" si="11"/>
        <v/>
      </c>
    </row>
    <row r="214" spans="1:8">
      <c r="A214" t="s">
        <v>373</v>
      </c>
      <c r="B214" s="65">
        <v>-18058.484961646191</v>
      </c>
      <c r="C214" s="68">
        <v>-36058.484961646194</v>
      </c>
      <c r="D214" s="68">
        <v>-12058.484961646191</v>
      </c>
      <c r="F214" t="str">
        <f t="shared" si="9"/>
        <v/>
      </c>
      <c r="G214" t="str">
        <f t="shared" si="10"/>
        <v/>
      </c>
      <c r="H214" t="str">
        <f t="shared" si="11"/>
        <v/>
      </c>
    </row>
    <row r="215" spans="1:8">
      <c r="A215" t="s">
        <v>153</v>
      </c>
      <c r="B215" s="65">
        <v>-18331.049876666668</v>
      </c>
      <c r="C215" s="68">
        <v>-36331.049876666671</v>
      </c>
      <c r="D215" s="68">
        <v>-12331.049876666668</v>
      </c>
      <c r="F215" t="str">
        <f t="shared" si="9"/>
        <v/>
      </c>
      <c r="G215" t="str">
        <f t="shared" si="10"/>
        <v/>
      </c>
      <c r="H215" t="str">
        <f t="shared" si="11"/>
        <v/>
      </c>
    </row>
    <row r="216" spans="1:8">
      <c r="A216" t="s">
        <v>334</v>
      </c>
      <c r="B216" s="65">
        <v>-18352.721180215449</v>
      </c>
      <c r="C216" s="68">
        <v>-36352.721180215449</v>
      </c>
      <c r="D216" s="68">
        <v>-12352.721180215447</v>
      </c>
      <c r="F216" t="str">
        <f t="shared" si="9"/>
        <v/>
      </c>
      <c r="G216" t="str">
        <f t="shared" si="10"/>
        <v/>
      </c>
      <c r="H216" t="str">
        <f t="shared" si="11"/>
        <v/>
      </c>
    </row>
    <row r="217" spans="1:8">
      <c r="A217" t="s">
        <v>166</v>
      </c>
      <c r="B217" s="65">
        <v>-18373.023093294527</v>
      </c>
      <c r="C217" s="68">
        <v>-36373.023093294527</v>
      </c>
      <c r="D217" s="68">
        <v>-12373.023093294523</v>
      </c>
      <c r="F217" t="str">
        <f t="shared" si="9"/>
        <v/>
      </c>
      <c r="G217" t="str">
        <f t="shared" si="10"/>
        <v/>
      </c>
      <c r="H217" t="str">
        <f t="shared" si="11"/>
        <v/>
      </c>
    </row>
    <row r="218" spans="1:8">
      <c r="A218" t="s">
        <v>362</v>
      </c>
      <c r="B218" s="65">
        <v>-18765.272761938479</v>
      </c>
      <c r="C218" s="68">
        <v>-36765.272761938482</v>
      </c>
      <c r="D218" s="68">
        <v>-12765.272761938479</v>
      </c>
      <c r="F218" t="str">
        <f t="shared" si="9"/>
        <v/>
      </c>
      <c r="G218" t="str">
        <f t="shared" si="10"/>
        <v/>
      </c>
      <c r="H218" t="str">
        <f t="shared" si="11"/>
        <v/>
      </c>
    </row>
    <row r="219" spans="1:8">
      <c r="A219" t="s">
        <v>272</v>
      </c>
      <c r="B219" s="65">
        <v>-18802.592766666665</v>
      </c>
      <c r="C219" s="68">
        <v>-36802.592766666668</v>
      </c>
      <c r="D219" s="68">
        <v>-12802.592766666665</v>
      </c>
      <c r="F219" t="str">
        <f t="shared" si="9"/>
        <v/>
      </c>
      <c r="G219" t="str">
        <f t="shared" si="10"/>
        <v/>
      </c>
      <c r="H219" t="str">
        <f t="shared" si="11"/>
        <v/>
      </c>
    </row>
    <row r="220" spans="1:8">
      <c r="A220" t="s">
        <v>335</v>
      </c>
      <c r="B220" s="65">
        <v>-19781.157534538401</v>
      </c>
      <c r="C220" s="68">
        <v>-37781.157534538404</v>
      </c>
      <c r="D220" s="68">
        <v>-13781.157534538401</v>
      </c>
      <c r="F220" t="str">
        <f t="shared" si="9"/>
        <v/>
      </c>
      <c r="G220" t="str">
        <f t="shared" si="10"/>
        <v/>
      </c>
      <c r="H220" t="str">
        <f t="shared" si="11"/>
        <v/>
      </c>
    </row>
    <row r="221" spans="1:8">
      <c r="A221" t="s">
        <v>392</v>
      </c>
      <c r="B221" s="65">
        <v>-19924.878417580127</v>
      </c>
      <c r="C221" s="68">
        <v>-37924.878417580127</v>
      </c>
      <c r="D221" s="68">
        <v>-13924.878417580127</v>
      </c>
      <c r="F221" t="str">
        <f t="shared" si="9"/>
        <v/>
      </c>
      <c r="G221" t="str">
        <f t="shared" si="10"/>
        <v/>
      </c>
      <c r="H221" t="str">
        <f t="shared" si="11"/>
        <v/>
      </c>
    </row>
    <row r="222" spans="1:8">
      <c r="A222" t="s">
        <v>324</v>
      </c>
      <c r="B222" s="65">
        <v>-20366.880313779562</v>
      </c>
      <c r="C222" s="68">
        <v>-38366.880313779562</v>
      </c>
      <c r="D222" s="68">
        <v>-14366.88031377956</v>
      </c>
      <c r="F222" t="str">
        <f t="shared" si="9"/>
        <v/>
      </c>
      <c r="G222" t="str">
        <f t="shared" si="10"/>
        <v/>
      </c>
      <c r="H222" t="str">
        <f t="shared" si="11"/>
        <v/>
      </c>
    </row>
    <row r="223" spans="1:8">
      <c r="A223" t="s">
        <v>382</v>
      </c>
      <c r="B223" s="65">
        <v>-20988.526470525539</v>
      </c>
      <c r="C223" s="68">
        <v>-38988.526470525539</v>
      </c>
      <c r="D223" s="68">
        <v>-14988.526470525538</v>
      </c>
      <c r="F223" t="str">
        <f t="shared" si="9"/>
        <v/>
      </c>
      <c r="G223" t="str">
        <f t="shared" si="10"/>
        <v/>
      </c>
      <c r="H223" t="str">
        <f t="shared" si="11"/>
        <v/>
      </c>
    </row>
    <row r="224" spans="1:8">
      <c r="A224" t="s">
        <v>318</v>
      </c>
      <c r="B224" s="65">
        <v>-21296.224616948562</v>
      </c>
      <c r="C224" s="68">
        <v>-39296.224616948559</v>
      </c>
      <c r="D224" s="68">
        <v>-15296.224616948562</v>
      </c>
      <c r="F224" t="str">
        <f t="shared" si="9"/>
        <v/>
      </c>
      <c r="G224" t="str">
        <f t="shared" si="10"/>
        <v/>
      </c>
      <c r="H224" t="str">
        <f t="shared" si="11"/>
        <v/>
      </c>
    </row>
    <row r="225" spans="1:8">
      <c r="A225" t="s">
        <v>394</v>
      </c>
      <c r="B225" s="65">
        <v>-21578.019177091875</v>
      </c>
      <c r="C225" s="68">
        <v>-39578.019177091875</v>
      </c>
      <c r="D225" s="68">
        <v>-15578.019177091877</v>
      </c>
      <c r="F225" t="str">
        <f t="shared" si="9"/>
        <v/>
      </c>
      <c r="G225" t="str">
        <f t="shared" si="10"/>
        <v/>
      </c>
      <c r="H225" t="str">
        <f t="shared" si="11"/>
        <v/>
      </c>
    </row>
    <row r="226" spans="1:8">
      <c r="A226" t="s">
        <v>320</v>
      </c>
      <c r="B226" s="65">
        <v>-21781.91537079429</v>
      </c>
      <c r="C226" s="68">
        <v>-39781.91537079429</v>
      </c>
      <c r="D226" s="68">
        <v>-15781.91537079429</v>
      </c>
      <c r="F226" t="str">
        <f t="shared" si="9"/>
        <v/>
      </c>
      <c r="G226" t="str">
        <f t="shared" si="10"/>
        <v/>
      </c>
      <c r="H226" t="str">
        <f t="shared" si="11"/>
        <v/>
      </c>
    </row>
    <row r="227" spans="1:8">
      <c r="A227" t="s">
        <v>389</v>
      </c>
      <c r="B227" s="65">
        <v>-22343.794018450568</v>
      </c>
      <c r="C227" s="68">
        <v>-40343.794018450571</v>
      </c>
      <c r="D227" s="68">
        <v>-16343.794018450568</v>
      </c>
      <c r="F227" t="str">
        <f t="shared" si="9"/>
        <v/>
      </c>
      <c r="G227" t="str">
        <f t="shared" si="10"/>
        <v/>
      </c>
      <c r="H227" t="str">
        <f t="shared" si="11"/>
        <v/>
      </c>
    </row>
    <row r="228" spans="1:8">
      <c r="A228" t="s">
        <v>393</v>
      </c>
      <c r="B228" s="65">
        <v>-22532.687089662126</v>
      </c>
      <c r="C228" s="68">
        <v>-40532.687089662126</v>
      </c>
      <c r="D228" s="68">
        <v>-16532.687089662126</v>
      </c>
      <c r="F228" t="str">
        <f t="shared" si="9"/>
        <v/>
      </c>
      <c r="G228" t="str">
        <f t="shared" si="10"/>
        <v/>
      </c>
      <c r="H228" t="str">
        <f t="shared" si="11"/>
        <v/>
      </c>
    </row>
    <row r="229" spans="1:8">
      <c r="A229" t="s">
        <v>390</v>
      </c>
      <c r="B229" s="65">
        <v>-22610.07018658641</v>
      </c>
      <c r="C229" s="68">
        <v>-40610.07018658641</v>
      </c>
      <c r="D229" s="68">
        <v>-16610.07018658641</v>
      </c>
      <c r="F229" t="str">
        <f t="shared" si="9"/>
        <v/>
      </c>
      <c r="G229" t="str">
        <f t="shared" si="10"/>
        <v/>
      </c>
      <c r="H229" t="str">
        <f t="shared" si="11"/>
        <v/>
      </c>
    </row>
    <row r="230" spans="1:8">
      <c r="A230" t="s">
        <v>239</v>
      </c>
      <c r="B230" s="65">
        <v>-22754.80626758013</v>
      </c>
      <c r="C230" s="68">
        <v>-40754.806267580134</v>
      </c>
      <c r="D230" s="68">
        <v>-16754.80626758013</v>
      </c>
      <c r="F230" t="str">
        <f t="shared" si="9"/>
        <v/>
      </c>
      <c r="G230" t="str">
        <f t="shared" si="10"/>
        <v/>
      </c>
      <c r="H230" t="str">
        <f t="shared" si="11"/>
        <v/>
      </c>
    </row>
    <row r="231" spans="1:8">
      <c r="A231" t="s">
        <v>385</v>
      </c>
      <c r="B231" s="65">
        <v>-22926.237494726793</v>
      </c>
      <c r="C231" s="68">
        <v>-40926.237494726796</v>
      </c>
      <c r="D231" s="68">
        <v>-16926.237494726793</v>
      </c>
      <c r="F231" t="str">
        <f t="shared" si="9"/>
        <v/>
      </c>
      <c r="G231" t="str">
        <f t="shared" si="10"/>
        <v/>
      </c>
      <c r="H231" t="str">
        <f t="shared" si="11"/>
        <v/>
      </c>
    </row>
    <row r="232" spans="1:8">
      <c r="A232" t="s">
        <v>352</v>
      </c>
      <c r="B232" s="65">
        <v>-23832.750259229597</v>
      </c>
      <c r="C232" s="68">
        <v>-41832.750259229593</v>
      </c>
      <c r="D232" s="68">
        <v>-17832.750259229593</v>
      </c>
      <c r="F232" t="str">
        <f t="shared" si="9"/>
        <v/>
      </c>
      <c r="G232" t="str">
        <f t="shared" si="10"/>
        <v/>
      </c>
      <c r="H232" t="str">
        <f t="shared" si="11"/>
        <v/>
      </c>
    </row>
    <row r="233" spans="1:8">
      <c r="A233" t="s">
        <v>346</v>
      </c>
      <c r="B233" s="65">
        <v>-24206.23124428669</v>
      </c>
      <c r="C233" s="68">
        <v>-42206.231244286682</v>
      </c>
      <c r="D233" s="68">
        <v>-18206.23124428669</v>
      </c>
      <c r="F233" t="str">
        <f t="shared" si="9"/>
        <v/>
      </c>
      <c r="G233" t="str">
        <f t="shared" si="10"/>
        <v/>
      </c>
      <c r="H233" t="str">
        <f t="shared" si="11"/>
        <v/>
      </c>
    </row>
    <row r="234" spans="1:8">
      <c r="A234" t="s">
        <v>383</v>
      </c>
      <c r="B234" s="65">
        <v>-24889.213095055777</v>
      </c>
      <c r="C234" s="68">
        <v>-42889.213095055777</v>
      </c>
      <c r="D234" s="68">
        <v>-18889.213095055777</v>
      </c>
      <c r="F234" t="str">
        <f t="shared" si="9"/>
        <v/>
      </c>
      <c r="G234" t="str">
        <f t="shared" si="10"/>
        <v/>
      </c>
      <c r="H234" t="str">
        <f t="shared" si="11"/>
        <v/>
      </c>
    </row>
    <row r="235" spans="1:8">
      <c r="A235" t="s">
        <v>342</v>
      </c>
      <c r="B235" s="65">
        <v>-25046.562125695371</v>
      </c>
      <c r="C235" s="68">
        <v>-43046.562125695375</v>
      </c>
      <c r="D235" s="68">
        <v>-19046.562125695371</v>
      </c>
      <c r="F235" t="str">
        <f t="shared" si="9"/>
        <v/>
      </c>
      <c r="G235" t="str">
        <f t="shared" si="10"/>
        <v/>
      </c>
      <c r="H235" t="str">
        <f t="shared" si="11"/>
        <v/>
      </c>
    </row>
    <row r="236" spans="1:8">
      <c r="A236" t="s">
        <v>309</v>
      </c>
      <c r="B236" s="65">
        <v>-25450.643527676151</v>
      </c>
      <c r="C236" s="68">
        <v>-43450.643527676148</v>
      </c>
      <c r="D236" s="68">
        <v>-19450.643527676151</v>
      </c>
      <c r="F236" t="str">
        <f t="shared" si="9"/>
        <v/>
      </c>
      <c r="G236" t="str">
        <f t="shared" si="10"/>
        <v/>
      </c>
      <c r="H236" t="str">
        <f t="shared" si="11"/>
        <v/>
      </c>
    </row>
    <row r="237" spans="1:8">
      <c r="A237" t="s">
        <v>371</v>
      </c>
      <c r="B237" s="65">
        <v>-25957.952802558259</v>
      </c>
      <c r="C237" s="68">
        <v>-43957.952802558255</v>
      </c>
      <c r="D237" s="68">
        <v>-19957.952802558259</v>
      </c>
      <c r="F237" t="str">
        <f t="shared" si="9"/>
        <v/>
      </c>
      <c r="G237" t="str">
        <f t="shared" si="10"/>
        <v/>
      </c>
      <c r="H237" t="str">
        <f t="shared" si="11"/>
        <v/>
      </c>
    </row>
    <row r="238" spans="1:8">
      <c r="A238" t="s">
        <v>403</v>
      </c>
      <c r="B238" s="65">
        <v>-26256.62390592918</v>
      </c>
      <c r="C238" s="68">
        <v>-44256.623905929184</v>
      </c>
      <c r="D238" s="68">
        <v>-20256.62390592918</v>
      </c>
      <c r="F238" t="str">
        <f t="shared" si="9"/>
        <v/>
      </c>
      <c r="G238" t="str">
        <f t="shared" si="10"/>
        <v/>
      </c>
      <c r="H238" t="str">
        <f t="shared" si="11"/>
        <v/>
      </c>
    </row>
    <row r="239" spans="1:8">
      <c r="A239" t="s">
        <v>398</v>
      </c>
      <c r="B239" s="65">
        <v>-26385.145509659229</v>
      </c>
      <c r="C239" s="68">
        <v>-44385.145509659233</v>
      </c>
      <c r="D239" s="68">
        <v>-20385.145509659229</v>
      </c>
      <c r="F239" t="str">
        <f t="shared" si="9"/>
        <v/>
      </c>
      <c r="G239" t="str">
        <f t="shared" si="10"/>
        <v/>
      </c>
      <c r="H239" t="str">
        <f t="shared" si="11"/>
        <v/>
      </c>
    </row>
    <row r="240" spans="1:8">
      <c r="A240" t="s">
        <v>395</v>
      </c>
      <c r="B240" s="65">
        <v>-26576.644069087521</v>
      </c>
      <c r="C240" s="68">
        <v>-44576.644069087517</v>
      </c>
      <c r="D240" s="68">
        <v>-20576.644069087521</v>
      </c>
      <c r="F240" t="str">
        <f t="shared" si="9"/>
        <v/>
      </c>
      <c r="G240" t="str">
        <f t="shared" si="10"/>
        <v/>
      </c>
      <c r="H240" t="str">
        <f t="shared" si="11"/>
        <v/>
      </c>
    </row>
    <row r="241" spans="1:8">
      <c r="A241" t="s">
        <v>325</v>
      </c>
      <c r="B241" s="65">
        <v>-29088.464504153329</v>
      </c>
      <c r="C241" s="68">
        <v>-47088.464504153329</v>
      </c>
      <c r="D241" s="68">
        <v>-23088.464504153329</v>
      </c>
      <c r="F241" t="str">
        <f t="shared" si="9"/>
        <v/>
      </c>
      <c r="G241" t="str">
        <f t="shared" si="10"/>
        <v/>
      </c>
      <c r="H241" t="str">
        <f t="shared" si="11"/>
        <v/>
      </c>
    </row>
    <row r="242" spans="1:8">
      <c r="A242" t="s">
        <v>401</v>
      </c>
      <c r="B242" s="65">
        <v>-32004.798929906236</v>
      </c>
      <c r="C242" s="68">
        <v>-50004.798929906239</v>
      </c>
      <c r="D242" s="68">
        <v>-26004.798929906236</v>
      </c>
      <c r="F242" t="str">
        <f t="shared" si="9"/>
        <v/>
      </c>
      <c r="G242" t="str">
        <f t="shared" si="10"/>
        <v/>
      </c>
      <c r="H242" t="str">
        <f t="shared" si="11"/>
        <v/>
      </c>
    </row>
    <row r="243" spans="1:8">
      <c r="A243" t="s">
        <v>387</v>
      </c>
      <c r="B243" s="65">
        <v>-34521.20143026828</v>
      </c>
      <c r="C243" s="68">
        <v>-52521.201430268287</v>
      </c>
      <c r="D243" s="68">
        <v>-28521.201430268284</v>
      </c>
      <c r="F243" t="str">
        <f t="shared" si="9"/>
        <v/>
      </c>
      <c r="G243" t="str">
        <f t="shared" si="10"/>
        <v/>
      </c>
      <c r="H243" t="str">
        <f t="shared" si="11"/>
        <v/>
      </c>
    </row>
    <row r="244" spans="1:8">
      <c r="A244" t="s">
        <v>388</v>
      </c>
      <c r="B244" s="65">
        <v>-39149.821525030377</v>
      </c>
      <c r="C244" s="68">
        <v>-57149.821525030377</v>
      </c>
      <c r="D244" s="68">
        <v>-33149.821525030377</v>
      </c>
      <c r="F244" t="str">
        <f t="shared" si="9"/>
        <v/>
      </c>
      <c r="G244" t="str">
        <f t="shared" si="10"/>
        <v/>
      </c>
      <c r="H244" t="str">
        <f t="shared" si="11"/>
        <v/>
      </c>
    </row>
    <row r="245" spans="1:8">
      <c r="A245" t="s">
        <v>347</v>
      </c>
      <c r="B245" s="65">
        <v>-39288.796188723456</v>
      </c>
      <c r="C245" s="68">
        <v>-57288.796188723456</v>
      </c>
      <c r="D245" s="68">
        <v>-33288.796188723456</v>
      </c>
      <c r="F245" t="str">
        <f t="shared" si="9"/>
        <v/>
      </c>
      <c r="G245" t="str">
        <f t="shared" si="10"/>
        <v/>
      </c>
      <c r="H245" t="str">
        <f t="shared" si="11"/>
        <v/>
      </c>
    </row>
    <row r="246" spans="1:8">
      <c r="A246" t="s">
        <v>330</v>
      </c>
      <c r="B246" s="65">
        <v>-39463.748486303914</v>
      </c>
      <c r="C246" s="68">
        <v>-57463.748486303914</v>
      </c>
      <c r="D246" s="68">
        <v>-33463.748486303914</v>
      </c>
      <c r="F246" t="str">
        <f t="shared" si="9"/>
        <v/>
      </c>
      <c r="G246" t="str">
        <f t="shared" si="10"/>
        <v/>
      </c>
      <c r="H246" t="str">
        <f t="shared" si="11"/>
        <v/>
      </c>
    </row>
  </sheetData>
  <sortState xmlns:xlrd2="http://schemas.microsoft.com/office/spreadsheetml/2017/richdata2" ref="A3:H246">
    <sortCondition descending="1" ref="B3:B246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1E055-55E0-4911-B65B-63058721D8A7}">
  <dimension ref="A1:AH248"/>
  <sheetViews>
    <sheetView workbookViewId="0">
      <selection activeCell="A2" sqref="A2"/>
    </sheetView>
  </sheetViews>
  <sheetFormatPr defaultRowHeight="15.75"/>
  <cols>
    <col min="1" max="2" width="11"/>
    <col min="3" max="3" width="17.875" bestFit="1" customWidth="1"/>
    <col min="4" max="4" width="17.875" customWidth="1"/>
    <col min="5" max="5" width="12.625" bestFit="1" customWidth="1"/>
    <col min="6" max="6" width="5.25" bestFit="1" customWidth="1"/>
    <col min="7" max="7" width="24.875" bestFit="1" customWidth="1"/>
    <col min="8" max="8" width="28.5" bestFit="1" customWidth="1"/>
    <col min="9" max="9" width="21.625" bestFit="1" customWidth="1"/>
    <col min="10" max="10" width="25.5" bestFit="1" customWidth="1"/>
    <col min="11" max="11" width="11" customWidth="1"/>
    <col min="12" max="12" width="40.5" bestFit="1" customWidth="1"/>
    <col min="13" max="13" width="35.125" bestFit="1" customWidth="1"/>
    <col min="14" max="14" width="11" customWidth="1"/>
    <col min="15" max="15" width="4.375" bestFit="1" customWidth="1"/>
    <col min="16" max="16" width="18.75" bestFit="1" customWidth="1"/>
    <col min="17" max="17" width="12.625" bestFit="1" customWidth="1"/>
    <col min="18" max="18" width="5.5" bestFit="1" customWidth="1"/>
    <col min="19" max="19" width="25" bestFit="1" customWidth="1"/>
    <col min="20" max="20" width="17.875" bestFit="1" customWidth="1"/>
    <col min="21" max="21" width="17.875" customWidth="1"/>
    <col min="22" max="22" width="13.125" customWidth="1"/>
    <col min="23" max="23" width="39.625" bestFit="1" customWidth="1"/>
    <col min="24" max="24" width="19.625" bestFit="1" customWidth="1"/>
    <col min="25" max="25" width="24.875" bestFit="1" customWidth="1"/>
    <col min="26" max="26" width="28.5" bestFit="1" customWidth="1"/>
    <col min="27" max="27" width="21.625" bestFit="1" customWidth="1"/>
    <col min="28" max="28" width="25.5" bestFit="1" customWidth="1"/>
    <col min="29" max="29" width="11"/>
    <col min="30" max="30" width="33" bestFit="1" customWidth="1"/>
    <col min="31" max="31" width="27.125" bestFit="1" customWidth="1"/>
    <col min="32" max="32" width="11"/>
    <col min="33" max="33" width="20.875" bestFit="1" customWidth="1"/>
    <col min="34" max="34" width="22.25" bestFit="1" customWidth="1"/>
    <col min="35" max="35" width="21.75" bestFit="1" customWidth="1"/>
  </cols>
  <sheetData>
    <row r="1" spans="1:34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97" t="s">
        <v>478</v>
      </c>
      <c r="AE1" s="23" t="s">
        <v>496</v>
      </c>
    </row>
    <row r="2" spans="1:34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 t="s">
        <v>498</v>
      </c>
      <c r="M2" s="23" t="s">
        <v>500</v>
      </c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86" t="s">
        <v>489</v>
      </c>
      <c r="AE2" s="23"/>
    </row>
    <row r="3" spans="1:34">
      <c r="A3" s="70" t="s">
        <v>404</v>
      </c>
      <c r="B3" s="70" t="s">
        <v>405</v>
      </c>
      <c r="C3" s="70" t="s">
        <v>408</v>
      </c>
      <c r="D3" s="71" t="s">
        <v>411</v>
      </c>
      <c r="E3" s="71" t="s">
        <v>413</v>
      </c>
      <c r="F3" s="71" t="s">
        <v>414</v>
      </c>
      <c r="G3" s="38" t="s">
        <v>442</v>
      </c>
      <c r="H3" s="38" t="s">
        <v>443</v>
      </c>
      <c r="I3" s="38" t="s">
        <v>444</v>
      </c>
      <c r="J3" s="38" t="s">
        <v>445</v>
      </c>
      <c r="L3" s="90">
        <f>' 5-Forecast Cash Flow + Profits'!$AG$29</f>
        <v>6000</v>
      </c>
      <c r="M3" s="90">
        <f>' 5-Forecast Cash Flow + Profits'!$AG$7</f>
        <v>30000</v>
      </c>
      <c r="N3" s="23"/>
      <c r="O3" s="23"/>
      <c r="P3" s="71" t="s">
        <v>406</v>
      </c>
      <c r="Q3" s="71" t="s">
        <v>412</v>
      </c>
      <c r="R3" s="71" t="s">
        <v>441</v>
      </c>
      <c r="S3" s="71" t="s">
        <v>407</v>
      </c>
      <c r="T3" s="71" t="s">
        <v>408</v>
      </c>
      <c r="U3" s="71" t="s">
        <v>410</v>
      </c>
      <c r="V3" s="71" t="s">
        <v>476</v>
      </c>
      <c r="W3" s="71" t="s">
        <v>477</v>
      </c>
      <c r="X3" s="71" t="s">
        <v>409</v>
      </c>
      <c r="Y3" s="38" t="s">
        <v>442</v>
      </c>
      <c r="Z3" s="38" t="s">
        <v>443</v>
      </c>
      <c r="AA3" s="38" t="s">
        <v>444</v>
      </c>
      <c r="AB3" s="38" t="s">
        <v>445</v>
      </c>
      <c r="AC3" s="23"/>
      <c r="AD3" s="85" t="s">
        <v>473</v>
      </c>
      <c r="AE3" s="72" t="s">
        <v>494</v>
      </c>
      <c r="AH3" s="96" t="s">
        <v>504</v>
      </c>
    </row>
    <row r="4" spans="1:34">
      <c r="A4" s="23">
        <f>_xlfn.RANK.EQ(' 5-Forecast Cash Flow + Profits'!AP4,' 5-Forecast Cash Flow + Profits'!$AP$4:$AP$247,0)</f>
        <v>189</v>
      </c>
      <c r="B4" s="23" t="str">
        <f>' 5-Forecast Cash Flow + Profits'!A4</f>
        <v>W1</v>
      </c>
      <c r="C4" s="68">
        <f>' 5-Forecast Cash Flow + Profits'!AD4+' 5-Forecast Cash Flow + Profits'!AI4</f>
        <v>-20513.879943023225</v>
      </c>
      <c r="D4" s="68">
        <f>' 5-Forecast Cash Flow + Profits'!AP4</f>
        <v>-14890.439943023228</v>
      </c>
      <c r="E4" t="s">
        <v>415</v>
      </c>
      <c r="F4" t="s">
        <v>416</v>
      </c>
      <c r="G4" s="63">
        <f>' 5-Forecast Cash Flow + Profits'!AM4</f>
        <v>-32890.439943023222</v>
      </c>
      <c r="H4" s="63">
        <f>' 5-Forecast Cash Flow + Profits'!AN4</f>
        <v>-8890.4399430232279</v>
      </c>
      <c r="I4" s="63">
        <f>' 5-Forecast Cash Flow + Profits'!AO4</f>
        <v>-8890.4399430232279</v>
      </c>
      <c r="J4" s="63">
        <f>' 5-Forecast Cash Flow + Profits'!AP4</f>
        <v>-14890.439943023228</v>
      </c>
      <c r="K4" s="23"/>
      <c r="L4" s="23"/>
      <c r="M4" s="23"/>
      <c r="N4" s="23"/>
      <c r="O4" s="23">
        <v>1</v>
      </c>
      <c r="P4" s="23" t="str">
        <f>VLOOKUP(O4,$A$4:$B$247,2,FALSE)</f>
        <v>W156</v>
      </c>
      <c r="Q4" s="23" t="str">
        <f>VLOOKUP(O4,$A$4:$F$247,5,FALSE)</f>
        <v>Miami</v>
      </c>
      <c r="R4" s="23" t="str">
        <f>VLOOKUP(O4,$A$4:$F$247,6,FALSE)</f>
        <v>FL</v>
      </c>
      <c r="S4" s="68">
        <f>O4*' 5-Forecast Cash Flow + Profits'!$AG$7</f>
        <v>30000</v>
      </c>
      <c r="T4" s="68">
        <f>VLOOKUP(O4,$A$4:$C$247,3,FALSE)</f>
        <v>143953.43763605107</v>
      </c>
      <c r="U4" s="68">
        <f>VLOOKUP(O4,$A$4:$D$247,4,FALSE)</f>
        <v>124590.23763605107</v>
      </c>
      <c r="V4" s="89" t="str">
        <f>IF(S4&lt;$L$6,IF(U4&gt;' 5-Forecast Cash Flow + Profits'!$AG$29,"YES","NO"),"NO")</f>
        <v>YES</v>
      </c>
      <c r="W4" s="89" t="str">
        <f>IF(U4&gt;' 5-Forecast Cash Flow + Profits'!$AG$29, "YES", "NO")</f>
        <v>YES</v>
      </c>
      <c r="X4" s="68">
        <f>T4</f>
        <v>143953.43763605107</v>
      </c>
      <c r="Y4" s="68">
        <f>VLOOKUP($O4,$A$4:$J$247,7,FALSE)</f>
        <v>106590.23763605108</v>
      </c>
      <c r="Z4" s="68">
        <f>VLOOKUP($O4,$A$4:$J$247,8,FALSE)</f>
        <v>130590.23763605107</v>
      </c>
      <c r="AA4" s="68">
        <f>VLOOKUP($O4,$A$4:$J$247,9,FALSE)</f>
        <v>130590.23763605107</v>
      </c>
      <c r="AB4" s="68">
        <f>VLOOKUP($O4,$A$4:$J$247,10,FALSE)</f>
        <v>124590.23763605107</v>
      </c>
      <c r="AC4" s="23"/>
      <c r="AD4" s="23">
        <v>0</v>
      </c>
      <c r="AE4" s="68"/>
      <c r="AG4" s="98" t="s">
        <v>491</v>
      </c>
      <c r="AH4">
        <v>16</v>
      </c>
    </row>
    <row r="5" spans="1:34">
      <c r="A5" s="23">
        <f>_xlfn.RANK.EQ(' 5-Forecast Cash Flow + Profits'!AP5,' 5-Forecast Cash Flow + Profits'!$AP$4:$AP$247,0)</f>
        <v>206</v>
      </c>
      <c r="B5" s="23" t="str">
        <f>' 5-Forecast Cash Flow + Profits'!A5</f>
        <v>W10</v>
      </c>
      <c r="C5" s="68">
        <f>' 5-Forecast Cash Flow + Profits'!AD5+' 5-Forecast Cash Flow + Profits'!AI5</f>
        <v>-21105.289959945418</v>
      </c>
      <c r="D5" s="68">
        <f>' 5-Forecast Cash Flow + Profits'!AP5</f>
        <v>-17116.489959945422</v>
      </c>
      <c r="E5" t="s">
        <v>415</v>
      </c>
      <c r="F5" t="s">
        <v>416</v>
      </c>
      <c r="G5" s="63">
        <f>' 5-Forecast Cash Flow + Profits'!AM5</f>
        <v>-35116.489959945415</v>
      </c>
      <c r="H5" s="63">
        <f>' 5-Forecast Cash Flow + Profits'!AN5</f>
        <v>-11116.48995994542</v>
      </c>
      <c r="I5" s="63">
        <f>' 5-Forecast Cash Flow + Profits'!AO5</f>
        <v>-11116.48995994542</v>
      </c>
      <c r="J5" s="63">
        <f>' 5-Forecast Cash Flow + Profits'!AP5</f>
        <v>-17116.489959945422</v>
      </c>
      <c r="K5" s="23"/>
      <c r="L5" s="91" t="s">
        <v>497</v>
      </c>
      <c r="M5" s="91" t="s">
        <v>501</v>
      </c>
      <c r="N5" s="23"/>
      <c r="O5" s="23">
        <v>2</v>
      </c>
      <c r="P5" s="23" t="str">
        <f>VLOOKUP(O5,$A$4:$B$247,2,FALSE)</f>
        <v>W155</v>
      </c>
      <c r="Q5" s="23" t="str">
        <f>VLOOKUP(O5,$A$4:$F$247,5,FALSE)</f>
        <v>Miami</v>
      </c>
      <c r="R5" s="23" t="str">
        <f>VLOOKUP(O5,$A$4:$F$247,6,FALSE)</f>
        <v>FL</v>
      </c>
      <c r="S5" s="68">
        <f>O5*' 5-Forecast Cash Flow + Profits'!$AG$7</f>
        <v>60000</v>
      </c>
      <c r="T5" s="68">
        <f>VLOOKUP(O5,$A$4:$C$247,3,FALSE)</f>
        <v>110530.19753179219</v>
      </c>
      <c r="U5" s="68">
        <f>VLOOKUP(O5,$A$4:$D$247,4,FALSE)</f>
        <v>104010.59753179218</v>
      </c>
      <c r="V5" s="89" t="str">
        <f>IF(S5&lt;$L$6,IF(U5&gt;' 5-Forecast Cash Flow + Profits'!$AG$29,"YES","NO"),"NO")</f>
        <v>YES</v>
      </c>
      <c r="W5" s="89" t="str">
        <f>IF(U5&gt;' 5-Forecast Cash Flow + Profits'!$AG$29, "YES", "NO")</f>
        <v>YES</v>
      </c>
      <c r="X5" s="68">
        <f>T5+X4</f>
        <v>254483.63516784325</v>
      </c>
      <c r="Y5" s="68">
        <f>VLOOKUP($O5,$A$4:$J$247,7,FALSE)</f>
        <v>86010.597531792184</v>
      </c>
      <c r="Z5" s="68">
        <f>VLOOKUP($O5,$A$4:$J$247,8,FALSE)</f>
        <v>110010.59753179218</v>
      </c>
      <c r="AA5" s="68">
        <f>VLOOKUP($O5,$A$4:$J$247,9,FALSE)</f>
        <v>110010.59753179218</v>
      </c>
      <c r="AB5" s="68">
        <f>VLOOKUP($O5,$A$4:$J$247,10,FALSE)</f>
        <v>104010.59753179218</v>
      </c>
      <c r="AC5" s="23"/>
      <c r="AD5" s="23">
        <v>1</v>
      </c>
      <c r="AE5" s="68"/>
      <c r="AG5" s="98" t="s">
        <v>492</v>
      </c>
      <c r="AH5">
        <v>9</v>
      </c>
    </row>
    <row r="6" spans="1:34">
      <c r="A6" s="23">
        <f>_xlfn.RANK.EQ(' 5-Forecast Cash Flow + Profits'!AP6,' 5-Forecast Cash Flow + Profits'!$AP$4:$AP$247,0)</f>
        <v>209</v>
      </c>
      <c r="B6" s="23" t="str">
        <f>' 5-Forecast Cash Flow + Profits'!A6</f>
        <v>W100</v>
      </c>
      <c r="C6" s="68">
        <f>' 5-Forecast Cash Flow + Profits'!AD6+' 5-Forecast Cash Flow + Profits'!AI6</f>
        <v>2600.483121583813</v>
      </c>
      <c r="D6" s="68">
        <f>' 5-Forecast Cash Flow + Profits'!AP6</f>
        <v>-17930.316878416186</v>
      </c>
      <c r="E6" t="s">
        <v>417</v>
      </c>
      <c r="F6" t="s">
        <v>418</v>
      </c>
      <c r="G6" s="63">
        <f>' 5-Forecast Cash Flow + Profits'!AM6</f>
        <v>-35930.316878416183</v>
      </c>
      <c r="H6" s="63">
        <f>' 5-Forecast Cash Flow + Profits'!AN6</f>
        <v>-11930.316878416186</v>
      </c>
      <c r="I6" s="63">
        <f>' 5-Forecast Cash Flow + Profits'!AO6</f>
        <v>-11930.316878416186</v>
      </c>
      <c r="J6" s="63">
        <f>' 5-Forecast Cash Flow + Profits'!AP6</f>
        <v>-17930.316878416186</v>
      </c>
      <c r="K6" s="23"/>
      <c r="L6" s="92">
        <v>500000</v>
      </c>
      <c r="M6" s="95">
        <f>FLOOR((L6/M3),1)</f>
        <v>16</v>
      </c>
      <c r="N6" s="23"/>
      <c r="O6" s="23">
        <v>3</v>
      </c>
      <c r="P6" s="23" t="str">
        <f>VLOOKUP(O6,$A$4:$B$247,2,FALSE)</f>
        <v>W164</v>
      </c>
      <c r="Q6" s="23" t="str">
        <f>VLOOKUP(O6,$A$4:$F$247,5,FALSE)</f>
        <v>Miami</v>
      </c>
      <c r="R6" s="23" t="str">
        <f>VLOOKUP(O6,$A$4:$F$247,6,FALSE)</f>
        <v>FL</v>
      </c>
      <c r="S6" s="68">
        <f>O6*' 5-Forecast Cash Flow + Profits'!$AG$7</f>
        <v>90000</v>
      </c>
      <c r="T6" s="68">
        <f>VLOOKUP(O6,$A$4:$C$247,3,FALSE)</f>
        <v>88393.689393268724</v>
      </c>
      <c r="U6" s="68">
        <f>VLOOKUP(O6,$A$4:$D$247,4,FALSE)</f>
        <v>78371.289393268729</v>
      </c>
      <c r="V6" s="89" t="str">
        <f>IF(S6&lt;$L$6,IF(U6&gt;' 5-Forecast Cash Flow + Profits'!$AG$29,"YES","NO"),"NO")</f>
        <v>YES</v>
      </c>
      <c r="W6" s="89" t="str">
        <f>IF(U6&gt;' 5-Forecast Cash Flow + Profits'!$AG$29, "YES", "NO")</f>
        <v>YES</v>
      </c>
      <c r="X6" s="68">
        <f>T6+X5</f>
        <v>342877.32456111198</v>
      </c>
      <c r="Y6" s="68">
        <f>VLOOKUP($O6,$A$4:$J$247,7,FALSE)</f>
        <v>60371.289393268729</v>
      </c>
      <c r="Z6" s="68">
        <f>VLOOKUP($O6,$A$4:$J$247,8,FALSE)</f>
        <v>84371.289393268729</v>
      </c>
      <c r="AA6" s="68">
        <f>VLOOKUP($O6,$A$4:$J$247,9,FALSE)</f>
        <v>84371.289393268729</v>
      </c>
      <c r="AB6" s="68">
        <f>VLOOKUP($O6,$A$4:$J$247,10,FALSE)</f>
        <v>78371.289393268729</v>
      </c>
      <c r="AC6" s="23"/>
      <c r="AD6" s="23">
        <v>2</v>
      </c>
      <c r="AE6" s="68"/>
      <c r="AG6" s="98" t="s">
        <v>493</v>
      </c>
      <c r="AH6">
        <v>25</v>
      </c>
    </row>
    <row r="7" spans="1:34">
      <c r="A7" s="23">
        <f>_xlfn.RANK.EQ(' 5-Forecast Cash Flow + Profits'!AP7,' 5-Forecast Cash Flow + Profits'!$AP$4:$AP$247,0)</f>
        <v>52</v>
      </c>
      <c r="B7" s="23" t="str">
        <f>' 5-Forecast Cash Flow + Profits'!A7</f>
        <v>W101</v>
      </c>
      <c r="C7" s="68">
        <f>' 5-Forecast Cash Flow + Profits'!AD7+' 5-Forecast Cash Flow + Profits'!AI7</f>
        <v>2242.9061435790645</v>
      </c>
      <c r="D7" s="68">
        <f>' 5-Forecast Cash Flow + Profits'!AP7</f>
        <v>3896.5061435790631</v>
      </c>
      <c r="E7" t="s">
        <v>419</v>
      </c>
      <c r="F7" t="s">
        <v>420</v>
      </c>
      <c r="G7" s="63">
        <f>' 5-Forecast Cash Flow + Profits'!AM7</f>
        <v>-14103.493856420937</v>
      </c>
      <c r="H7" s="63">
        <f>' 5-Forecast Cash Flow + Profits'!AN7</f>
        <v>9896.5061435790631</v>
      </c>
      <c r="I7" s="63">
        <f>' 5-Forecast Cash Flow + Profits'!AO7</f>
        <v>9896.5061435790631</v>
      </c>
      <c r="J7" s="63">
        <f>' 5-Forecast Cash Flow + Profits'!AP7</f>
        <v>3896.5061435790631</v>
      </c>
      <c r="K7" s="23"/>
      <c r="O7" s="23">
        <v>4</v>
      </c>
      <c r="P7" s="23" t="str">
        <f>VLOOKUP(O7,$A$4:$B$247,2,FALSE)</f>
        <v>W163</v>
      </c>
      <c r="Q7" s="23" t="str">
        <f>VLOOKUP(O7,$A$4:$F$247,5,FALSE)</f>
        <v>Miami</v>
      </c>
      <c r="R7" s="23" t="str">
        <f>VLOOKUP(O7,$A$4:$F$247,6,FALSE)</f>
        <v>FL</v>
      </c>
      <c r="S7" s="68">
        <f>O7*' 5-Forecast Cash Flow + Profits'!$AG$7</f>
        <v>120000</v>
      </c>
      <c r="T7" s="68">
        <f>VLOOKUP(O7,$A$4:$C$247,3,FALSE)</f>
        <v>63915.969993134771</v>
      </c>
      <c r="U7" s="68">
        <f>VLOOKUP(O7,$A$4:$D$247,4,FALSE)</f>
        <v>64401.969993134771</v>
      </c>
      <c r="V7" s="89" t="str">
        <f>IF(S7&lt;$L$6,IF(U7&gt;' 5-Forecast Cash Flow + Profits'!$AG$29,"YES","NO"),"NO")</f>
        <v>YES</v>
      </c>
      <c r="W7" s="89" t="str">
        <f>IF(U7&gt;' 5-Forecast Cash Flow + Profits'!$AG$29, "YES", "NO")</f>
        <v>YES</v>
      </c>
      <c r="X7" s="68">
        <f>T7+X6</f>
        <v>406793.29455424676</v>
      </c>
      <c r="Y7" s="68">
        <f>VLOOKUP($O7,$A$4:$J$247,7,FALSE)</f>
        <v>46401.969993134771</v>
      </c>
      <c r="Z7" s="68">
        <f>VLOOKUP($O7,$A$4:$J$247,8,FALSE)</f>
        <v>70401.969993134771</v>
      </c>
      <c r="AA7" s="68">
        <f>VLOOKUP($O7,$A$4:$J$247,9,FALSE)</f>
        <v>70401.969993134771</v>
      </c>
      <c r="AB7" s="68">
        <f>VLOOKUP($O7,$A$4:$J$247,10,FALSE)</f>
        <v>64401.969993134771</v>
      </c>
      <c r="AD7" s="72">
        <v>3</v>
      </c>
      <c r="AE7" s="68"/>
      <c r="AG7" s="98"/>
      <c r="AH7" s="96" t="s">
        <v>503</v>
      </c>
    </row>
    <row r="8" spans="1:34">
      <c r="A8" s="23">
        <f>_xlfn.RANK.EQ(' 5-Forecast Cash Flow + Profits'!AP8,' 5-Forecast Cash Flow + Profits'!$AP$4:$AP$247,0)</f>
        <v>47</v>
      </c>
      <c r="B8" s="23" t="str">
        <f>' 5-Forecast Cash Flow + Profits'!A8</f>
        <v>W102</v>
      </c>
      <c r="C8" s="68">
        <f>' 5-Forecast Cash Flow + Profits'!AD8+' 5-Forecast Cash Flow + Profits'!AI8</f>
        <v>10103.453767170358</v>
      </c>
      <c r="D8" s="68">
        <f>' 5-Forecast Cash Flow + Profits'!AP8</f>
        <v>4751.4537671703547</v>
      </c>
      <c r="E8" t="s">
        <v>419</v>
      </c>
      <c r="F8" t="s">
        <v>420</v>
      </c>
      <c r="G8" s="63">
        <f>' 5-Forecast Cash Flow + Profits'!AM8</f>
        <v>-13248.546232829642</v>
      </c>
      <c r="H8" s="63">
        <f>' 5-Forecast Cash Flow + Profits'!AN8</f>
        <v>10751.453767170355</v>
      </c>
      <c r="I8" s="63">
        <f>' 5-Forecast Cash Flow + Profits'!AO8</f>
        <v>10751.453767170355</v>
      </c>
      <c r="J8" s="63">
        <f>' 5-Forecast Cash Flow + Profits'!AP8</f>
        <v>4751.4537671703547</v>
      </c>
      <c r="L8" s="91" t="s">
        <v>499</v>
      </c>
      <c r="M8" s="91" t="s">
        <v>502</v>
      </c>
      <c r="O8" s="23">
        <v>5</v>
      </c>
      <c r="P8" s="23" t="str">
        <f>VLOOKUP(O8,$A$4:$B$247,2,FALSE)</f>
        <v>W107</v>
      </c>
      <c r="Q8" s="23" t="str">
        <f>VLOOKUP(O8,$A$4:$F$247,5,FALSE)</f>
        <v>Austin</v>
      </c>
      <c r="R8" s="23" t="str">
        <f>VLOOKUP(O8,$A$4:$F$247,6,FALSE)</f>
        <v>TX</v>
      </c>
      <c r="S8" s="68">
        <f>O8*' 5-Forecast Cash Flow + Profits'!$AG$7</f>
        <v>150000</v>
      </c>
      <c r="T8" s="68">
        <f>VLOOKUP(O8,$A$4:$C$247,3,FALSE)</f>
        <v>57992.452779084051</v>
      </c>
      <c r="U8" s="68">
        <f>VLOOKUP(O8,$A$4:$D$247,4,FALSE)</f>
        <v>54975.652779084048</v>
      </c>
      <c r="V8" s="89" t="str">
        <f>IF(S8&lt;$L$6,IF(U8&gt;' 5-Forecast Cash Flow + Profits'!$AG$29,"YES","NO"),"NO")</f>
        <v>YES</v>
      </c>
      <c r="W8" s="89" t="str">
        <f>IF(U8&gt;' 5-Forecast Cash Flow + Profits'!$AG$29, "YES", "NO")</f>
        <v>YES</v>
      </c>
      <c r="X8" s="68">
        <f>T8+X7</f>
        <v>464785.7473333308</v>
      </c>
      <c r="Y8" s="68">
        <f>VLOOKUP($O8,$A$4:$J$247,7,FALSE)</f>
        <v>36975.652779084048</v>
      </c>
      <c r="Z8" s="68">
        <f>VLOOKUP($O8,$A$4:$J$247,8,FALSE)</f>
        <v>60975.652779084048</v>
      </c>
      <c r="AA8" s="68">
        <f>VLOOKUP($O8,$A$4:$J$247,9,FALSE)</f>
        <v>60975.652779084048</v>
      </c>
      <c r="AB8" s="68">
        <f>VLOOKUP($O8,$A$4:$J$247,10,FALSE)</f>
        <v>54975.652779084048</v>
      </c>
      <c r="AD8" s="72">
        <v>4</v>
      </c>
      <c r="AE8" s="68"/>
      <c r="AG8" s="98" t="s">
        <v>505</v>
      </c>
      <c r="AH8">
        <v>1.1599999999999999</v>
      </c>
    </row>
    <row r="9" spans="1:34">
      <c r="A9" s="23">
        <f>_xlfn.RANK.EQ(' 5-Forecast Cash Flow + Profits'!AP9,' 5-Forecast Cash Flow + Profits'!$AP$4:$AP$247,0)</f>
        <v>33</v>
      </c>
      <c r="B9" s="23" t="str">
        <f>' 5-Forecast Cash Flow + Profits'!A9</f>
        <v>W103</v>
      </c>
      <c r="C9" s="68">
        <f>' 5-Forecast Cash Flow + Profits'!AD9+' 5-Forecast Cash Flow + Profits'!AI9</f>
        <v>10237.909142207769</v>
      </c>
      <c r="D9" s="68">
        <f>' 5-Forecast Cash Flow + Profits'!AP9</f>
        <v>9556.3091422077705</v>
      </c>
      <c r="E9" t="s">
        <v>419</v>
      </c>
      <c r="F9" t="s">
        <v>420</v>
      </c>
      <c r="G9" s="63">
        <f>' 5-Forecast Cash Flow + Profits'!AM9</f>
        <v>-8443.6908577922295</v>
      </c>
      <c r="H9" s="63">
        <f>' 5-Forecast Cash Flow + Profits'!AN9</f>
        <v>15556.30914220777</v>
      </c>
      <c r="I9" s="63">
        <f>' 5-Forecast Cash Flow + Profits'!AO9</f>
        <v>15556.30914220777</v>
      </c>
      <c r="J9" s="63">
        <f>' 5-Forecast Cash Flow + Profits'!AP9</f>
        <v>9556.3091422077705</v>
      </c>
      <c r="L9" s="93">
        <f>41*' 5-Forecast Cash Flow + Profits'!$AG$7</f>
        <v>1230000</v>
      </c>
      <c r="M9" s="95">
        <f>COUNTIF(' 5-Forecast Cash Flow + Profits'!AP4:AP247, "&gt;=6000")</f>
        <v>41</v>
      </c>
      <c r="O9" s="23">
        <v>6</v>
      </c>
      <c r="P9" s="23" t="str">
        <f>VLOOKUP(O9,$A$4:$B$247,2,FALSE)</f>
        <v>W120</v>
      </c>
      <c r="Q9" s="23" t="str">
        <f>VLOOKUP(O9,$A$4:$F$247,5,FALSE)</f>
        <v>Austin</v>
      </c>
      <c r="R9" s="23" t="str">
        <f>VLOOKUP(O9,$A$4:$F$247,6,FALSE)</f>
        <v>TX</v>
      </c>
      <c r="S9" s="68">
        <f>O9*' 5-Forecast Cash Flow + Profits'!$AG$7</f>
        <v>180000</v>
      </c>
      <c r="T9" s="68">
        <f>VLOOKUP(O9,$A$4:$C$247,3,FALSE)</f>
        <v>47260.167962831125</v>
      </c>
      <c r="U9" s="68">
        <f>VLOOKUP(O9,$A$4:$D$247,4,FALSE)</f>
        <v>46578.567962831134</v>
      </c>
      <c r="V9" s="89" t="str">
        <f>IF(S9&lt;$L$6,IF(U9&gt;' 5-Forecast Cash Flow + Profits'!$AG$29,"YES","NO"),"NO")</f>
        <v>YES</v>
      </c>
      <c r="W9" s="89" t="str">
        <f>IF(U9&gt;' 5-Forecast Cash Flow + Profits'!$AG$29, "YES", "NO")</f>
        <v>YES</v>
      </c>
      <c r="X9" s="68">
        <f>T9+X8</f>
        <v>512045.9152961619</v>
      </c>
      <c r="Y9" s="68">
        <f>VLOOKUP($O9,$A$4:$J$247,7,FALSE)</f>
        <v>28578.567962831134</v>
      </c>
      <c r="Z9" s="68">
        <f>VLOOKUP($O9,$A$4:$J$247,8,FALSE)</f>
        <v>52578.567962831134</v>
      </c>
      <c r="AA9" s="68">
        <f>VLOOKUP($O9,$A$4:$J$247,9,FALSE)</f>
        <v>52578.567962831134</v>
      </c>
      <c r="AB9" s="68">
        <f>VLOOKUP($O9,$A$4:$J$247,10,FALSE)</f>
        <v>46578.567962831134</v>
      </c>
      <c r="AD9" s="96" t="s">
        <v>479</v>
      </c>
      <c r="AG9" s="98" t="s">
        <v>492</v>
      </c>
      <c r="AH9">
        <v>0.33</v>
      </c>
    </row>
    <row r="10" spans="1:34">
      <c r="A10" s="23">
        <f>_xlfn.RANK.EQ(' 5-Forecast Cash Flow + Profits'!AP10,' 5-Forecast Cash Flow + Profits'!$AP$4:$AP$247,0)</f>
        <v>108</v>
      </c>
      <c r="B10" s="23" t="str">
        <f>' 5-Forecast Cash Flow + Profits'!A10</f>
        <v>W104</v>
      </c>
      <c r="C10" s="68">
        <f>' 5-Forecast Cash Flow + Profits'!AD10+' 5-Forecast Cash Flow + Profits'!AI10</f>
        <v>9494.8650755184863</v>
      </c>
      <c r="D10" s="68">
        <f>' 5-Forecast Cash Flow + Profits'!AP10</f>
        <v>-5197.934924481513</v>
      </c>
      <c r="E10" t="s">
        <v>419</v>
      </c>
      <c r="F10" t="s">
        <v>420</v>
      </c>
      <c r="G10" s="63">
        <f>' 5-Forecast Cash Flow + Profits'!AM10</f>
        <v>-23197.934924481513</v>
      </c>
      <c r="H10" s="63">
        <f>' 5-Forecast Cash Flow + Profits'!AN10</f>
        <v>802.06507551848699</v>
      </c>
      <c r="I10" s="63">
        <f>' 5-Forecast Cash Flow + Profits'!AO10</f>
        <v>802.06507551848699</v>
      </c>
      <c r="J10" s="63">
        <f>' 5-Forecast Cash Flow + Profits'!AP10</f>
        <v>-5197.934924481513</v>
      </c>
      <c r="O10" s="23">
        <v>7</v>
      </c>
      <c r="P10" s="23" t="str">
        <f>VLOOKUP(O10,$A$4:$B$247,2,FALSE)</f>
        <v>W108</v>
      </c>
      <c r="Q10" s="23" t="str">
        <f>VLOOKUP(O10,$A$4:$F$247,5,FALSE)</f>
        <v>Austin</v>
      </c>
      <c r="R10" s="23" t="str">
        <f>VLOOKUP(O10,$A$4:$F$247,6,FALSE)</f>
        <v>TX</v>
      </c>
      <c r="S10" s="68">
        <f>O10*' 5-Forecast Cash Flow + Profits'!$AG$7</f>
        <v>210000</v>
      </c>
      <c r="T10" s="68">
        <f>VLOOKUP(O10,$A$4:$C$247,3,FALSE)</f>
        <v>63870.51108373145</v>
      </c>
      <c r="U10" s="68">
        <f>VLOOKUP(O10,$A$4:$D$247,4,FALSE)</f>
        <v>44507.311083731453</v>
      </c>
      <c r="V10" s="89" t="str">
        <f>IF(S10&lt;$L$6,IF(U10&gt;' 5-Forecast Cash Flow + Profits'!$AG$29,"YES","NO"),"NO")</f>
        <v>YES</v>
      </c>
      <c r="W10" s="89" t="str">
        <f>IF(U10&gt;' 5-Forecast Cash Flow + Profits'!$AG$29, "YES", "NO")</f>
        <v>YES</v>
      </c>
      <c r="X10" s="68">
        <f>T10+X9</f>
        <v>575916.42637989332</v>
      </c>
      <c r="Y10" s="68">
        <f>VLOOKUP($O10,$A$4:$J$247,7,FALSE)</f>
        <v>26507.311083731453</v>
      </c>
      <c r="Z10" s="68">
        <f>VLOOKUP($O10,$A$4:$J$247,8,FALSE)</f>
        <v>50507.311083731453</v>
      </c>
      <c r="AA10" s="68">
        <f>VLOOKUP($O10,$A$4:$J$247,9,FALSE)</f>
        <v>50507.311083731453</v>
      </c>
      <c r="AB10" s="68">
        <f>VLOOKUP($O10,$A$4:$J$247,10,FALSE)</f>
        <v>44507.311083731453</v>
      </c>
      <c r="AD10" s="73" t="s">
        <v>490</v>
      </c>
      <c r="AG10" s="98" t="s">
        <v>493</v>
      </c>
      <c r="AH10">
        <v>1.92</v>
      </c>
    </row>
    <row r="11" spans="1:34">
      <c r="A11" s="23">
        <f>_xlfn.RANK.EQ(' 5-Forecast Cash Flow + Profits'!AP11,' 5-Forecast Cash Flow + Profits'!$AP$4:$AP$247,0)</f>
        <v>74</v>
      </c>
      <c r="B11" s="23" t="str">
        <f>' 5-Forecast Cash Flow + Profits'!A11</f>
        <v>W105</v>
      </c>
      <c r="C11" s="68">
        <f>' 5-Forecast Cash Flow + Profits'!AD11+' 5-Forecast Cash Flow + Profits'!AI11</f>
        <v>-5025.7167569746234</v>
      </c>
      <c r="D11" s="68">
        <f>' 5-Forecast Cash Flow + Profits'!AP11</f>
        <v>130.68324302537803</v>
      </c>
      <c r="E11" t="s">
        <v>419</v>
      </c>
      <c r="F11" t="s">
        <v>420</v>
      </c>
      <c r="G11" s="63">
        <f>' 5-Forecast Cash Flow + Profits'!AM11</f>
        <v>-17869.316756974622</v>
      </c>
      <c r="H11" s="63">
        <f>' 5-Forecast Cash Flow + Profits'!AN11</f>
        <v>6130.6832430253762</v>
      </c>
      <c r="I11" s="63">
        <f>' 5-Forecast Cash Flow + Profits'!AO11</f>
        <v>6130.6832430253762</v>
      </c>
      <c r="J11" s="63">
        <f>' 5-Forecast Cash Flow + Profits'!AP11</f>
        <v>130.68324302537803</v>
      </c>
      <c r="L11" s="91" t="s">
        <v>475</v>
      </c>
      <c r="O11" s="23">
        <v>8</v>
      </c>
      <c r="P11" s="23" t="str">
        <f>VLOOKUP(O11,$A$4:$B$247,2,FALSE)</f>
        <v>W67</v>
      </c>
      <c r="Q11" s="23" t="str">
        <f>VLOOKUP(O11,$A$4:$F$247,5,FALSE)</f>
        <v>Palo Alto</v>
      </c>
      <c r="R11" s="23" t="str">
        <f>VLOOKUP(O11,$A$4:$F$247,6,FALSE)</f>
        <v>CA</v>
      </c>
      <c r="S11" s="68">
        <f>O11*' 5-Forecast Cash Flow + Profits'!$AG$7</f>
        <v>240000</v>
      </c>
      <c r="T11" s="68">
        <f>VLOOKUP(O11,$A$4:$C$247,3,FALSE)</f>
        <v>74730.409097974596</v>
      </c>
      <c r="U11" s="68">
        <f>VLOOKUP(O11,$A$4:$D$247,4,FALSE)</f>
        <v>40188.409097974611</v>
      </c>
      <c r="V11" s="89" t="str">
        <f>IF(S11&lt;$L$6,IF(U11&gt;' 5-Forecast Cash Flow + Profits'!$AG$29,"YES","NO"),"NO")</f>
        <v>YES</v>
      </c>
      <c r="W11" s="89" t="str">
        <f>IF(U11&gt;' 5-Forecast Cash Flow + Profits'!$AG$29, "YES", "NO")</f>
        <v>YES</v>
      </c>
      <c r="X11" s="68">
        <f>T11+X10</f>
        <v>650646.83547786786</v>
      </c>
      <c r="Y11" s="68">
        <f>VLOOKUP($O11,$A$4:$J$247,7,FALSE)</f>
        <v>22188.409097974603</v>
      </c>
      <c r="Z11" s="68">
        <f>VLOOKUP($O11,$A$4:$J$247,8,FALSE)</f>
        <v>46188.409097974611</v>
      </c>
      <c r="AA11" s="68">
        <f>VLOOKUP($O11,$A$4:$J$247,9,FALSE)</f>
        <v>46188.409097974611</v>
      </c>
      <c r="AB11" s="68">
        <f>VLOOKUP($O11,$A$4:$J$247,10,FALSE)</f>
        <v>40188.409097974611</v>
      </c>
      <c r="AD11" s="84" t="s">
        <v>473</v>
      </c>
      <c r="AE11" t="s">
        <v>494</v>
      </c>
    </row>
    <row r="12" spans="1:34">
      <c r="A12" s="23">
        <f>_xlfn.RANK.EQ(' 5-Forecast Cash Flow + Profits'!AP12,' 5-Forecast Cash Flow + Profits'!$AP$4:$AP$247,0)</f>
        <v>101</v>
      </c>
      <c r="B12" s="23" t="str">
        <f>' 5-Forecast Cash Flow + Profits'!A12</f>
        <v>W106</v>
      </c>
      <c r="C12" s="68">
        <f>' 5-Forecast Cash Flow + Profits'!AD12+' 5-Forecast Cash Flow + Profits'!AI12</f>
        <v>-308.52971715632884</v>
      </c>
      <c r="D12" s="68">
        <f>' 5-Forecast Cash Flow + Profits'!AP12</f>
        <v>-4492.929717156323</v>
      </c>
      <c r="E12" t="s">
        <v>419</v>
      </c>
      <c r="F12" t="s">
        <v>420</v>
      </c>
      <c r="G12" s="63">
        <f>' 5-Forecast Cash Flow + Profits'!AM12</f>
        <v>-22492.929717156327</v>
      </c>
      <c r="H12" s="63">
        <f>' 5-Forecast Cash Flow + Profits'!AN12</f>
        <v>1507.070282843677</v>
      </c>
      <c r="I12" s="63">
        <f>' 5-Forecast Cash Flow + Profits'!AO12</f>
        <v>1507.070282843677</v>
      </c>
      <c r="J12" s="63">
        <f>' 5-Forecast Cash Flow + Profits'!AP12</f>
        <v>-4492.929717156323</v>
      </c>
      <c r="L12" s="94">
        <f>L9-L6</f>
        <v>730000</v>
      </c>
      <c r="M12" s="87"/>
      <c r="O12" s="23">
        <v>9</v>
      </c>
      <c r="P12" s="23" t="str">
        <f>VLOOKUP(O12,$A$4:$B$247,2,FALSE)</f>
        <v>W190</v>
      </c>
      <c r="Q12" s="23" t="str">
        <f>VLOOKUP(O12,$A$4:$F$247,5,FALSE)</f>
        <v>San Diego</v>
      </c>
      <c r="R12" s="23" t="str">
        <f>VLOOKUP(O12,$A$4:$F$247,6,FALSE)</f>
        <v>CA</v>
      </c>
      <c r="S12" s="68">
        <f>O12*' 5-Forecast Cash Flow + Profits'!$AG$7</f>
        <v>270000</v>
      </c>
      <c r="T12" s="68">
        <f>VLOOKUP(O12,$A$4:$C$247,3,FALSE)</f>
        <v>33854.645421529851</v>
      </c>
      <c r="U12" s="68">
        <f>VLOOKUP(O12,$A$4:$D$247,4,FALSE)</f>
        <v>39011.045421529852</v>
      </c>
      <c r="V12" s="89" t="str">
        <f>IF(S12&lt;$L$6,IF(U12&gt;' 5-Forecast Cash Flow + Profits'!$AG$29,"YES","NO"),"NO")</f>
        <v>YES</v>
      </c>
      <c r="W12" s="89" t="str">
        <f>IF(U12&gt;' 5-Forecast Cash Flow + Profits'!$AG$29, "YES", "NO")</f>
        <v>YES</v>
      </c>
      <c r="X12" s="68">
        <f>T12+X11</f>
        <v>684501.48089939775</v>
      </c>
      <c r="Y12" s="68">
        <f>VLOOKUP($O12,$A$4:$J$247,7,FALSE)</f>
        <v>21011.045421529852</v>
      </c>
      <c r="Z12" s="68">
        <f>VLOOKUP($O12,$A$4:$J$247,8,FALSE)</f>
        <v>45011.045421529852</v>
      </c>
      <c r="AA12" s="68">
        <f>VLOOKUP($O12,$A$4:$J$247,9,FALSE)</f>
        <v>45011.045421529852</v>
      </c>
      <c r="AB12" s="68">
        <f>VLOOKUP($O12,$A$4:$J$247,10,FALSE)</f>
        <v>39011.045421529852</v>
      </c>
      <c r="AD12">
        <v>0</v>
      </c>
    </row>
    <row r="13" spans="1:34">
      <c r="A13" s="23">
        <f>_xlfn.RANK.EQ(' 5-Forecast Cash Flow + Profits'!AP13,' 5-Forecast Cash Flow + Profits'!$AP$4:$AP$247,0)</f>
        <v>5</v>
      </c>
      <c r="B13" s="23" t="str">
        <f>' 5-Forecast Cash Flow + Profits'!A13</f>
        <v>W107</v>
      </c>
      <c r="C13" s="68">
        <f>' 5-Forecast Cash Flow + Profits'!AD13+' 5-Forecast Cash Flow + Profits'!AI13</f>
        <v>57992.452779084051</v>
      </c>
      <c r="D13" s="68">
        <f>' 5-Forecast Cash Flow + Profits'!AP13</f>
        <v>54975.652779084048</v>
      </c>
      <c r="E13" t="s">
        <v>419</v>
      </c>
      <c r="F13" t="s">
        <v>420</v>
      </c>
      <c r="G13" s="63">
        <f>' 5-Forecast Cash Flow + Profits'!AM13</f>
        <v>36975.652779084048</v>
      </c>
      <c r="H13" s="63">
        <f>' 5-Forecast Cash Flow + Profits'!AN13</f>
        <v>60975.652779084048</v>
      </c>
      <c r="I13" s="63">
        <f>' 5-Forecast Cash Flow + Profits'!AO13</f>
        <v>60975.652779084048</v>
      </c>
      <c r="J13" s="63">
        <f>' 5-Forecast Cash Flow + Profits'!AP13</f>
        <v>54975.652779084048</v>
      </c>
      <c r="O13" s="23">
        <v>10</v>
      </c>
      <c r="P13" s="23" t="str">
        <f>VLOOKUP(O13,$A$4:$B$247,2,FALSE)</f>
        <v>W152</v>
      </c>
      <c r="Q13" s="23" t="str">
        <f>VLOOKUP(O13,$A$4:$F$247,5,FALSE)</f>
        <v>Miami</v>
      </c>
      <c r="R13" s="23" t="str">
        <f>VLOOKUP(O13,$A$4:$F$247,6,FALSE)</f>
        <v>FL</v>
      </c>
      <c r="S13" s="68">
        <f>O13*' 5-Forecast Cash Flow + Profits'!$AG$7</f>
        <v>300000</v>
      </c>
      <c r="T13" s="68">
        <f>VLOOKUP(O13,$A$4:$C$247,3,FALSE)</f>
        <v>34720.670085321784</v>
      </c>
      <c r="U13" s="68">
        <f>VLOOKUP(O13,$A$4:$D$247,4,FALSE)</f>
        <v>30536.27008532179</v>
      </c>
      <c r="V13" s="89" t="str">
        <f>IF(S13&lt;$L$6,IF(U13&gt;' 5-Forecast Cash Flow + Profits'!$AG$29,"YES","NO"),"NO")</f>
        <v>YES</v>
      </c>
      <c r="W13" s="89" t="str">
        <f>IF(U13&gt;' 5-Forecast Cash Flow + Profits'!$AG$29, "YES", "NO")</f>
        <v>YES</v>
      </c>
      <c r="X13" s="68">
        <f>T13+X12</f>
        <v>719222.15098471951</v>
      </c>
      <c r="Y13" s="68">
        <f>VLOOKUP($O13,$A$4:$J$247,7,FALSE)</f>
        <v>12536.27008532179</v>
      </c>
      <c r="Z13" s="68">
        <f>VLOOKUP($O13,$A$4:$J$247,8,FALSE)</f>
        <v>36536.27008532179</v>
      </c>
      <c r="AA13" s="68">
        <f>VLOOKUP($O13,$A$4:$J$247,9,FALSE)</f>
        <v>36536.27008532179</v>
      </c>
      <c r="AB13" s="68">
        <f>VLOOKUP($O13,$A$4:$J$247,10,FALSE)</f>
        <v>30536.27008532179</v>
      </c>
      <c r="AD13">
        <v>1</v>
      </c>
    </row>
    <row r="14" spans="1:34">
      <c r="A14" s="23">
        <f>_xlfn.RANK.EQ(' 5-Forecast Cash Flow + Profits'!AP14,' 5-Forecast Cash Flow + Profits'!$AP$4:$AP$247,0)</f>
        <v>7</v>
      </c>
      <c r="B14" s="23" t="str">
        <f>' 5-Forecast Cash Flow + Profits'!A14</f>
        <v>W108</v>
      </c>
      <c r="C14" s="68">
        <f>' 5-Forecast Cash Flow + Profits'!AD14+' 5-Forecast Cash Flow + Profits'!AI14</f>
        <v>63870.51108373145</v>
      </c>
      <c r="D14" s="68">
        <f>' 5-Forecast Cash Flow + Profits'!AP14</f>
        <v>44507.311083731453</v>
      </c>
      <c r="E14" t="s">
        <v>419</v>
      </c>
      <c r="F14" t="s">
        <v>420</v>
      </c>
      <c r="G14" s="63">
        <f>' 5-Forecast Cash Flow + Profits'!AM14</f>
        <v>26507.311083731453</v>
      </c>
      <c r="H14" s="63">
        <f>' 5-Forecast Cash Flow + Profits'!AN14</f>
        <v>50507.311083731453</v>
      </c>
      <c r="I14" s="63">
        <f>' 5-Forecast Cash Flow + Profits'!AO14</f>
        <v>50507.311083731453</v>
      </c>
      <c r="J14" s="63">
        <f>' 5-Forecast Cash Flow + Profits'!AP14</f>
        <v>44507.311083731453</v>
      </c>
      <c r="O14" s="23">
        <v>11</v>
      </c>
      <c r="P14" s="23" t="str">
        <f>VLOOKUP(O14,$A$4:$B$247,2,FALSE)</f>
        <v>W66</v>
      </c>
      <c r="Q14" s="23" t="str">
        <f>VLOOKUP(O14,$A$4:$F$247,5,FALSE)</f>
        <v>Palo Alto</v>
      </c>
      <c r="R14" s="23" t="str">
        <f>VLOOKUP(O14,$A$4:$F$247,6,FALSE)</f>
        <v>CA</v>
      </c>
      <c r="S14" s="68">
        <f>O14*' 5-Forecast Cash Flow + Profits'!$AG$7</f>
        <v>330000</v>
      </c>
      <c r="T14" s="68">
        <f>VLOOKUP(O14,$A$4:$C$247,3,FALSE)</f>
        <v>50513.869582007472</v>
      </c>
      <c r="U14" s="68">
        <f>VLOOKUP(O14,$A$4:$D$247,4,FALSE)</f>
        <v>29983.069582007476</v>
      </c>
      <c r="V14" s="89" t="str">
        <f>IF(S14&lt;$L$6,IF(U14&gt;' 5-Forecast Cash Flow + Profits'!$AG$29,"YES","NO"),"NO")</f>
        <v>YES</v>
      </c>
      <c r="W14" s="89" t="str">
        <f>IF(U14&gt;' 5-Forecast Cash Flow + Profits'!$AG$29, "YES", "NO")</f>
        <v>YES</v>
      </c>
      <c r="X14" s="68">
        <f>T14+X13</f>
        <v>769736.02056672703</v>
      </c>
      <c r="Y14" s="68">
        <f>VLOOKUP($O14,$A$4:$J$247,7,FALSE)</f>
        <v>11983.069582007476</v>
      </c>
      <c r="Z14" s="68">
        <f>VLOOKUP($O14,$A$4:$J$247,8,FALSE)</f>
        <v>35983.069582007476</v>
      </c>
      <c r="AA14" s="68">
        <f>VLOOKUP($O14,$A$4:$J$247,9,FALSE)</f>
        <v>35983.069582007476</v>
      </c>
      <c r="AB14" s="68">
        <f>VLOOKUP($O14,$A$4:$J$247,10,FALSE)</f>
        <v>29983.069582007476</v>
      </c>
      <c r="AD14">
        <v>2</v>
      </c>
    </row>
    <row r="15" spans="1:34">
      <c r="A15" s="23">
        <f>_xlfn.RANK.EQ(' 5-Forecast Cash Flow + Profits'!AP15,' 5-Forecast Cash Flow + Profits'!$AP$4:$AP$247,0)</f>
        <v>40</v>
      </c>
      <c r="B15" s="23" t="str">
        <f>' 5-Forecast Cash Flow + Profits'!A15</f>
        <v>W109</v>
      </c>
      <c r="C15" s="68">
        <f>' 5-Forecast Cash Flow + Profits'!AD15+' 5-Forecast Cash Flow + Profits'!AI15</f>
        <v>622.75975830083189</v>
      </c>
      <c r="D15" s="68">
        <f>' 5-Forecast Cash Flow + Profits'!AP15</f>
        <v>6946.7597583008319</v>
      </c>
      <c r="E15" t="s">
        <v>419</v>
      </c>
      <c r="F15" t="s">
        <v>420</v>
      </c>
      <c r="G15" s="63">
        <f>' 5-Forecast Cash Flow + Profits'!AM15</f>
        <v>-11053.240241699168</v>
      </c>
      <c r="H15" s="63">
        <f>' 5-Forecast Cash Flow + Profits'!AN15</f>
        <v>12946.759758300832</v>
      </c>
      <c r="I15" s="63">
        <f>' 5-Forecast Cash Flow + Profits'!AO15</f>
        <v>12946.759758300832</v>
      </c>
      <c r="J15" s="63">
        <f>' 5-Forecast Cash Flow + Profits'!AP15</f>
        <v>6946.7597583008319</v>
      </c>
      <c r="O15" s="23">
        <v>12</v>
      </c>
      <c r="P15" s="23" t="str">
        <f>VLOOKUP(O15,$A$4:$B$247,2,FALSE)</f>
        <v>W110</v>
      </c>
      <c r="Q15" s="23" t="str">
        <f>VLOOKUP(O15,$A$4:$F$247,5,FALSE)</f>
        <v>Austin</v>
      </c>
      <c r="R15" s="23" t="str">
        <f>VLOOKUP(O15,$A$4:$F$247,6,FALSE)</f>
        <v>TX</v>
      </c>
      <c r="S15" s="68">
        <f>O15*' 5-Forecast Cash Flow + Profits'!$AG$7</f>
        <v>360000</v>
      </c>
      <c r="T15" s="68">
        <f>VLOOKUP(O15,$A$4:$C$247,3,FALSE)</f>
        <v>24263.058803609165</v>
      </c>
      <c r="U15" s="68">
        <f>VLOOKUP(O15,$A$4:$D$247,4,FALSE)</f>
        <v>27084.258803609162</v>
      </c>
      <c r="V15" s="89" t="str">
        <f>IF(S15&lt;$L$6,IF(U15&gt;' 5-Forecast Cash Flow + Profits'!$AG$29,"YES","NO"),"NO")</f>
        <v>YES</v>
      </c>
      <c r="W15" s="89" t="str">
        <f>IF(U15&gt;' 5-Forecast Cash Flow + Profits'!$AG$29, "YES", "NO")</f>
        <v>YES</v>
      </c>
      <c r="X15" s="68">
        <f>T15+X14</f>
        <v>793999.07937033614</v>
      </c>
      <c r="Y15" s="68">
        <f>VLOOKUP($O15,$A$4:$J$247,7,FALSE)</f>
        <v>9084.258803609162</v>
      </c>
      <c r="Z15" s="68">
        <f>VLOOKUP($O15,$A$4:$J$247,8,FALSE)</f>
        <v>33084.258803609162</v>
      </c>
      <c r="AA15" s="68">
        <f>VLOOKUP($O15,$A$4:$J$247,9,FALSE)</f>
        <v>33084.258803609162</v>
      </c>
      <c r="AB15" s="68">
        <f>VLOOKUP($O15,$A$4:$J$247,10,FALSE)</f>
        <v>27084.258803609162</v>
      </c>
      <c r="AD15">
        <v>3</v>
      </c>
    </row>
    <row r="16" spans="1:34">
      <c r="A16" s="23">
        <f>_xlfn.RANK.EQ(' 5-Forecast Cash Flow + Profits'!AP16,' 5-Forecast Cash Flow + Profits'!$AP$4:$AP$247,0)</f>
        <v>143</v>
      </c>
      <c r="B16" s="23" t="str">
        <f>' 5-Forecast Cash Flow + Profits'!A16</f>
        <v>W11</v>
      </c>
      <c r="C16" s="68">
        <f>' 5-Forecast Cash Flow + Profits'!AD16+' 5-Forecast Cash Flow + Profits'!AI16</f>
        <v>-15512.110419513021</v>
      </c>
      <c r="D16" s="68">
        <f>' 5-Forecast Cash Flow + Profits'!AP16</f>
        <v>-9188.110419513021</v>
      </c>
      <c r="E16" t="s">
        <v>415</v>
      </c>
      <c r="F16" t="s">
        <v>416</v>
      </c>
      <c r="G16" s="63">
        <f>' 5-Forecast Cash Flow + Profits'!AM16</f>
        <v>-27188.110419513021</v>
      </c>
      <c r="H16" s="63">
        <f>' 5-Forecast Cash Flow + Profits'!AN16</f>
        <v>-3188.110419513021</v>
      </c>
      <c r="I16" s="63">
        <f>' 5-Forecast Cash Flow + Profits'!AO16</f>
        <v>-3188.110419513021</v>
      </c>
      <c r="J16" s="63">
        <f>' 5-Forecast Cash Flow + Profits'!AP16</f>
        <v>-9188.110419513021</v>
      </c>
      <c r="O16" s="23">
        <v>13</v>
      </c>
      <c r="P16" s="23" t="str">
        <f>VLOOKUP(O16,$A$4:$B$247,2,FALSE)</f>
        <v>W160</v>
      </c>
      <c r="Q16" s="23" t="str">
        <f>VLOOKUP(O16,$A$4:$F$247,5,FALSE)</f>
        <v>Miami</v>
      </c>
      <c r="R16" s="23" t="str">
        <f>VLOOKUP(O16,$A$4:$F$247,6,FALSE)</f>
        <v>FL</v>
      </c>
      <c r="S16" s="68">
        <f>O16*' 5-Forecast Cash Flow + Profits'!$AG$7</f>
        <v>390000</v>
      </c>
      <c r="T16" s="68">
        <f>VLOOKUP(O16,$A$4:$C$247,3,FALSE)</f>
        <v>31135.928201514937</v>
      </c>
      <c r="U16" s="68">
        <f>VLOOKUP(O16,$A$4:$D$247,4,FALSE)</f>
        <v>26951.528201514939</v>
      </c>
      <c r="V16" s="89" t="str">
        <f>IF(S16&lt;$L$6,IF(U16&gt;' 5-Forecast Cash Flow + Profits'!$AG$29,"YES","NO"),"NO")</f>
        <v>YES</v>
      </c>
      <c r="W16" s="89" t="str">
        <f>IF(U16&gt;' 5-Forecast Cash Flow + Profits'!$AG$29, "YES", "NO")</f>
        <v>YES</v>
      </c>
      <c r="X16" s="68">
        <f>T16+X15</f>
        <v>825135.00757185114</v>
      </c>
      <c r="Y16" s="68">
        <f>VLOOKUP($O16,$A$4:$J$247,7,FALSE)</f>
        <v>8951.5282015149423</v>
      </c>
      <c r="Z16" s="68">
        <f>VLOOKUP($O16,$A$4:$J$247,8,FALSE)</f>
        <v>32951.528201514942</v>
      </c>
      <c r="AA16" s="68">
        <f>VLOOKUP($O16,$A$4:$J$247,9,FALSE)</f>
        <v>32951.528201514942</v>
      </c>
      <c r="AB16" s="68">
        <f>VLOOKUP($O16,$A$4:$J$247,10,FALSE)</f>
        <v>26951.528201514939</v>
      </c>
      <c r="AD16">
        <v>4</v>
      </c>
    </row>
    <row r="17" spans="1:31">
      <c r="A17" s="23">
        <f>_xlfn.RANK.EQ(' 5-Forecast Cash Flow + Profits'!AP17,' 5-Forecast Cash Flow + Profits'!$AP$4:$AP$247,0)</f>
        <v>12</v>
      </c>
      <c r="B17" s="23" t="str">
        <f>' 5-Forecast Cash Flow + Profits'!A17</f>
        <v>W110</v>
      </c>
      <c r="C17" s="68">
        <f>' 5-Forecast Cash Flow + Profits'!AD17+' 5-Forecast Cash Flow + Profits'!AI17</f>
        <v>24263.058803609165</v>
      </c>
      <c r="D17" s="68">
        <f>' 5-Forecast Cash Flow + Profits'!AP17</f>
        <v>27084.258803609162</v>
      </c>
      <c r="E17" t="s">
        <v>419</v>
      </c>
      <c r="F17" t="s">
        <v>420</v>
      </c>
      <c r="G17" s="63">
        <f>' 5-Forecast Cash Flow + Profits'!AM17</f>
        <v>9084.258803609162</v>
      </c>
      <c r="H17" s="63">
        <f>' 5-Forecast Cash Flow + Profits'!AN17</f>
        <v>33084.258803609162</v>
      </c>
      <c r="I17" s="63">
        <f>' 5-Forecast Cash Flow + Profits'!AO17</f>
        <v>33084.258803609162</v>
      </c>
      <c r="J17" s="63">
        <f>' 5-Forecast Cash Flow + Profits'!AP17</f>
        <v>27084.258803609162</v>
      </c>
      <c r="O17" s="23">
        <v>14</v>
      </c>
      <c r="P17" s="23" t="str">
        <f>VLOOKUP(O17,$A$4:$B$247,2,FALSE)</f>
        <v>W46</v>
      </c>
      <c r="Q17" s="23" t="str">
        <f>VLOOKUP(O17,$A$4:$F$247,5,FALSE)</f>
        <v>New York</v>
      </c>
      <c r="R17" s="23" t="str">
        <f>VLOOKUP(O17,$A$4:$F$247,6,FALSE)</f>
        <v>NY</v>
      </c>
      <c r="S17" s="68">
        <f>O17*' 5-Forecast Cash Flow + Profits'!$AG$7</f>
        <v>420000</v>
      </c>
      <c r="T17" s="68">
        <f>VLOOKUP(O17,$A$4:$C$247,3,FALSE)</f>
        <v>46281.801531752193</v>
      </c>
      <c r="U17" s="68">
        <f>VLOOKUP(O17,$A$4:$D$247,4,FALSE)</f>
        <v>26918.601531752196</v>
      </c>
      <c r="V17" s="89" t="str">
        <f>IF(S17&lt;$L$6,IF(U17&gt;' 5-Forecast Cash Flow + Profits'!$AG$29,"YES","NO"),"NO")</f>
        <v>YES</v>
      </c>
      <c r="W17" s="89" t="str">
        <f>IF(U17&gt;' 5-Forecast Cash Flow + Profits'!$AG$29, "YES", "NO")</f>
        <v>YES</v>
      </c>
      <c r="X17" s="68">
        <f>T17+X16</f>
        <v>871416.80910360336</v>
      </c>
      <c r="Y17" s="68">
        <f>VLOOKUP($O17,$A$4:$J$247,7,FALSE)</f>
        <v>8918.601531752196</v>
      </c>
      <c r="Z17" s="68">
        <f>VLOOKUP($O17,$A$4:$J$247,8,FALSE)</f>
        <v>32918.601531752196</v>
      </c>
      <c r="AA17" s="68">
        <f>VLOOKUP($O17,$A$4:$J$247,9,FALSE)</f>
        <v>32918.601531752196</v>
      </c>
      <c r="AB17" s="68">
        <f>VLOOKUP($O17,$A$4:$J$247,10,FALSE)</f>
        <v>26918.601531752196</v>
      </c>
      <c r="AD17" s="96" t="s">
        <v>480</v>
      </c>
    </row>
    <row r="18" spans="1:31">
      <c r="A18" s="23">
        <f>_xlfn.RANK.EQ(' 5-Forecast Cash Flow + Profits'!AP18,' 5-Forecast Cash Flow + Profits'!$AP$4:$AP$247,0)</f>
        <v>19</v>
      </c>
      <c r="B18" s="23" t="str">
        <f>' 5-Forecast Cash Flow + Profits'!A18</f>
        <v>W111</v>
      </c>
      <c r="C18" s="68">
        <f>' 5-Forecast Cash Flow + Profits'!AD18+' 5-Forecast Cash Flow + Profits'!AI18</f>
        <v>16269.17978736994</v>
      </c>
      <c r="D18" s="68">
        <f>' 5-Forecast Cash Flow + Profits'!AP18</f>
        <v>20257.979787369943</v>
      </c>
      <c r="E18" t="s">
        <v>419</v>
      </c>
      <c r="F18" t="s">
        <v>420</v>
      </c>
      <c r="G18" s="63">
        <f>' 5-Forecast Cash Flow + Profits'!AM18</f>
        <v>2257.9797873699426</v>
      </c>
      <c r="H18" s="63">
        <f>' 5-Forecast Cash Flow + Profits'!AN18</f>
        <v>26257.979787369943</v>
      </c>
      <c r="I18" s="63">
        <f>' 5-Forecast Cash Flow + Profits'!AO18</f>
        <v>26257.979787369943</v>
      </c>
      <c r="J18" s="63">
        <f>' 5-Forecast Cash Flow + Profits'!AP18</f>
        <v>20257.979787369943</v>
      </c>
      <c r="O18" s="23">
        <v>15</v>
      </c>
      <c r="P18" s="23" t="str">
        <f>VLOOKUP(O18,$A$4:$B$247,2,FALSE)</f>
        <v>W192</v>
      </c>
      <c r="Q18" s="23" t="str">
        <f>VLOOKUP(O18,$A$4:$F$247,5,FALSE)</f>
        <v>San Diego</v>
      </c>
      <c r="R18" s="23" t="str">
        <f>VLOOKUP(O18,$A$4:$F$247,6,FALSE)</f>
        <v>CA</v>
      </c>
      <c r="S18" s="68">
        <f>O18*' 5-Forecast Cash Flow + Profits'!$AG$7</f>
        <v>450000</v>
      </c>
      <c r="T18" s="68">
        <f>VLOOKUP(O18,$A$4:$C$247,3,FALSE)</f>
        <v>27197.537580274555</v>
      </c>
      <c r="U18" s="68">
        <f>VLOOKUP(O18,$A$4:$D$247,4,FALSE)</f>
        <v>26515.937580274556</v>
      </c>
      <c r="V18" s="89" t="str">
        <f>IF(S18&lt;$L$6,IF(U18&gt;' 5-Forecast Cash Flow + Profits'!$AG$29,"YES","NO"),"NO")</f>
        <v>YES</v>
      </c>
      <c r="W18" s="89" t="str">
        <f>IF(U18&gt;' 5-Forecast Cash Flow + Profits'!$AG$29, "YES", "NO")</f>
        <v>YES</v>
      </c>
      <c r="X18" s="68">
        <f>T18+X17</f>
        <v>898614.34668387787</v>
      </c>
      <c r="Y18" s="68">
        <f>VLOOKUP($O18,$A$4:$J$247,7,FALSE)</f>
        <v>8515.9375802745562</v>
      </c>
      <c r="Z18" s="68">
        <f>VLOOKUP($O18,$A$4:$J$247,8,FALSE)</f>
        <v>32515.937580274556</v>
      </c>
      <c r="AA18" s="68">
        <f>VLOOKUP($O18,$A$4:$J$247,9,FALSE)</f>
        <v>32515.937580274556</v>
      </c>
      <c r="AB18" s="68">
        <f>VLOOKUP($O18,$A$4:$J$247,10,FALSE)</f>
        <v>26515.937580274556</v>
      </c>
      <c r="AD18" s="73" t="s">
        <v>474</v>
      </c>
    </row>
    <row r="19" spans="1:31">
      <c r="A19" s="23">
        <f>_xlfn.RANK.EQ(' 5-Forecast Cash Flow + Profits'!AP19,' 5-Forecast Cash Flow + Profits'!$AP$4:$AP$247,0)</f>
        <v>17</v>
      </c>
      <c r="B19" s="23" t="str">
        <f>' 5-Forecast Cash Flow + Profits'!A19</f>
        <v>W112</v>
      </c>
      <c r="C19" s="68">
        <f>' 5-Forecast Cash Flow + Profits'!AD19+' 5-Forecast Cash Flow + Profits'!AI19</f>
        <v>25257.330612539845</v>
      </c>
      <c r="D19" s="68">
        <f>' 5-Forecast Cash Flow + Profits'!AP19</f>
        <v>24575.730612539843</v>
      </c>
      <c r="E19" t="s">
        <v>419</v>
      </c>
      <c r="F19" t="s">
        <v>420</v>
      </c>
      <c r="G19" s="63">
        <f>' 5-Forecast Cash Flow + Profits'!AM19</f>
        <v>6575.7306125398463</v>
      </c>
      <c r="H19" s="63">
        <f>' 5-Forecast Cash Flow + Profits'!AN19</f>
        <v>30575.730612539843</v>
      </c>
      <c r="I19" s="63">
        <f>' 5-Forecast Cash Flow + Profits'!AO19</f>
        <v>30575.730612539843</v>
      </c>
      <c r="J19" s="63">
        <f>' 5-Forecast Cash Flow + Profits'!AP19</f>
        <v>24575.730612539843</v>
      </c>
      <c r="O19" s="23">
        <v>16</v>
      </c>
      <c r="P19" s="23" t="str">
        <f>VLOOKUP(O19,$A$4:$B$247,2,FALSE)</f>
        <v>W114</v>
      </c>
      <c r="Q19" s="23" t="str">
        <f>VLOOKUP(O19,$A$4:$F$247,5,FALSE)</f>
        <v>Austin</v>
      </c>
      <c r="R19" s="23" t="str">
        <f>VLOOKUP(O19,$A$4:$F$247,6,FALSE)</f>
        <v>TX</v>
      </c>
      <c r="S19" s="68">
        <f>O19*' 5-Forecast Cash Flow + Profits'!$AG$7</f>
        <v>480000</v>
      </c>
      <c r="T19" s="68">
        <f>VLOOKUP(O19,$A$4:$C$247,3,FALSE)</f>
        <v>20736.942651694844</v>
      </c>
      <c r="U19" s="68">
        <f>VLOOKUP(O19,$A$4:$D$247,4,FALSE)</f>
        <v>24725.742651694847</v>
      </c>
      <c r="V19" s="89" t="str">
        <f>IF(S19&lt;$L$6,IF(U19&gt;' 5-Forecast Cash Flow + Profits'!$AG$29,"YES","NO"),"NO")</f>
        <v>YES</v>
      </c>
      <c r="W19" s="89" t="str">
        <f>IF(U19&gt;' 5-Forecast Cash Flow + Profits'!$AG$29, "YES", "NO")</f>
        <v>YES</v>
      </c>
      <c r="X19" s="68">
        <f>T19+X18</f>
        <v>919351.28933557274</v>
      </c>
      <c r="Y19" s="68">
        <f>VLOOKUP($O19,$A$4:$J$247,7,FALSE)</f>
        <v>6725.7426516948472</v>
      </c>
      <c r="Z19" s="68">
        <f>VLOOKUP($O19,$A$4:$J$247,8,FALSE)</f>
        <v>30725.742651694847</v>
      </c>
      <c r="AA19" s="68">
        <f>VLOOKUP($O19,$A$4:$J$247,9,FALSE)</f>
        <v>30725.742651694847</v>
      </c>
      <c r="AB19" s="68">
        <f>VLOOKUP($O19,$A$4:$J$247,10,FALSE)</f>
        <v>24725.742651694847</v>
      </c>
      <c r="AD19" s="84" t="s">
        <v>473</v>
      </c>
      <c r="AE19" t="s">
        <v>495</v>
      </c>
    </row>
    <row r="20" spans="1:31">
      <c r="A20" s="23">
        <f>_xlfn.RANK.EQ(' 5-Forecast Cash Flow + Profits'!AP20,' 5-Forecast Cash Flow + Profits'!$AP$4:$AP$247,0)</f>
        <v>113</v>
      </c>
      <c r="B20" s="23" t="str">
        <f>' 5-Forecast Cash Flow + Profits'!A20</f>
        <v>W113</v>
      </c>
      <c r="C20" s="68">
        <f>' 5-Forecast Cash Flow + Profits'!AD20+' 5-Forecast Cash Flow + Profits'!AI20</f>
        <v>-14475.554192701169</v>
      </c>
      <c r="D20" s="68">
        <f>' 5-Forecast Cash Flow + Profits'!AP20</f>
        <v>-5816.3541927011684</v>
      </c>
      <c r="E20" t="s">
        <v>419</v>
      </c>
      <c r="F20" t="s">
        <v>420</v>
      </c>
      <c r="G20" s="63">
        <f>' 5-Forecast Cash Flow + Profits'!AM20</f>
        <v>-23816.354192701168</v>
      </c>
      <c r="H20" s="63">
        <f>' 5-Forecast Cash Flow + Profits'!AN20</f>
        <v>183.64580729883164</v>
      </c>
      <c r="I20" s="63">
        <f>' 5-Forecast Cash Flow + Profits'!AO20</f>
        <v>183.64580729883164</v>
      </c>
      <c r="J20" s="63">
        <f>' 5-Forecast Cash Flow + Profits'!AP20</f>
        <v>-5816.3541927011684</v>
      </c>
      <c r="O20" s="23">
        <v>17</v>
      </c>
      <c r="P20" s="23" t="str">
        <f>VLOOKUP(O20,$A$4:$B$247,2,FALSE)</f>
        <v>W112</v>
      </c>
      <c r="Q20" s="23" t="str">
        <f>VLOOKUP(O20,$A$4:$F$247,5,FALSE)</f>
        <v>Austin</v>
      </c>
      <c r="R20" s="23" t="str">
        <f>VLOOKUP(O20,$A$4:$F$247,6,FALSE)</f>
        <v>TX</v>
      </c>
      <c r="S20" s="68">
        <f>O20*' 5-Forecast Cash Flow + Profits'!$AG$7</f>
        <v>510000</v>
      </c>
      <c r="T20" s="68">
        <f>VLOOKUP(O20,$A$4:$C$247,3,FALSE)</f>
        <v>25257.330612539845</v>
      </c>
      <c r="U20" s="68">
        <f>VLOOKUP(O20,$A$4:$D$247,4,FALSE)</f>
        <v>24575.730612539843</v>
      </c>
      <c r="V20" s="89" t="str">
        <f>IF(S20&lt;$L$6,IF(U20&gt;' 5-Forecast Cash Flow + Profits'!$AG$29,"YES","NO"),"NO")</f>
        <v>NO</v>
      </c>
      <c r="W20" s="89" t="str">
        <f>IF(U20&gt;' 5-Forecast Cash Flow + Profits'!$AG$29, "YES", "NO")</f>
        <v>YES</v>
      </c>
      <c r="X20" s="68">
        <f>T20+X19</f>
        <v>944608.61994811264</v>
      </c>
      <c r="Y20" s="68">
        <f>VLOOKUP($O20,$A$4:$J$247,7,FALSE)</f>
        <v>6575.7306125398463</v>
      </c>
      <c r="Z20" s="68">
        <f>VLOOKUP($O20,$A$4:$J$247,8,FALSE)</f>
        <v>30575.730612539843</v>
      </c>
      <c r="AA20" s="68">
        <f>VLOOKUP($O20,$A$4:$J$247,9,FALSE)</f>
        <v>30575.730612539843</v>
      </c>
      <c r="AB20" s="68">
        <f>VLOOKUP($O20,$A$4:$J$247,10,FALSE)</f>
        <v>24575.730612539843</v>
      </c>
      <c r="AD20">
        <v>0</v>
      </c>
    </row>
    <row r="21" spans="1:31">
      <c r="A21" s="23">
        <f>_xlfn.RANK.EQ(' 5-Forecast Cash Flow + Profits'!AP21,' 5-Forecast Cash Flow + Profits'!$AP$4:$AP$247,0)</f>
        <v>16</v>
      </c>
      <c r="B21" s="23" t="str">
        <f>' 5-Forecast Cash Flow + Profits'!A21</f>
        <v>W114</v>
      </c>
      <c r="C21" s="68">
        <f>' 5-Forecast Cash Flow + Profits'!AD21+' 5-Forecast Cash Flow + Profits'!AI21</f>
        <v>20736.942651694844</v>
      </c>
      <c r="D21" s="68">
        <f>' 5-Forecast Cash Flow + Profits'!AP21</f>
        <v>24725.742651694847</v>
      </c>
      <c r="E21" t="s">
        <v>419</v>
      </c>
      <c r="F21" t="s">
        <v>420</v>
      </c>
      <c r="G21" s="63">
        <f>' 5-Forecast Cash Flow + Profits'!AM21</f>
        <v>6725.7426516948472</v>
      </c>
      <c r="H21" s="63">
        <f>' 5-Forecast Cash Flow + Profits'!AN21</f>
        <v>30725.742651694847</v>
      </c>
      <c r="I21" s="63">
        <f>' 5-Forecast Cash Flow + Profits'!AO21</f>
        <v>30725.742651694847</v>
      </c>
      <c r="J21" s="63">
        <f>' 5-Forecast Cash Flow + Profits'!AP21</f>
        <v>24725.742651694847</v>
      </c>
      <c r="O21" s="23">
        <v>18</v>
      </c>
      <c r="P21" s="23" t="str">
        <f>VLOOKUP(O21,$A$4:$B$247,2,FALSE)</f>
        <v>W119</v>
      </c>
      <c r="Q21" s="23" t="str">
        <f>VLOOKUP(O21,$A$4:$F$247,5,FALSE)</f>
        <v>Austin</v>
      </c>
      <c r="R21" s="23" t="str">
        <f>VLOOKUP(O21,$A$4:$F$247,6,FALSE)</f>
        <v>TX</v>
      </c>
      <c r="S21" s="68">
        <f>O21*' 5-Forecast Cash Flow + Profits'!$AG$7</f>
        <v>540000</v>
      </c>
      <c r="T21" s="68">
        <f>VLOOKUP(O21,$A$4:$C$247,3,FALSE)</f>
        <v>24067.835392408095</v>
      </c>
      <c r="U21" s="68">
        <f>VLOOKUP(O21,$A$4:$D$247,4,FALSE)</f>
        <v>24553.835392408098</v>
      </c>
      <c r="V21" s="89" t="str">
        <f>IF(S21&lt;$L$6,IF(U21&gt;' 5-Forecast Cash Flow + Profits'!$AG$29,"YES","NO"),"NO")</f>
        <v>NO</v>
      </c>
      <c r="W21" s="89" t="str">
        <f>IF(U21&gt;' 5-Forecast Cash Flow + Profits'!$AG$29, "YES", "NO")</f>
        <v>YES</v>
      </c>
      <c r="X21" s="68">
        <f>T21+X20</f>
        <v>968676.45534052071</v>
      </c>
      <c r="Y21" s="68">
        <f>VLOOKUP($O21,$A$4:$J$247,7,FALSE)</f>
        <v>6553.8353924080948</v>
      </c>
      <c r="Z21" s="68">
        <f>VLOOKUP($O21,$A$4:$J$247,8,FALSE)</f>
        <v>30553.835392408098</v>
      </c>
      <c r="AA21" s="68">
        <f>VLOOKUP($O21,$A$4:$J$247,9,FALSE)</f>
        <v>30553.835392408098</v>
      </c>
      <c r="AB21" s="68">
        <f>VLOOKUP($O21,$A$4:$J$247,10,FALSE)</f>
        <v>24553.835392408098</v>
      </c>
      <c r="AD21">
        <v>1</v>
      </c>
      <c r="AE21" s="63"/>
    </row>
    <row r="22" spans="1:31">
      <c r="A22" s="23">
        <f>_xlfn.RANK.EQ(' 5-Forecast Cash Flow + Profits'!AP22,' 5-Forecast Cash Flow + Profits'!$AP$4:$AP$247,0)</f>
        <v>24</v>
      </c>
      <c r="B22" s="23" t="str">
        <f>' 5-Forecast Cash Flow + Profits'!A22</f>
        <v>W115</v>
      </c>
      <c r="C22" s="68">
        <f>' 5-Forecast Cash Flow + Profits'!AD22+' 5-Forecast Cash Flow + Profits'!AI22</f>
        <v>9673.7695816959022</v>
      </c>
      <c r="D22" s="68">
        <f>' 5-Forecast Cash Flow + Profits'!AP22</f>
        <v>17165.369581695901</v>
      </c>
      <c r="E22" t="s">
        <v>419</v>
      </c>
      <c r="F22" t="s">
        <v>420</v>
      </c>
      <c r="G22" s="63">
        <f>' 5-Forecast Cash Flow + Profits'!AM22</f>
        <v>-834.63041830409929</v>
      </c>
      <c r="H22" s="63">
        <f>' 5-Forecast Cash Flow + Profits'!AN22</f>
        <v>23165.369581695901</v>
      </c>
      <c r="I22" s="63">
        <f>' 5-Forecast Cash Flow + Profits'!AO22</f>
        <v>23165.369581695901</v>
      </c>
      <c r="J22" s="63">
        <f>' 5-Forecast Cash Flow + Profits'!AP22</f>
        <v>17165.369581695901</v>
      </c>
      <c r="O22" s="23">
        <v>19</v>
      </c>
      <c r="P22" s="23" t="str">
        <f>VLOOKUP(O22,$A$4:$B$247,2,FALSE)</f>
        <v>W111</v>
      </c>
      <c r="Q22" s="23" t="str">
        <f>VLOOKUP(O22,$A$4:$F$247,5,FALSE)</f>
        <v>Austin</v>
      </c>
      <c r="R22" s="23" t="str">
        <f>VLOOKUP(O22,$A$4:$F$247,6,FALSE)</f>
        <v>TX</v>
      </c>
      <c r="S22" s="68">
        <f>O22*' 5-Forecast Cash Flow + Profits'!$AG$7</f>
        <v>570000</v>
      </c>
      <c r="T22" s="68">
        <f>VLOOKUP(O22,$A$4:$C$247,3,FALSE)</f>
        <v>16269.17978736994</v>
      </c>
      <c r="U22" s="68">
        <f>VLOOKUP(O22,$A$4:$D$247,4,FALSE)</f>
        <v>20257.979787369943</v>
      </c>
      <c r="V22" s="89" t="str">
        <f>IF(S22&lt;$L$6,IF(U22&gt;' 5-Forecast Cash Flow + Profits'!$AG$29,"YES","NO"),"NO")</f>
        <v>NO</v>
      </c>
      <c r="W22" s="89" t="str">
        <f>IF(U22&gt;' 5-Forecast Cash Flow + Profits'!$AG$29, "YES", "NO")</f>
        <v>YES</v>
      </c>
      <c r="X22" s="68">
        <f>T22+X21</f>
        <v>984945.63512789062</v>
      </c>
      <c r="Y22" s="68">
        <f>VLOOKUP($O22,$A$4:$J$247,7,FALSE)</f>
        <v>2257.9797873699426</v>
      </c>
      <c r="Z22" s="68">
        <f>VLOOKUP($O22,$A$4:$J$247,8,FALSE)</f>
        <v>26257.979787369943</v>
      </c>
      <c r="AA22" s="68">
        <f>VLOOKUP($O22,$A$4:$J$247,9,FALSE)</f>
        <v>26257.979787369943</v>
      </c>
      <c r="AB22" s="68">
        <f>VLOOKUP($O22,$A$4:$J$247,10,FALSE)</f>
        <v>20257.979787369943</v>
      </c>
      <c r="AD22">
        <v>2</v>
      </c>
      <c r="AE22" s="63"/>
    </row>
    <row r="23" spans="1:31">
      <c r="A23" s="23">
        <f>_xlfn.RANK.EQ(' 5-Forecast Cash Flow + Profits'!AP23,' 5-Forecast Cash Flow + Profits'!$AP$4:$AP$247,0)</f>
        <v>22</v>
      </c>
      <c r="B23" s="23" t="str">
        <f>' 5-Forecast Cash Flow + Profits'!A23</f>
        <v>W116</v>
      </c>
      <c r="C23" s="68">
        <f>' 5-Forecast Cash Flow + Profits'!AD23+' 5-Forecast Cash Flow + Profits'!AI23</f>
        <v>12222.554962151866</v>
      </c>
      <c r="D23" s="68">
        <f>' 5-Forecast Cash Flow + Profits'!AP23</f>
        <v>17378.954962151864</v>
      </c>
      <c r="E23" t="s">
        <v>419</v>
      </c>
      <c r="F23" t="s">
        <v>420</v>
      </c>
      <c r="G23" s="63">
        <f>' 5-Forecast Cash Flow + Profits'!AM23</f>
        <v>-621.04503784813278</v>
      </c>
      <c r="H23" s="63">
        <f>' 5-Forecast Cash Flow + Profits'!AN23</f>
        <v>23378.954962151864</v>
      </c>
      <c r="I23" s="63">
        <f>' 5-Forecast Cash Flow + Profits'!AO23</f>
        <v>23378.954962151864</v>
      </c>
      <c r="J23" s="63">
        <f>' 5-Forecast Cash Flow + Profits'!AP23</f>
        <v>17378.954962151864</v>
      </c>
      <c r="O23" s="23">
        <v>20</v>
      </c>
      <c r="P23" s="23" t="str">
        <f>VLOOKUP(O23,$A$4:$B$247,2,FALSE)</f>
        <v>W188</v>
      </c>
      <c r="Q23" s="23" t="str">
        <f>VLOOKUP(O23,$A$4:$F$247,5,FALSE)</f>
        <v>San Diego</v>
      </c>
      <c r="R23" s="23" t="str">
        <f>VLOOKUP(O23,$A$4:$F$247,6,FALSE)</f>
        <v>CA</v>
      </c>
      <c r="S23" s="68">
        <f>O23*' 5-Forecast Cash Flow + Profits'!$AG$7</f>
        <v>600000</v>
      </c>
      <c r="T23" s="68">
        <f>VLOOKUP(O23,$A$4:$C$247,3,FALSE)</f>
        <v>24052.385604422678</v>
      </c>
      <c r="U23" s="68">
        <f>VLOOKUP(O23,$A$4:$D$247,4,FALSE)</f>
        <v>19867.985604422684</v>
      </c>
      <c r="V23" s="89" t="str">
        <f>IF(S23&lt;$L$6,IF(U23&gt;' 5-Forecast Cash Flow + Profits'!$AG$29,"YES","NO"),"NO")</f>
        <v>NO</v>
      </c>
      <c r="W23" s="89" t="str">
        <f>IF(U23&gt;' 5-Forecast Cash Flow + Profits'!$AG$29, "YES", "NO")</f>
        <v>YES</v>
      </c>
      <c r="X23" s="68">
        <f>T23+X22</f>
        <v>1008998.0207323133</v>
      </c>
      <c r="Y23" s="68">
        <f>VLOOKUP($O23,$A$4:$J$247,7,FALSE)</f>
        <v>1867.9856044226835</v>
      </c>
      <c r="Z23" s="68">
        <f>VLOOKUP($O23,$A$4:$J$247,8,FALSE)</f>
        <v>25867.985604422684</v>
      </c>
      <c r="AA23" s="68">
        <f>VLOOKUP($O23,$A$4:$J$247,9,FALSE)</f>
        <v>25867.985604422684</v>
      </c>
      <c r="AB23" s="68">
        <f>VLOOKUP($O23,$A$4:$J$247,10,FALSE)</f>
        <v>19867.985604422684</v>
      </c>
      <c r="AD23">
        <v>3</v>
      </c>
      <c r="AE23" s="63"/>
    </row>
    <row r="24" spans="1:31">
      <c r="A24" s="23">
        <f>_xlfn.RANK.EQ(' 5-Forecast Cash Flow + Profits'!AP24,' 5-Forecast Cash Flow + Profits'!$AP$4:$AP$247,0)</f>
        <v>53</v>
      </c>
      <c r="B24" s="23" t="str">
        <f>' 5-Forecast Cash Flow + Profits'!A24</f>
        <v>W117</v>
      </c>
      <c r="C24" s="68">
        <f>' 5-Forecast Cash Flow + Profits'!AD24+' 5-Forecast Cash Flow + Profits'!AI24</f>
        <v>-2435.7428939361344</v>
      </c>
      <c r="D24" s="68">
        <f>' 5-Forecast Cash Flow + Profits'!AP24</f>
        <v>3888.2571060638656</v>
      </c>
      <c r="E24" t="s">
        <v>419</v>
      </c>
      <c r="F24" t="s">
        <v>420</v>
      </c>
      <c r="G24" s="63">
        <f>' 5-Forecast Cash Flow + Profits'!AM24</f>
        <v>-14111.742893936134</v>
      </c>
      <c r="H24" s="63">
        <f>' 5-Forecast Cash Flow + Profits'!AN24</f>
        <v>9888.2571060638656</v>
      </c>
      <c r="I24" s="63">
        <f>' 5-Forecast Cash Flow + Profits'!AO24</f>
        <v>9888.2571060638656</v>
      </c>
      <c r="J24" s="63">
        <f>' 5-Forecast Cash Flow + Profits'!AP24</f>
        <v>3888.2571060638656</v>
      </c>
      <c r="O24" s="23">
        <v>21</v>
      </c>
      <c r="P24" s="23" t="str">
        <f>VLOOKUP(O24,$A$4:$B$247,2,FALSE)</f>
        <v>W144</v>
      </c>
      <c r="Q24" s="23" t="str">
        <f>VLOOKUP(O24,$A$4:$F$247,5,FALSE)</f>
        <v>Denver</v>
      </c>
      <c r="R24" s="23" t="str">
        <f>VLOOKUP(O24,$A$4:$F$247,6,FALSE)</f>
        <v>CO</v>
      </c>
      <c r="S24" s="68">
        <f>O24*' 5-Forecast Cash Flow + Profits'!$AG$7</f>
        <v>630000</v>
      </c>
      <c r="T24" s="68">
        <f>VLOOKUP(O24,$A$4:$C$247,3,FALSE)</f>
        <v>23053.324636911639</v>
      </c>
      <c r="U24" s="68">
        <f>VLOOKUP(O24,$A$4:$D$247,4,FALSE)</f>
        <v>18868.924636911641</v>
      </c>
      <c r="V24" s="89" t="str">
        <f>IF(S24&lt;$L$6,IF(U24&gt;' 5-Forecast Cash Flow + Profits'!$AG$29,"YES","NO"),"NO")</f>
        <v>NO</v>
      </c>
      <c r="W24" s="89" t="str">
        <f>IF(U24&gt;' 5-Forecast Cash Flow + Profits'!$AG$29, "YES", "NO")</f>
        <v>YES</v>
      </c>
      <c r="X24" s="68">
        <f>T24+X23</f>
        <v>1032051.3453692249</v>
      </c>
      <c r="Y24" s="68">
        <f>VLOOKUP($O24,$A$4:$J$247,7,FALSE)</f>
        <v>868.92463691164448</v>
      </c>
      <c r="Z24" s="68">
        <f>VLOOKUP($O24,$A$4:$J$247,8,FALSE)</f>
        <v>24868.924636911641</v>
      </c>
      <c r="AA24" s="68">
        <f>VLOOKUP($O24,$A$4:$J$247,9,FALSE)</f>
        <v>24868.924636911641</v>
      </c>
      <c r="AB24" s="68">
        <f>VLOOKUP($O24,$A$4:$J$247,10,FALSE)</f>
        <v>18868.924636911641</v>
      </c>
      <c r="AD24">
        <v>4</v>
      </c>
      <c r="AE24" s="63"/>
    </row>
    <row r="25" spans="1:31">
      <c r="A25" s="23">
        <f>_xlfn.RANK.EQ(' 5-Forecast Cash Flow + Profits'!AP25,' 5-Forecast Cash Flow + Profits'!$AP$4:$AP$247,0)</f>
        <v>28</v>
      </c>
      <c r="B25" s="23" t="str">
        <f>' 5-Forecast Cash Flow + Profits'!A25</f>
        <v>W118</v>
      </c>
      <c r="C25" s="68">
        <f>' 5-Forecast Cash Flow + Profits'!AD25+' 5-Forecast Cash Flow + Profits'!AI25</f>
        <v>11637.660688469186</v>
      </c>
      <c r="D25" s="68">
        <f>' 5-Forecast Cash Flow + Profits'!AP25</f>
        <v>13291.260688469181</v>
      </c>
      <c r="E25" t="s">
        <v>419</v>
      </c>
      <c r="F25" t="s">
        <v>420</v>
      </c>
      <c r="G25" s="63">
        <f>' 5-Forecast Cash Flow + Profits'!AM25</f>
        <v>-4708.739311530815</v>
      </c>
      <c r="H25" s="63">
        <f>' 5-Forecast Cash Flow + Profits'!AN25</f>
        <v>19291.260688469181</v>
      </c>
      <c r="I25" s="63">
        <f>' 5-Forecast Cash Flow + Profits'!AO25</f>
        <v>19291.260688469181</v>
      </c>
      <c r="J25" s="63">
        <f>' 5-Forecast Cash Flow + Profits'!AP25</f>
        <v>13291.260688469181</v>
      </c>
      <c r="O25" s="23">
        <v>22</v>
      </c>
      <c r="P25" s="23" t="str">
        <f>VLOOKUP(O25,$A$4:$B$247,2,FALSE)</f>
        <v>W116</v>
      </c>
      <c r="Q25" s="23" t="str">
        <f>VLOOKUP(O25,$A$4:$F$247,5,FALSE)</f>
        <v>Austin</v>
      </c>
      <c r="R25" s="23" t="str">
        <f>VLOOKUP(O25,$A$4:$F$247,6,FALSE)</f>
        <v>TX</v>
      </c>
      <c r="S25" s="68">
        <f>O25*' 5-Forecast Cash Flow + Profits'!$AG$7</f>
        <v>660000</v>
      </c>
      <c r="T25" s="68">
        <f>VLOOKUP(O25,$A$4:$C$247,3,FALSE)</f>
        <v>12222.554962151866</v>
      </c>
      <c r="U25" s="68">
        <f>VLOOKUP(O25,$A$4:$D$247,4,FALSE)</f>
        <v>17378.954962151864</v>
      </c>
      <c r="V25" s="89" t="str">
        <f>IF(S25&lt;$L$6,IF(U25&gt;' 5-Forecast Cash Flow + Profits'!$AG$29,"YES","NO"),"NO")</f>
        <v>NO</v>
      </c>
      <c r="W25" s="89" t="str">
        <f>IF(U25&gt;' 5-Forecast Cash Flow + Profits'!$AG$29, "YES", "NO")</f>
        <v>YES</v>
      </c>
      <c r="X25" s="68">
        <f>T25+X24</f>
        <v>1044273.9003313768</v>
      </c>
      <c r="Y25" s="68">
        <f>VLOOKUP($O25,$A$4:$J$247,7,FALSE)</f>
        <v>-621.04503784813278</v>
      </c>
      <c r="Z25" s="68">
        <f>VLOOKUP($O25,$A$4:$J$247,8,FALSE)</f>
        <v>23378.954962151864</v>
      </c>
      <c r="AA25" s="68">
        <f>VLOOKUP($O25,$A$4:$J$247,9,FALSE)</f>
        <v>23378.954962151864</v>
      </c>
      <c r="AB25" s="68">
        <f>VLOOKUP($O25,$A$4:$J$247,10,FALSE)</f>
        <v>17378.954962151864</v>
      </c>
      <c r="AE25" s="63"/>
    </row>
    <row r="26" spans="1:31">
      <c r="A26" s="23">
        <f>_xlfn.RANK.EQ(' 5-Forecast Cash Flow + Profits'!AP26,' 5-Forecast Cash Flow + Profits'!$AP$4:$AP$247,0)</f>
        <v>18</v>
      </c>
      <c r="B26" s="23" t="str">
        <f>' 5-Forecast Cash Flow + Profits'!A26</f>
        <v>W119</v>
      </c>
      <c r="C26" s="68">
        <f>' 5-Forecast Cash Flow + Profits'!AD26+' 5-Forecast Cash Flow + Profits'!AI26</f>
        <v>24067.835392408095</v>
      </c>
      <c r="D26" s="68">
        <f>' 5-Forecast Cash Flow + Profits'!AP26</f>
        <v>24553.835392408098</v>
      </c>
      <c r="E26" t="s">
        <v>419</v>
      </c>
      <c r="F26" t="s">
        <v>420</v>
      </c>
      <c r="G26" s="63">
        <f>' 5-Forecast Cash Flow + Profits'!AM26</f>
        <v>6553.8353924080948</v>
      </c>
      <c r="H26" s="63">
        <f>' 5-Forecast Cash Flow + Profits'!AN26</f>
        <v>30553.835392408098</v>
      </c>
      <c r="I26" s="63">
        <f>' 5-Forecast Cash Flow + Profits'!AO26</f>
        <v>30553.835392408098</v>
      </c>
      <c r="J26" s="63">
        <f>' 5-Forecast Cash Flow + Profits'!AP26</f>
        <v>24553.835392408098</v>
      </c>
      <c r="O26" s="23">
        <v>23</v>
      </c>
      <c r="P26" s="23" t="str">
        <f>VLOOKUP(O26,$A$4:$B$247,2,FALSE)</f>
        <v>W157</v>
      </c>
      <c r="Q26" s="23" t="str">
        <f>VLOOKUP(O26,$A$4:$F$247,5,FALSE)</f>
        <v>Miami</v>
      </c>
      <c r="R26" s="23" t="str">
        <f>VLOOKUP(O26,$A$4:$F$247,6,FALSE)</f>
        <v>FL</v>
      </c>
      <c r="S26" s="68">
        <f>O26*' 5-Forecast Cash Flow + Profits'!$AG$7</f>
        <v>690000</v>
      </c>
      <c r="T26" s="68">
        <f>VLOOKUP(O26,$A$4:$C$247,3,FALSE)</f>
        <v>14379.311055386148</v>
      </c>
      <c r="U26" s="68">
        <f>VLOOKUP(O26,$A$4:$D$247,4,FALSE)</f>
        <v>17200.511055386141</v>
      </c>
      <c r="V26" s="89" t="str">
        <f>IF(S26&lt;$L$6,IF(U26&gt;' 5-Forecast Cash Flow + Profits'!$AG$29,"YES","NO"),"NO")</f>
        <v>NO</v>
      </c>
      <c r="W26" s="89" t="str">
        <f>IF(U26&gt;' 5-Forecast Cash Flow + Profits'!$AG$29, "YES", "NO")</f>
        <v>YES</v>
      </c>
      <c r="X26" s="68">
        <f>T26+X25</f>
        <v>1058653.211386763</v>
      </c>
      <c r="Y26" s="68">
        <f>VLOOKUP($O26,$A$4:$J$247,7,FALSE)</f>
        <v>-799.48894461385498</v>
      </c>
      <c r="Z26" s="68">
        <f>VLOOKUP($O26,$A$4:$J$247,8,FALSE)</f>
        <v>23200.511055386141</v>
      </c>
      <c r="AA26" s="68">
        <f>VLOOKUP($O26,$A$4:$J$247,9,FALSE)</f>
        <v>23200.511055386141</v>
      </c>
      <c r="AB26" s="68">
        <f>VLOOKUP($O26,$A$4:$J$247,10,FALSE)</f>
        <v>17200.511055386141</v>
      </c>
    </row>
    <row r="27" spans="1:31">
      <c r="A27" s="23">
        <f>_xlfn.RANK.EQ(' 5-Forecast Cash Flow + Profits'!AP27,' 5-Forecast Cash Flow + Profits'!$AP$4:$AP$247,0)</f>
        <v>141</v>
      </c>
      <c r="B27" s="23" t="str">
        <f>' 5-Forecast Cash Flow + Profits'!A27</f>
        <v>W12</v>
      </c>
      <c r="C27" s="68">
        <f>' 5-Forecast Cash Flow + Profits'!AD27+' 5-Forecast Cash Flow + Profits'!AI27</f>
        <v>-11759.93709884015</v>
      </c>
      <c r="D27" s="68">
        <f>' 5-Forecast Cash Flow + Profits'!AP27</f>
        <v>-8938.737098840149</v>
      </c>
      <c r="E27" t="s">
        <v>415</v>
      </c>
      <c r="F27" t="s">
        <v>416</v>
      </c>
      <c r="G27" s="63">
        <f>' 5-Forecast Cash Flow + Profits'!AM27</f>
        <v>-26938.737098840149</v>
      </c>
      <c r="H27" s="63">
        <f>' 5-Forecast Cash Flow + Profits'!AN27</f>
        <v>-2938.737098840149</v>
      </c>
      <c r="I27" s="63">
        <f>' 5-Forecast Cash Flow + Profits'!AO27</f>
        <v>-2938.737098840149</v>
      </c>
      <c r="J27" s="63">
        <f>' 5-Forecast Cash Flow + Profits'!AP27</f>
        <v>-8938.737098840149</v>
      </c>
      <c r="O27" s="23">
        <v>24</v>
      </c>
      <c r="P27" s="23" t="str">
        <f>VLOOKUP(O27,$A$4:$B$247,2,FALSE)</f>
        <v>W115</v>
      </c>
      <c r="Q27" s="23" t="str">
        <f>VLOOKUP(O27,$A$4:$F$247,5,FALSE)</f>
        <v>Austin</v>
      </c>
      <c r="R27" s="23" t="str">
        <f>VLOOKUP(O27,$A$4:$F$247,6,FALSE)</f>
        <v>TX</v>
      </c>
      <c r="S27" s="68">
        <f>O27*' 5-Forecast Cash Flow + Profits'!$AG$7</f>
        <v>720000</v>
      </c>
      <c r="T27" s="68">
        <f>VLOOKUP(O27,$A$4:$C$247,3,FALSE)</f>
        <v>9673.7695816959022</v>
      </c>
      <c r="U27" s="68">
        <f>VLOOKUP(O27,$A$4:$D$247,4,FALSE)</f>
        <v>17165.369581695901</v>
      </c>
      <c r="V27" s="89" t="str">
        <f>IF(S27&lt;$L$6,IF(U27&gt;' 5-Forecast Cash Flow + Profits'!$AG$29,"YES","NO"),"NO")</f>
        <v>NO</v>
      </c>
      <c r="W27" s="89" t="str">
        <f>IF(U27&gt;' 5-Forecast Cash Flow + Profits'!$AG$29, "YES", "NO")</f>
        <v>YES</v>
      </c>
      <c r="X27" s="68">
        <f>T27+X26</f>
        <v>1068326.980968459</v>
      </c>
      <c r="Y27" s="68">
        <f>VLOOKUP($O27,$A$4:$J$247,7,FALSE)</f>
        <v>-834.63041830409929</v>
      </c>
      <c r="Z27" s="68">
        <f>VLOOKUP($O27,$A$4:$J$247,8,FALSE)</f>
        <v>23165.369581695901</v>
      </c>
      <c r="AA27" s="68">
        <f>VLOOKUP($O27,$A$4:$J$247,9,FALSE)</f>
        <v>23165.369581695901</v>
      </c>
      <c r="AB27" s="68">
        <f>VLOOKUP($O27,$A$4:$J$247,10,FALSE)</f>
        <v>17165.369581695901</v>
      </c>
    </row>
    <row r="28" spans="1:31">
      <c r="A28" s="23">
        <f>_xlfn.RANK.EQ(' 5-Forecast Cash Flow + Profits'!AP28,' 5-Forecast Cash Flow + Profits'!$AP$4:$AP$247,0)</f>
        <v>6</v>
      </c>
      <c r="B28" s="23" t="str">
        <f>' 5-Forecast Cash Flow + Profits'!A28</f>
        <v>W120</v>
      </c>
      <c r="C28" s="68">
        <f>' 5-Forecast Cash Flow + Profits'!AD28+' 5-Forecast Cash Flow + Profits'!AI28</f>
        <v>47260.167962831125</v>
      </c>
      <c r="D28" s="68">
        <f>' 5-Forecast Cash Flow + Profits'!AP28</f>
        <v>46578.567962831134</v>
      </c>
      <c r="E28" t="s">
        <v>419</v>
      </c>
      <c r="F28" t="s">
        <v>420</v>
      </c>
      <c r="G28" s="63">
        <f>' 5-Forecast Cash Flow + Profits'!AM28</f>
        <v>28578.567962831134</v>
      </c>
      <c r="H28" s="63">
        <f>' 5-Forecast Cash Flow + Profits'!AN28</f>
        <v>52578.567962831134</v>
      </c>
      <c r="I28" s="63">
        <f>' 5-Forecast Cash Flow + Profits'!AO28</f>
        <v>52578.567962831134</v>
      </c>
      <c r="J28" s="63">
        <f>' 5-Forecast Cash Flow + Profits'!AP28</f>
        <v>46578.567962831134</v>
      </c>
      <c r="O28" s="23">
        <v>25</v>
      </c>
      <c r="P28" s="23" t="str">
        <f>VLOOKUP(O28,$A$4:$B$247,2,FALSE)</f>
        <v>W198</v>
      </c>
      <c r="Q28" s="23" t="str">
        <f>VLOOKUP(O28,$A$4:$F$247,5,FALSE)</f>
        <v>San Diego</v>
      </c>
      <c r="R28" s="23" t="str">
        <f>VLOOKUP(O28,$A$4:$F$247,6,FALSE)</f>
        <v>CA</v>
      </c>
      <c r="S28" s="68">
        <f>O28*' 5-Forecast Cash Flow + Profits'!$AG$7</f>
        <v>750000</v>
      </c>
      <c r="T28" s="68">
        <f>VLOOKUP(O28,$A$4:$C$247,3,FALSE)</f>
        <v>29164.561478440955</v>
      </c>
      <c r="U28" s="68">
        <f>VLOOKUP(O28,$A$4:$D$247,4,FALSE)</f>
        <v>16806.961478440953</v>
      </c>
      <c r="V28" s="89" t="str">
        <f>IF(S28&lt;$L$6,IF(U28&gt;' 5-Forecast Cash Flow + Profits'!$AG$29,"YES","NO"),"NO")</f>
        <v>NO</v>
      </c>
      <c r="W28" s="89" t="str">
        <f>IF(U28&gt;' 5-Forecast Cash Flow + Profits'!$AG$29, "YES", "NO")</f>
        <v>YES</v>
      </c>
      <c r="X28" s="68">
        <f>T28+X27</f>
        <v>1097491.5424468999</v>
      </c>
      <c r="Y28" s="68">
        <f>VLOOKUP($O28,$A$4:$J$247,7,FALSE)</f>
        <v>-1193.0385215590431</v>
      </c>
      <c r="Z28" s="68">
        <f>VLOOKUP($O28,$A$4:$J$247,8,FALSE)</f>
        <v>22806.961478440953</v>
      </c>
      <c r="AA28" s="68">
        <f>VLOOKUP($O28,$A$4:$J$247,9,FALSE)</f>
        <v>22806.961478440953</v>
      </c>
      <c r="AB28" s="68">
        <f>VLOOKUP($O28,$A$4:$J$247,10,FALSE)</f>
        <v>16806.961478440953</v>
      </c>
    </row>
    <row r="29" spans="1:31">
      <c r="A29" s="23">
        <f>_xlfn.RANK.EQ(' 5-Forecast Cash Flow + Profits'!AP29,' 5-Forecast Cash Flow + Profits'!$AP$4:$AP$247,0)</f>
        <v>115</v>
      </c>
      <c r="B29" s="23" t="str">
        <f>' 5-Forecast Cash Flow + Profits'!A29</f>
        <v>W121</v>
      </c>
      <c r="C29" s="68">
        <f>' 5-Forecast Cash Flow + Profits'!AD29+' 5-Forecast Cash Flow + Profits'!AI29</f>
        <v>-16965.419841490067</v>
      </c>
      <c r="D29" s="68">
        <f>' 5-Forecast Cash Flow + Profits'!AP29</f>
        <v>-5971.0198414900697</v>
      </c>
      <c r="E29" t="s">
        <v>421</v>
      </c>
      <c r="F29" t="s">
        <v>422</v>
      </c>
      <c r="G29" s="63">
        <f>' 5-Forecast Cash Flow + Profits'!AM29</f>
        <v>-23971.019841490066</v>
      </c>
      <c r="H29" s="63">
        <f>' 5-Forecast Cash Flow + Profits'!AN29</f>
        <v>28.980158509930334</v>
      </c>
      <c r="I29" s="63">
        <f>' 5-Forecast Cash Flow + Profits'!AO29</f>
        <v>28.980158509930334</v>
      </c>
      <c r="J29" s="63">
        <f>' 5-Forecast Cash Flow + Profits'!AP29</f>
        <v>-5971.0198414900697</v>
      </c>
      <c r="O29" s="23">
        <v>26</v>
      </c>
      <c r="P29" s="23" t="str">
        <f>VLOOKUP(O29,$A$4:$B$247,2,FALSE)</f>
        <v>W159</v>
      </c>
      <c r="Q29" s="23" t="str">
        <f>VLOOKUP(O29,$A$4:$F$247,5,FALSE)</f>
        <v>Miami</v>
      </c>
      <c r="R29" s="23" t="str">
        <f>VLOOKUP(O29,$A$4:$F$247,6,FALSE)</f>
        <v>FL</v>
      </c>
      <c r="S29" s="68">
        <f>O29*' 5-Forecast Cash Flow + Profits'!$AG$7</f>
        <v>780000</v>
      </c>
      <c r="T29" s="68">
        <f>VLOOKUP(O29,$A$4:$C$247,3,FALSE)</f>
        <v>13590.764366156553</v>
      </c>
      <c r="U29" s="68">
        <f>VLOOKUP(O29,$A$4:$D$247,4,FALSE)</f>
        <v>15244.364366156547</v>
      </c>
      <c r="V29" s="89" t="str">
        <f>IF(S29&lt;$L$6,IF(U29&gt;' 5-Forecast Cash Flow + Profits'!$AG$29,"YES","NO"),"NO")</f>
        <v>NO</v>
      </c>
      <c r="W29" s="89" t="str">
        <f>IF(U29&gt;' 5-Forecast Cash Flow + Profits'!$AG$29, "YES", "NO")</f>
        <v>YES</v>
      </c>
      <c r="X29" s="68">
        <f>T29+X28</f>
        <v>1111082.3068130566</v>
      </c>
      <c r="Y29" s="68">
        <f>VLOOKUP($O29,$A$4:$J$247,7,FALSE)</f>
        <v>-2755.6356338434489</v>
      </c>
      <c r="Z29" s="68">
        <f>VLOOKUP($O29,$A$4:$J$247,8,FALSE)</f>
        <v>21244.364366156547</v>
      </c>
      <c r="AA29" s="68">
        <f>VLOOKUP($O29,$A$4:$J$247,9,FALSE)</f>
        <v>21244.364366156547</v>
      </c>
      <c r="AB29" s="68">
        <f>VLOOKUP($O29,$A$4:$J$247,10,FALSE)</f>
        <v>15244.364366156547</v>
      </c>
    </row>
    <row r="30" spans="1:31">
      <c r="A30" s="23">
        <f>_xlfn.RANK.EQ(' 5-Forecast Cash Flow + Profits'!AP30,' 5-Forecast Cash Flow + Profits'!$AP$4:$AP$247,0)</f>
        <v>82</v>
      </c>
      <c r="B30" s="23" t="str">
        <f>' 5-Forecast Cash Flow + Profits'!A30</f>
        <v>W122</v>
      </c>
      <c r="C30" s="68">
        <f>' 5-Forecast Cash Flow + Profits'!AD30+' 5-Forecast Cash Flow + Profits'!AI30</f>
        <v>-9688.2664355075976</v>
      </c>
      <c r="D30" s="68">
        <f>' 5-Forecast Cash Flow + Profits'!AP30</f>
        <v>-1029.0664355076005</v>
      </c>
      <c r="E30" t="s">
        <v>421</v>
      </c>
      <c r="F30" t="s">
        <v>422</v>
      </c>
      <c r="G30" s="63">
        <f>' 5-Forecast Cash Flow + Profits'!AM30</f>
        <v>-19029.066435507597</v>
      </c>
      <c r="H30" s="63">
        <f>' 5-Forecast Cash Flow + Profits'!AN30</f>
        <v>4970.9335644923995</v>
      </c>
      <c r="I30" s="63">
        <f>' 5-Forecast Cash Flow + Profits'!AO30</f>
        <v>4970.9335644923995</v>
      </c>
      <c r="J30" s="63">
        <f>' 5-Forecast Cash Flow + Profits'!AP30</f>
        <v>-1029.0664355076005</v>
      </c>
      <c r="O30" s="23">
        <v>27</v>
      </c>
      <c r="P30" s="23" t="str">
        <f>VLOOKUP(O30,$A$4:$B$247,2,FALSE)</f>
        <v>W47</v>
      </c>
      <c r="Q30" s="23" t="str">
        <f>VLOOKUP(O30,$A$4:$F$247,5,FALSE)</f>
        <v>New York</v>
      </c>
      <c r="R30" s="23" t="str">
        <f>VLOOKUP(O30,$A$4:$F$247,6,FALSE)</f>
        <v>NY</v>
      </c>
      <c r="S30" s="68">
        <f>O30*' 5-Forecast Cash Flow + Profits'!$AG$7</f>
        <v>810000</v>
      </c>
      <c r="T30" s="68">
        <f>VLOOKUP(O30,$A$4:$C$247,3,FALSE)</f>
        <v>36441.46797209989</v>
      </c>
      <c r="U30" s="68">
        <f>VLOOKUP(O30,$A$4:$D$247,4,FALSE)</f>
        <v>13575.46797209989</v>
      </c>
      <c r="V30" s="89" t="str">
        <f>IF(S30&lt;$L$6,IF(U30&gt;' 5-Forecast Cash Flow + Profits'!$AG$29,"YES","NO"),"NO")</f>
        <v>NO</v>
      </c>
      <c r="W30" s="89" t="str">
        <f>IF(U30&gt;' 5-Forecast Cash Flow + Profits'!$AG$29, "YES", "NO")</f>
        <v>YES</v>
      </c>
      <c r="X30" s="68">
        <f>T30+X29</f>
        <v>1147523.7747851564</v>
      </c>
      <c r="Y30" s="68">
        <f>VLOOKUP($O30,$A$4:$J$247,7,FALSE)</f>
        <v>-4424.5320279001098</v>
      </c>
      <c r="Z30" s="68">
        <f>VLOOKUP($O30,$A$4:$J$247,8,FALSE)</f>
        <v>19575.46797209989</v>
      </c>
      <c r="AA30" s="68">
        <f>VLOOKUP($O30,$A$4:$J$247,9,FALSE)</f>
        <v>19575.46797209989</v>
      </c>
      <c r="AB30" s="68">
        <f>VLOOKUP($O30,$A$4:$J$247,10,FALSE)</f>
        <v>13575.46797209989</v>
      </c>
    </row>
    <row r="31" spans="1:31">
      <c r="A31" s="23">
        <f>_xlfn.RANK.EQ(' 5-Forecast Cash Flow + Profits'!AP31,' 5-Forecast Cash Flow + Profits'!$AP$4:$AP$247,0)</f>
        <v>34</v>
      </c>
      <c r="B31" s="23" t="str">
        <f>' 5-Forecast Cash Flow + Profits'!A31</f>
        <v>W123</v>
      </c>
      <c r="C31" s="68">
        <f>' 5-Forecast Cash Flow + Profits'!AD31+' 5-Forecast Cash Flow + Profits'!AI31</f>
        <v>-603.0760399760693</v>
      </c>
      <c r="D31" s="68">
        <f>' 5-Forecast Cash Flow + Profits'!AP31</f>
        <v>9223.72396002393</v>
      </c>
      <c r="E31" t="s">
        <v>421</v>
      </c>
      <c r="F31" t="s">
        <v>422</v>
      </c>
      <c r="G31" s="63">
        <f>' 5-Forecast Cash Flow + Profits'!AM31</f>
        <v>-8776.2760399760664</v>
      </c>
      <c r="H31" s="63">
        <f>' 5-Forecast Cash Flow + Profits'!AN31</f>
        <v>15223.72396002393</v>
      </c>
      <c r="I31" s="63">
        <f>' 5-Forecast Cash Flow + Profits'!AO31</f>
        <v>15223.72396002393</v>
      </c>
      <c r="J31" s="63">
        <f>' 5-Forecast Cash Flow + Profits'!AP31</f>
        <v>9223.72396002393</v>
      </c>
      <c r="O31" s="23">
        <v>28</v>
      </c>
      <c r="P31" s="23" t="str">
        <f>VLOOKUP(O31,$A$4:$B$247,2,FALSE)</f>
        <v>W118</v>
      </c>
      <c r="Q31" s="23" t="str">
        <f>VLOOKUP(O31,$A$4:$F$247,5,FALSE)</f>
        <v>Austin</v>
      </c>
      <c r="R31" s="23" t="str">
        <f>VLOOKUP(O31,$A$4:$F$247,6,FALSE)</f>
        <v>TX</v>
      </c>
      <c r="S31" s="68">
        <f>O31*' 5-Forecast Cash Flow + Profits'!$AG$7</f>
        <v>840000</v>
      </c>
      <c r="T31" s="68">
        <f>VLOOKUP(O31,$A$4:$C$247,3,FALSE)</f>
        <v>11637.660688469186</v>
      </c>
      <c r="U31" s="68">
        <f>VLOOKUP(O31,$A$4:$D$247,4,FALSE)</f>
        <v>13291.260688469181</v>
      </c>
      <c r="V31" s="89" t="str">
        <f>IF(S31&lt;$L$6,IF(U31&gt;' 5-Forecast Cash Flow + Profits'!$AG$29,"YES","NO"),"NO")</f>
        <v>NO</v>
      </c>
      <c r="W31" s="89" t="str">
        <f>IF(U31&gt;' 5-Forecast Cash Flow + Profits'!$AG$29, "YES", "NO")</f>
        <v>YES</v>
      </c>
      <c r="X31" s="68">
        <f>T31+X30</f>
        <v>1159161.4354736255</v>
      </c>
      <c r="Y31" s="68">
        <f>VLOOKUP($O31,$A$4:$J$247,7,FALSE)</f>
        <v>-4708.739311530815</v>
      </c>
      <c r="Z31" s="68">
        <f>VLOOKUP($O31,$A$4:$J$247,8,FALSE)</f>
        <v>19291.260688469181</v>
      </c>
      <c r="AA31" s="68">
        <f>VLOOKUP($O31,$A$4:$J$247,9,FALSE)</f>
        <v>19291.260688469181</v>
      </c>
      <c r="AB31" s="68">
        <f>VLOOKUP($O31,$A$4:$J$247,10,FALSE)</f>
        <v>13291.260688469181</v>
      </c>
    </row>
    <row r="32" spans="1:31">
      <c r="A32" s="23">
        <f>_xlfn.RANK.EQ(' 5-Forecast Cash Flow + Profits'!AP32,' 5-Forecast Cash Flow + Profits'!$AP$4:$AP$247,0)</f>
        <v>57</v>
      </c>
      <c r="B32" s="23" t="str">
        <f>' 5-Forecast Cash Flow + Profits'!A32</f>
        <v>W124</v>
      </c>
      <c r="C32" s="68">
        <f>' 5-Forecast Cash Flow + Profits'!AD32+' 5-Forecast Cash Flow + Profits'!AI32</f>
        <v>-2984.0532992359804</v>
      </c>
      <c r="D32" s="68">
        <f>' 5-Forecast Cash Flow + Profits'!AP32</f>
        <v>3339.9467007640233</v>
      </c>
      <c r="E32" t="s">
        <v>421</v>
      </c>
      <c r="F32" t="s">
        <v>422</v>
      </c>
      <c r="G32" s="63">
        <f>' 5-Forecast Cash Flow + Profits'!AM32</f>
        <v>-14660.05329923598</v>
      </c>
      <c r="H32" s="63">
        <f>' 5-Forecast Cash Flow + Profits'!AN32</f>
        <v>9339.9467007640233</v>
      </c>
      <c r="I32" s="63">
        <f>' 5-Forecast Cash Flow + Profits'!AO32</f>
        <v>9339.9467007640233</v>
      </c>
      <c r="J32" s="63">
        <f>' 5-Forecast Cash Flow + Profits'!AP32</f>
        <v>3339.9467007640233</v>
      </c>
      <c r="O32" s="23">
        <v>29</v>
      </c>
      <c r="P32" s="23" t="str">
        <f>VLOOKUP(O32,$A$4:$B$247,2,FALSE)</f>
        <v>W199</v>
      </c>
      <c r="Q32" s="23" t="str">
        <f>VLOOKUP(O32,$A$4:$F$247,5,FALSE)</f>
        <v>San Diego</v>
      </c>
      <c r="R32" s="23" t="str">
        <f>VLOOKUP(O32,$A$4:$F$247,6,FALSE)</f>
        <v>CA</v>
      </c>
      <c r="S32" s="68">
        <f>O32*' 5-Forecast Cash Flow + Profits'!$AG$7</f>
        <v>870000</v>
      </c>
      <c r="T32" s="68">
        <f>VLOOKUP(O32,$A$4:$C$247,3,FALSE)</f>
        <v>24109.684484600497</v>
      </c>
      <c r="U32" s="68">
        <f>VLOOKUP(O32,$A$4:$D$247,4,FALSE)</f>
        <v>12919.684484600497</v>
      </c>
      <c r="V32" s="89" t="str">
        <f>IF(S32&lt;$L$6,IF(U32&gt;' 5-Forecast Cash Flow + Profits'!$AG$29,"YES","NO"),"NO")</f>
        <v>NO</v>
      </c>
      <c r="W32" s="89" t="str">
        <f>IF(U32&gt;' 5-Forecast Cash Flow + Profits'!$AG$29, "YES", "NO")</f>
        <v>YES</v>
      </c>
      <c r="X32" s="68">
        <f>T32+X31</f>
        <v>1183271.1199582261</v>
      </c>
      <c r="Y32" s="68">
        <f>VLOOKUP($O32,$A$4:$J$247,7,FALSE)</f>
        <v>-5080.3155153995031</v>
      </c>
      <c r="Z32" s="68">
        <f>VLOOKUP($O32,$A$4:$J$247,8,FALSE)</f>
        <v>18919.684484600497</v>
      </c>
      <c r="AA32" s="68">
        <f>VLOOKUP($O32,$A$4:$J$247,9,FALSE)</f>
        <v>18919.684484600497</v>
      </c>
      <c r="AB32" s="68">
        <f>VLOOKUP($O32,$A$4:$J$247,10,FALSE)</f>
        <v>12919.684484600497</v>
      </c>
    </row>
    <row r="33" spans="1:28">
      <c r="A33" s="23">
        <f>_xlfn.RANK.EQ(' 5-Forecast Cash Flow + Profits'!AP33,' 5-Forecast Cash Flow + Profits'!$AP$4:$AP$247,0)</f>
        <v>94</v>
      </c>
      <c r="B33" s="23" t="str">
        <f>' 5-Forecast Cash Flow + Profits'!A33</f>
        <v>W125</v>
      </c>
      <c r="C33" s="68">
        <f>' 5-Forecast Cash Flow + Profits'!AD33+' 5-Forecast Cash Flow + Profits'!AI33</f>
        <v>-13317.013781498943</v>
      </c>
      <c r="D33" s="68">
        <f>' 5-Forecast Cash Flow + Profits'!AP33</f>
        <v>-3490.2137814989437</v>
      </c>
      <c r="E33" t="s">
        <v>421</v>
      </c>
      <c r="F33" t="s">
        <v>422</v>
      </c>
      <c r="G33" s="63">
        <f>' 5-Forecast Cash Flow + Profits'!AM33</f>
        <v>-21490.213781498944</v>
      </c>
      <c r="H33" s="63">
        <f>' 5-Forecast Cash Flow + Profits'!AN33</f>
        <v>2509.7862185010545</v>
      </c>
      <c r="I33" s="63">
        <f>' 5-Forecast Cash Flow + Profits'!AO33</f>
        <v>2509.7862185010545</v>
      </c>
      <c r="J33" s="63">
        <f>' 5-Forecast Cash Flow + Profits'!AP33</f>
        <v>-3490.2137814989437</v>
      </c>
      <c r="O33" s="23">
        <v>30</v>
      </c>
      <c r="P33" s="23" t="str">
        <f>VLOOKUP(O33,$A$4:$B$247,2,FALSE)</f>
        <v>W50</v>
      </c>
      <c r="Q33" s="23" t="str">
        <f>VLOOKUP(O33,$A$4:$F$247,5,FALSE)</f>
        <v>New York</v>
      </c>
      <c r="R33" s="23" t="str">
        <f>VLOOKUP(O33,$A$4:$F$247,6,FALSE)</f>
        <v>NY</v>
      </c>
      <c r="S33" s="68">
        <f>O33*' 5-Forecast Cash Flow + Profits'!$AG$7</f>
        <v>900000</v>
      </c>
      <c r="T33" s="68">
        <f>VLOOKUP(O33,$A$4:$C$247,3,FALSE)</f>
        <v>29491.960731291707</v>
      </c>
      <c r="U33" s="68">
        <f>VLOOKUP(O33,$A$4:$D$247,4,FALSE)</f>
        <v>12463.960731291707</v>
      </c>
      <c r="V33" s="89" t="str">
        <f>IF(S33&lt;$L$6,IF(U33&gt;' 5-Forecast Cash Flow + Profits'!$AG$29,"YES","NO"),"NO")</f>
        <v>NO</v>
      </c>
      <c r="W33" s="89" t="str">
        <f>IF(U33&gt;' 5-Forecast Cash Flow + Profits'!$AG$29, "YES", "NO")</f>
        <v>YES</v>
      </c>
      <c r="X33" s="68">
        <f>T33+X32</f>
        <v>1212763.0806895178</v>
      </c>
      <c r="Y33" s="68">
        <f>VLOOKUP($O33,$A$4:$J$247,7,FALSE)</f>
        <v>-5536.0392687082931</v>
      </c>
      <c r="Z33" s="68">
        <f>VLOOKUP($O33,$A$4:$J$247,8,FALSE)</f>
        <v>18463.960731291707</v>
      </c>
      <c r="AA33" s="68">
        <f>VLOOKUP($O33,$A$4:$J$247,9,FALSE)</f>
        <v>18463.960731291707</v>
      </c>
      <c r="AB33" s="68">
        <f>VLOOKUP($O33,$A$4:$J$247,10,FALSE)</f>
        <v>12463.960731291707</v>
      </c>
    </row>
    <row r="34" spans="1:28">
      <c r="A34" s="23">
        <f>_xlfn.RANK.EQ(' 5-Forecast Cash Flow + Profits'!AP34,' 5-Forecast Cash Flow + Profits'!$AP$4:$AP$247,0)</f>
        <v>71</v>
      </c>
      <c r="B34" s="23" t="str">
        <f>' 5-Forecast Cash Flow + Profits'!A34</f>
        <v>W126</v>
      </c>
      <c r="C34" s="68">
        <f>' 5-Forecast Cash Flow + Profits'!AD34+' 5-Forecast Cash Flow + Profits'!AI34</f>
        <v>-6693.8791563812374</v>
      </c>
      <c r="D34" s="68">
        <f>' 5-Forecast Cash Flow + Profits'!AP34</f>
        <v>797.72084361876477</v>
      </c>
      <c r="E34" t="s">
        <v>421</v>
      </c>
      <c r="F34" t="s">
        <v>422</v>
      </c>
      <c r="G34" s="63">
        <f>' 5-Forecast Cash Flow + Profits'!AM34</f>
        <v>-17202.279156381235</v>
      </c>
      <c r="H34" s="63">
        <f>' 5-Forecast Cash Flow + Profits'!AN34</f>
        <v>6797.7208436187666</v>
      </c>
      <c r="I34" s="63">
        <f>' 5-Forecast Cash Flow + Profits'!AO34</f>
        <v>6797.7208436187666</v>
      </c>
      <c r="J34" s="63">
        <f>' 5-Forecast Cash Flow + Profits'!AP34</f>
        <v>797.72084361876477</v>
      </c>
      <c r="O34" s="23">
        <v>31</v>
      </c>
      <c r="P34" s="23" t="str">
        <f>VLOOKUP(O34,$A$4:$B$247,2,FALSE)</f>
        <v>W143</v>
      </c>
      <c r="Q34" s="23" t="str">
        <f>VLOOKUP(O34,$A$4:$F$247,5,FALSE)</f>
        <v>Denver</v>
      </c>
      <c r="R34" s="23" t="str">
        <f>VLOOKUP(O34,$A$4:$F$247,6,FALSE)</f>
        <v>CO</v>
      </c>
      <c r="S34" s="68">
        <f>O34*' 5-Forecast Cash Flow + Profits'!$AG$7</f>
        <v>930000</v>
      </c>
      <c r="T34" s="68">
        <f>VLOOKUP(O34,$A$4:$C$247,3,FALSE)</f>
        <v>9096.3022451668803</v>
      </c>
      <c r="U34" s="68">
        <f>VLOOKUP(O34,$A$4:$D$247,4,FALSE)</f>
        <v>11917.502245166877</v>
      </c>
      <c r="V34" s="89" t="str">
        <f>IF(S34&lt;$L$6,IF(U34&gt;' 5-Forecast Cash Flow + Profits'!$AG$29,"YES","NO"),"NO")</f>
        <v>NO</v>
      </c>
      <c r="W34" s="89" t="str">
        <f>IF(U34&gt;' 5-Forecast Cash Flow + Profits'!$AG$29, "YES", "NO")</f>
        <v>YES</v>
      </c>
      <c r="X34" s="68">
        <f>T34+X33</f>
        <v>1221859.3829346846</v>
      </c>
      <c r="Y34" s="68">
        <f>VLOOKUP($O34,$A$4:$J$247,7,FALSE)</f>
        <v>-6082.4977548331226</v>
      </c>
      <c r="Z34" s="68">
        <f>VLOOKUP($O34,$A$4:$J$247,8,FALSE)</f>
        <v>17917.502245166877</v>
      </c>
      <c r="AA34" s="68">
        <f>VLOOKUP($O34,$A$4:$J$247,9,FALSE)</f>
        <v>17917.502245166877</v>
      </c>
      <c r="AB34" s="68">
        <f>VLOOKUP($O34,$A$4:$J$247,10,FALSE)</f>
        <v>11917.502245166877</v>
      </c>
    </row>
    <row r="35" spans="1:28">
      <c r="A35" s="23">
        <f>_xlfn.RANK.EQ(' 5-Forecast Cash Flow + Profits'!AP35,' 5-Forecast Cash Flow + Profits'!$AP$4:$AP$247,0)</f>
        <v>119</v>
      </c>
      <c r="B35" s="23" t="str">
        <f>' 5-Forecast Cash Flow + Profits'!A35</f>
        <v>W127</v>
      </c>
      <c r="C35" s="68">
        <f>' 5-Forecast Cash Flow + Profits'!AD35+' 5-Forecast Cash Flow + Profits'!AI35</f>
        <v>-12614.461373874779</v>
      </c>
      <c r="D35" s="68">
        <f>' 5-Forecast Cash Flow + Profits'!AP35</f>
        <v>-6290.4613738747794</v>
      </c>
      <c r="E35" t="s">
        <v>421</v>
      </c>
      <c r="F35" t="s">
        <v>422</v>
      </c>
      <c r="G35" s="63">
        <f>' 5-Forecast Cash Flow + Profits'!AM35</f>
        <v>-24290.461373874779</v>
      </c>
      <c r="H35" s="63">
        <f>' 5-Forecast Cash Flow + Profits'!AN35</f>
        <v>-290.46137387477938</v>
      </c>
      <c r="I35" s="63">
        <f>' 5-Forecast Cash Flow + Profits'!AO35</f>
        <v>-290.46137387477938</v>
      </c>
      <c r="J35" s="63">
        <f>' 5-Forecast Cash Flow + Profits'!AP35</f>
        <v>-6290.4613738747794</v>
      </c>
      <c r="O35" s="23">
        <v>32</v>
      </c>
      <c r="P35" s="23" t="str">
        <f>VLOOKUP(O35,$A$4:$B$247,2,FALSE)</f>
        <v>W196</v>
      </c>
      <c r="Q35" s="23" t="str">
        <f>VLOOKUP(O35,$A$4:$F$247,5,FALSE)</f>
        <v>San Diego</v>
      </c>
      <c r="R35" s="23" t="str">
        <f>VLOOKUP(O35,$A$4:$F$247,6,FALSE)</f>
        <v>CA</v>
      </c>
      <c r="S35" s="68">
        <f>O35*' 5-Forecast Cash Flow + Profits'!$AG$7</f>
        <v>960000</v>
      </c>
      <c r="T35" s="68">
        <f>VLOOKUP(O35,$A$4:$C$247,3,FALSE)</f>
        <v>22722.880491060612</v>
      </c>
      <c r="U35" s="68">
        <f>VLOOKUP(O35,$A$4:$D$247,4,FALSE)</f>
        <v>11532.880491060612</v>
      </c>
      <c r="V35" s="89" t="str">
        <f>IF(S35&lt;$L$6,IF(U35&gt;' 5-Forecast Cash Flow + Profits'!$AG$29,"YES","NO"),"NO")</f>
        <v>NO</v>
      </c>
      <c r="W35" s="89" t="str">
        <f>IF(U35&gt;' 5-Forecast Cash Flow + Profits'!$AG$29, "YES", "NO")</f>
        <v>YES</v>
      </c>
      <c r="X35" s="68">
        <f>T35+X34</f>
        <v>1244582.2634257453</v>
      </c>
      <c r="Y35" s="68">
        <f>VLOOKUP($O35,$A$4:$J$247,7,FALSE)</f>
        <v>-6467.1195089393877</v>
      </c>
      <c r="Z35" s="68">
        <f>VLOOKUP($O35,$A$4:$J$247,8,FALSE)</f>
        <v>17532.880491060612</v>
      </c>
      <c r="AA35" s="68">
        <f>VLOOKUP($O35,$A$4:$J$247,9,FALSE)</f>
        <v>17532.880491060612</v>
      </c>
      <c r="AB35" s="68">
        <f>VLOOKUP($O35,$A$4:$J$247,10,FALSE)</f>
        <v>11532.880491060612</v>
      </c>
    </row>
    <row r="36" spans="1:28">
      <c r="A36" s="23">
        <f>_xlfn.RANK.EQ(' 5-Forecast Cash Flow + Profits'!AP36,' 5-Forecast Cash Flow + Profits'!$AP$4:$AP$247,0)</f>
        <v>78</v>
      </c>
      <c r="B36" s="23" t="str">
        <f>' 5-Forecast Cash Flow + Profits'!A36</f>
        <v>W128</v>
      </c>
      <c r="C36" s="68">
        <f>' 5-Forecast Cash Flow + Profits'!AD36+' 5-Forecast Cash Flow + Profits'!AI36</f>
        <v>-4517.0193746937366</v>
      </c>
      <c r="D36" s="68">
        <f>' 5-Forecast Cash Flow + Profits'!AP36</f>
        <v>-528.21937469373734</v>
      </c>
      <c r="E36" t="s">
        <v>421</v>
      </c>
      <c r="F36" t="s">
        <v>422</v>
      </c>
      <c r="G36" s="63">
        <f>' 5-Forecast Cash Flow + Profits'!AM36</f>
        <v>-18528.219374693734</v>
      </c>
      <c r="H36" s="63">
        <f>' 5-Forecast Cash Flow + Profits'!AN36</f>
        <v>5471.7806253062627</v>
      </c>
      <c r="I36" s="63">
        <f>' 5-Forecast Cash Flow + Profits'!AO36</f>
        <v>5471.7806253062627</v>
      </c>
      <c r="J36" s="63">
        <f>' 5-Forecast Cash Flow + Profits'!AP36</f>
        <v>-528.21937469373734</v>
      </c>
      <c r="O36" s="23">
        <v>33</v>
      </c>
      <c r="P36" s="23" t="str">
        <f>VLOOKUP(O36,$A$4:$B$247,2,FALSE)</f>
        <v>W103</v>
      </c>
      <c r="Q36" s="23" t="str">
        <f>VLOOKUP(O36,$A$4:$F$247,5,FALSE)</f>
        <v>Austin</v>
      </c>
      <c r="R36" s="23" t="str">
        <f>VLOOKUP(O36,$A$4:$F$247,6,FALSE)</f>
        <v>TX</v>
      </c>
      <c r="S36" s="68">
        <f>O36*' 5-Forecast Cash Flow + Profits'!$AG$7</f>
        <v>990000</v>
      </c>
      <c r="T36" s="68">
        <f>VLOOKUP(O36,$A$4:$C$247,3,FALSE)</f>
        <v>10237.909142207769</v>
      </c>
      <c r="U36" s="68">
        <f>VLOOKUP(O36,$A$4:$D$247,4,FALSE)</f>
        <v>9556.3091422077705</v>
      </c>
      <c r="V36" s="89" t="str">
        <f>IF(S36&lt;$L$6,IF(U36&gt;' 5-Forecast Cash Flow + Profits'!$AG$29,"YES","NO"),"NO")</f>
        <v>NO</v>
      </c>
      <c r="W36" s="89" t="str">
        <f>IF(U36&gt;' 5-Forecast Cash Flow + Profits'!$AG$29, "YES", "NO")</f>
        <v>YES</v>
      </c>
      <c r="X36" s="68">
        <f>T36+X35</f>
        <v>1254820.1725679531</v>
      </c>
      <c r="Y36" s="68">
        <f>VLOOKUP($O36,$A$4:$J$247,7,FALSE)</f>
        <v>-8443.6908577922295</v>
      </c>
      <c r="Z36" s="68">
        <f>VLOOKUP($O36,$A$4:$J$247,8,FALSE)</f>
        <v>15556.30914220777</v>
      </c>
      <c r="AA36" s="68">
        <f>VLOOKUP($O36,$A$4:$J$247,9,FALSE)</f>
        <v>15556.30914220777</v>
      </c>
      <c r="AB36" s="68">
        <f>VLOOKUP($O36,$A$4:$J$247,10,FALSE)</f>
        <v>9556.3091422077705</v>
      </c>
    </row>
    <row r="37" spans="1:28">
      <c r="A37" s="23">
        <f>_xlfn.RANK.EQ(' 5-Forecast Cash Flow + Profits'!AP37,' 5-Forecast Cash Flow + Profits'!$AP$4:$AP$247,0)</f>
        <v>87</v>
      </c>
      <c r="B37" s="23" t="str">
        <f>' 5-Forecast Cash Flow + Profits'!A37</f>
        <v>W129</v>
      </c>
      <c r="C37" s="68">
        <f>' 5-Forecast Cash Flow + Profits'!AD37+' 5-Forecast Cash Flow + Profits'!AI37</f>
        <v>-5640.9777616437714</v>
      </c>
      <c r="D37" s="68">
        <f>' 5-Forecast Cash Flow + Profits'!AP37</f>
        <v>-1652.1777616437648</v>
      </c>
      <c r="E37" t="s">
        <v>423</v>
      </c>
      <c r="F37" t="s">
        <v>424</v>
      </c>
      <c r="G37" s="63">
        <f>' 5-Forecast Cash Flow + Profits'!AM37</f>
        <v>-19652.177761643768</v>
      </c>
      <c r="H37" s="63">
        <f>' 5-Forecast Cash Flow + Profits'!AN37</f>
        <v>4347.8222383562352</v>
      </c>
      <c r="I37" s="63">
        <f>' 5-Forecast Cash Flow + Profits'!AO37</f>
        <v>4347.8222383562352</v>
      </c>
      <c r="J37" s="63">
        <f>' 5-Forecast Cash Flow + Profits'!AP37</f>
        <v>-1652.1777616437648</v>
      </c>
      <c r="O37" s="23">
        <v>34</v>
      </c>
      <c r="P37" s="23" t="str">
        <f>VLOOKUP(O37,$A$4:$B$247,2,FALSE)</f>
        <v>W123</v>
      </c>
      <c r="Q37" s="23" t="str">
        <f>VLOOKUP(O37,$A$4:$F$247,5,FALSE)</f>
        <v>Bentonville</v>
      </c>
      <c r="R37" s="23" t="str">
        <f>VLOOKUP(O37,$A$4:$F$247,6,FALSE)</f>
        <v>AR</v>
      </c>
      <c r="S37" s="68">
        <f>O37*' 5-Forecast Cash Flow + Profits'!$AG$7</f>
        <v>1020000</v>
      </c>
      <c r="T37" s="68">
        <f>VLOOKUP(O37,$A$4:$C$247,3,FALSE)</f>
        <v>-603.0760399760693</v>
      </c>
      <c r="U37" s="68">
        <f>VLOOKUP(O37,$A$4:$D$247,4,FALSE)</f>
        <v>9223.72396002393</v>
      </c>
      <c r="V37" s="89" t="str">
        <f>IF(S37&lt;$L$6,IF(U37&gt;' 5-Forecast Cash Flow + Profits'!$AG$29,"YES","NO"),"NO")</f>
        <v>NO</v>
      </c>
      <c r="W37" s="89" t="str">
        <f>IF(U37&gt;' 5-Forecast Cash Flow + Profits'!$AG$29, "YES", "NO")</f>
        <v>YES</v>
      </c>
      <c r="X37" s="68">
        <f>T37+X36</f>
        <v>1254217.0965279771</v>
      </c>
      <c r="Y37" s="68">
        <f>VLOOKUP($O37,$A$4:$J$247,7,FALSE)</f>
        <v>-8776.2760399760664</v>
      </c>
      <c r="Z37" s="68">
        <f>VLOOKUP($O37,$A$4:$J$247,8,FALSE)</f>
        <v>15223.72396002393</v>
      </c>
      <c r="AA37" s="68">
        <f>VLOOKUP($O37,$A$4:$J$247,9,FALSE)</f>
        <v>15223.72396002393</v>
      </c>
      <c r="AB37" s="68">
        <f>VLOOKUP($O37,$A$4:$J$247,10,FALSE)</f>
        <v>9223.72396002393</v>
      </c>
    </row>
    <row r="38" spans="1:28">
      <c r="A38" s="23">
        <f>_xlfn.RANK.EQ(' 5-Forecast Cash Flow + Profits'!AP38,' 5-Forecast Cash Flow + Profits'!$AP$4:$AP$247,0)</f>
        <v>179</v>
      </c>
      <c r="B38" s="23" t="str">
        <f>' 5-Forecast Cash Flow + Profits'!A38</f>
        <v>W13</v>
      </c>
      <c r="C38" s="68">
        <f>' 5-Forecast Cash Flow + Profits'!AD38+' 5-Forecast Cash Flow + Profits'!AI38</f>
        <v>-21105.289959945418</v>
      </c>
      <c r="D38" s="68">
        <f>' 5-Forecast Cash Flow + Profits'!AP38</f>
        <v>-13847.209959945421</v>
      </c>
      <c r="E38" t="s">
        <v>415</v>
      </c>
      <c r="F38" t="s">
        <v>416</v>
      </c>
      <c r="G38" s="63">
        <f>' 5-Forecast Cash Flow + Profits'!AM38</f>
        <v>-31847.209959945416</v>
      </c>
      <c r="H38" s="63">
        <f>' 5-Forecast Cash Flow + Profits'!AN38</f>
        <v>-7847.2099599454214</v>
      </c>
      <c r="I38" s="63">
        <f>' 5-Forecast Cash Flow + Profits'!AO38</f>
        <v>-7847.2099599454214</v>
      </c>
      <c r="J38" s="63">
        <f>' 5-Forecast Cash Flow + Profits'!AP38</f>
        <v>-13847.209959945421</v>
      </c>
      <c r="O38" s="23">
        <v>35</v>
      </c>
      <c r="P38" s="23" t="str">
        <f>VLOOKUP(O38,$A$4:$B$247,2,FALSE)</f>
        <v>W28</v>
      </c>
      <c r="Q38" s="23" t="str">
        <f>VLOOKUP(O38,$A$4:$F$247,5,FALSE)</f>
        <v>Chicago</v>
      </c>
      <c r="R38" s="23" t="str">
        <f>VLOOKUP(O38,$A$4:$F$247,6,FALSE)</f>
        <v>IL</v>
      </c>
      <c r="S38" s="68">
        <f>O38*' 5-Forecast Cash Flow + Profits'!$AG$7</f>
        <v>1050000</v>
      </c>
      <c r="T38" s="68">
        <f>VLOOKUP(O38,$A$4:$C$247,3,FALSE)</f>
        <v>14749.911307959395</v>
      </c>
      <c r="U38" s="68">
        <f>VLOOKUP(O38,$A$4:$D$247,4,FALSE)</f>
        <v>8230.3113079593968</v>
      </c>
      <c r="V38" s="89" t="str">
        <f>IF(S38&lt;$L$6,IF(U38&gt;' 5-Forecast Cash Flow + Profits'!$AG$29,"YES","NO"),"NO")</f>
        <v>NO</v>
      </c>
      <c r="W38" s="89" t="str">
        <f>IF(U38&gt;' 5-Forecast Cash Flow + Profits'!$AG$29, "YES", "NO")</f>
        <v>YES</v>
      </c>
      <c r="X38" s="68">
        <f>T38+X37</f>
        <v>1268967.0078359365</v>
      </c>
      <c r="Y38" s="68">
        <f>VLOOKUP($O38,$A$4:$J$247,7,FALSE)</f>
        <v>-9769.6886920406032</v>
      </c>
      <c r="Z38" s="68">
        <f>VLOOKUP($O38,$A$4:$J$247,8,FALSE)</f>
        <v>14230.311307959397</v>
      </c>
      <c r="AA38" s="68">
        <f>VLOOKUP($O38,$A$4:$J$247,9,FALSE)</f>
        <v>14230.311307959397</v>
      </c>
      <c r="AB38" s="68">
        <f>VLOOKUP($O38,$A$4:$J$247,10,FALSE)</f>
        <v>8230.3113079593968</v>
      </c>
    </row>
    <row r="39" spans="1:28">
      <c r="A39" s="23">
        <f>_xlfn.RANK.EQ(' 5-Forecast Cash Flow + Profits'!AP39,' 5-Forecast Cash Flow + Profits'!$AP$4:$AP$247,0)</f>
        <v>41</v>
      </c>
      <c r="B39" s="23" t="str">
        <f>' 5-Forecast Cash Flow + Profits'!A39</f>
        <v>W130</v>
      </c>
      <c r="C39" s="68">
        <f>' 5-Forecast Cash Flow + Profits'!AD39+' 5-Forecast Cash Flow + Profits'!AI39</f>
        <v>3275.8147096008397</v>
      </c>
      <c r="D39" s="68">
        <f>' 5-Forecast Cash Flow + Profits'!AP39</f>
        <v>6097.0147096008404</v>
      </c>
      <c r="E39" t="s">
        <v>423</v>
      </c>
      <c r="F39" t="s">
        <v>424</v>
      </c>
      <c r="G39" s="63">
        <f>' 5-Forecast Cash Flow + Profits'!AM39</f>
        <v>-11902.98529039916</v>
      </c>
      <c r="H39" s="63">
        <f>' 5-Forecast Cash Flow + Profits'!AN39</f>
        <v>12097.01470960084</v>
      </c>
      <c r="I39" s="63">
        <f>' 5-Forecast Cash Flow + Profits'!AO39</f>
        <v>12097.01470960084</v>
      </c>
      <c r="J39" s="63">
        <f>' 5-Forecast Cash Flow + Profits'!AP39</f>
        <v>6097.0147096008404</v>
      </c>
      <c r="O39" s="23">
        <v>36</v>
      </c>
      <c r="P39" s="23" t="str">
        <f>VLOOKUP(O39,$A$4:$B$247,2,FALSE)</f>
        <v>W179</v>
      </c>
      <c r="Q39" s="23" t="str">
        <f>VLOOKUP(O39,$A$4:$F$247,5,FALSE)</f>
        <v>Omaha</v>
      </c>
      <c r="R39" s="23" t="str">
        <f>VLOOKUP(O39,$A$4:$F$247,6,FALSE)</f>
        <v>NE</v>
      </c>
      <c r="S39" s="68">
        <f>O39*' 5-Forecast Cash Flow + Profits'!$AG$7</f>
        <v>1080000</v>
      </c>
      <c r="T39" s="68">
        <f>VLOOKUP(O39,$A$4:$C$247,3,FALSE)</f>
        <v>-762.10522245914035</v>
      </c>
      <c r="U39" s="68">
        <f>VLOOKUP(O39,$A$4:$D$247,4,FALSE)</f>
        <v>7897.0947775408604</v>
      </c>
      <c r="V39" s="89" t="str">
        <f>IF(S39&lt;$L$6,IF(U39&gt;' 5-Forecast Cash Flow + Profits'!$AG$29,"YES","NO"),"NO")</f>
        <v>NO</v>
      </c>
      <c r="W39" s="89" t="str">
        <f>IF(U39&gt;' 5-Forecast Cash Flow + Profits'!$AG$29, "YES", "NO")</f>
        <v>YES</v>
      </c>
      <c r="X39" s="68">
        <f>T39+X38</f>
        <v>1268204.9026134773</v>
      </c>
      <c r="Y39" s="68">
        <f>VLOOKUP($O39,$A$4:$J$247,7,FALSE)</f>
        <v>-10102.90522245914</v>
      </c>
      <c r="Z39" s="68">
        <f>VLOOKUP($O39,$A$4:$J$247,8,FALSE)</f>
        <v>13897.09477754086</v>
      </c>
      <c r="AA39" s="68">
        <f>VLOOKUP($O39,$A$4:$J$247,9,FALSE)</f>
        <v>13897.09477754086</v>
      </c>
      <c r="AB39" s="68">
        <f>VLOOKUP($O39,$A$4:$J$247,10,FALSE)</f>
        <v>7897.0947775408604</v>
      </c>
    </row>
    <row r="40" spans="1:28">
      <c r="A40" s="23">
        <f>_xlfn.RANK.EQ(' 5-Forecast Cash Flow + Profits'!AP40,' 5-Forecast Cash Flow + Profits'!$AP$4:$AP$247,0)</f>
        <v>126</v>
      </c>
      <c r="B40" s="23" t="str">
        <f>' 5-Forecast Cash Flow + Profits'!A40</f>
        <v>W131</v>
      </c>
      <c r="C40" s="68">
        <f>' 5-Forecast Cash Flow + Profits'!AD40+' 5-Forecast Cash Flow + Profits'!AI40</f>
        <v>-12379.425676569786</v>
      </c>
      <c r="D40" s="68">
        <f>' 5-Forecast Cash Flow + Profits'!AP40</f>
        <v>-7223.0256765697868</v>
      </c>
      <c r="E40" t="s">
        <v>423</v>
      </c>
      <c r="F40" t="s">
        <v>424</v>
      </c>
      <c r="G40" s="63">
        <f>' 5-Forecast Cash Flow + Profits'!AM40</f>
        <v>-25223.025676569785</v>
      </c>
      <c r="H40" s="63">
        <f>' 5-Forecast Cash Flow + Profits'!AN40</f>
        <v>-1223.0256765697868</v>
      </c>
      <c r="I40" s="63">
        <f>' 5-Forecast Cash Flow + Profits'!AO40</f>
        <v>-1223.0256765697868</v>
      </c>
      <c r="J40" s="63">
        <f>' 5-Forecast Cash Flow + Profits'!AP40</f>
        <v>-7223.0256765697868</v>
      </c>
      <c r="O40" s="23">
        <v>37</v>
      </c>
      <c r="P40" s="23" t="str">
        <f>VLOOKUP(O40,$A$4:$B$247,2,FALSE)</f>
        <v>W168</v>
      </c>
      <c r="Q40" s="23" t="str">
        <f>VLOOKUP(O40,$A$4:$F$247,5,FALSE)</f>
        <v>Miami</v>
      </c>
      <c r="R40" s="23" t="str">
        <f>VLOOKUP(O40,$A$4:$F$247,6,FALSE)</f>
        <v>FL</v>
      </c>
      <c r="S40" s="68">
        <f>O40*' 5-Forecast Cash Flow + Profits'!$AG$7</f>
        <v>1110000</v>
      </c>
      <c r="T40" s="68">
        <f>VLOOKUP(O40,$A$4:$C$247,3,FALSE)</f>
        <v>13196.491021541762</v>
      </c>
      <c r="U40" s="68">
        <f>VLOOKUP(O40,$A$4:$D$247,4,FALSE)</f>
        <v>7844.4910215417585</v>
      </c>
      <c r="V40" s="89" t="str">
        <f>IF(S40&lt;$L$6,IF(U40&gt;' 5-Forecast Cash Flow + Profits'!$AG$29,"YES","NO"),"NO")</f>
        <v>NO</v>
      </c>
      <c r="W40" s="89" t="str">
        <f>IF(U40&gt;' 5-Forecast Cash Flow + Profits'!$AG$29, "YES", "NO")</f>
        <v>YES</v>
      </c>
      <c r="X40" s="68">
        <f>T40+X39</f>
        <v>1281401.3936350192</v>
      </c>
      <c r="Y40" s="68">
        <f>VLOOKUP($O40,$A$4:$J$247,7,FALSE)</f>
        <v>-10155.508978458238</v>
      </c>
      <c r="Z40" s="68">
        <f>VLOOKUP($O40,$A$4:$J$247,8,FALSE)</f>
        <v>13844.491021541759</v>
      </c>
      <c r="AA40" s="68">
        <f>VLOOKUP($O40,$A$4:$J$247,9,FALSE)</f>
        <v>13844.491021541759</v>
      </c>
      <c r="AB40" s="68">
        <f>VLOOKUP($O40,$A$4:$J$247,10,FALSE)</f>
        <v>7844.4910215417585</v>
      </c>
    </row>
    <row r="41" spans="1:28">
      <c r="A41" s="23">
        <f>_xlfn.RANK.EQ(' 5-Forecast Cash Flow + Profits'!AP41,' 5-Forecast Cash Flow + Profits'!$AP$4:$AP$247,0)</f>
        <v>177</v>
      </c>
      <c r="B41" s="23" t="str">
        <f>' 5-Forecast Cash Flow + Profits'!A41</f>
        <v>W132</v>
      </c>
      <c r="C41" s="68">
        <f>' 5-Forecast Cash Flow + Profits'!AD41+' 5-Forecast Cash Flow + Profits'!AI41</f>
        <v>-17530.703695681332</v>
      </c>
      <c r="D41" s="68">
        <f>' 5-Forecast Cash Flow + Profits'!AP41</f>
        <v>-13541.903695681327</v>
      </c>
      <c r="E41" t="s">
        <v>423</v>
      </c>
      <c r="F41" t="s">
        <v>424</v>
      </c>
      <c r="G41" s="63">
        <f>' 5-Forecast Cash Flow + Profits'!AM41</f>
        <v>-31541.903695681329</v>
      </c>
      <c r="H41" s="63">
        <f>' 5-Forecast Cash Flow + Profits'!AN41</f>
        <v>-7541.903695681327</v>
      </c>
      <c r="I41" s="63">
        <f>' 5-Forecast Cash Flow + Profits'!AO41</f>
        <v>-7541.903695681327</v>
      </c>
      <c r="J41" s="63">
        <f>' 5-Forecast Cash Flow + Profits'!AP41</f>
        <v>-13541.903695681327</v>
      </c>
      <c r="O41" s="23">
        <v>38</v>
      </c>
      <c r="P41" s="23" t="str">
        <f>VLOOKUP(O41,$A$4:$B$247,2,FALSE)</f>
        <v>W194</v>
      </c>
      <c r="Q41" s="23" t="str">
        <f>VLOOKUP(O41,$A$4:$F$247,5,FALSE)</f>
        <v>San Diego</v>
      </c>
      <c r="R41" s="23" t="str">
        <f>VLOOKUP(O41,$A$4:$F$247,6,FALSE)</f>
        <v>CA</v>
      </c>
      <c r="S41" s="68">
        <f>O41*' 5-Forecast Cash Flow + Profits'!$AG$7</f>
        <v>1140000</v>
      </c>
      <c r="T41" s="68">
        <f>VLOOKUP(O41,$A$4:$C$247,3,FALSE)</f>
        <v>12792.460600162754</v>
      </c>
      <c r="U41" s="68">
        <f>VLOOKUP(O41,$A$4:$D$247,4,FALSE)</f>
        <v>7440.4606001627544</v>
      </c>
      <c r="V41" s="89" t="str">
        <f>IF(S41&lt;$L$6,IF(U41&gt;' 5-Forecast Cash Flow + Profits'!$AG$29,"YES","NO"),"NO")</f>
        <v>NO</v>
      </c>
      <c r="W41" s="89" t="str">
        <f>IF(U41&gt;' 5-Forecast Cash Flow + Profits'!$AG$29, "YES", "NO")</f>
        <v>YES</v>
      </c>
      <c r="X41" s="68">
        <f>T41+X40</f>
        <v>1294193.8542351821</v>
      </c>
      <c r="Y41" s="68">
        <f>VLOOKUP($O41,$A$4:$J$247,7,FALSE)</f>
        <v>-10559.539399837246</v>
      </c>
      <c r="Z41" s="68">
        <f>VLOOKUP($O41,$A$4:$J$247,8,FALSE)</f>
        <v>13440.460600162756</v>
      </c>
      <c r="AA41" s="68">
        <f>VLOOKUP($O41,$A$4:$J$247,9,FALSE)</f>
        <v>13440.460600162756</v>
      </c>
      <c r="AB41" s="68">
        <f>VLOOKUP($O41,$A$4:$J$247,10,FALSE)</f>
        <v>7440.4606001627544</v>
      </c>
    </row>
    <row r="42" spans="1:28">
      <c r="A42" s="23">
        <f>_xlfn.RANK.EQ(' 5-Forecast Cash Flow + Profits'!AP42,' 5-Forecast Cash Flow + Profits'!$AP$4:$AP$247,0)</f>
        <v>193</v>
      </c>
      <c r="B42" s="23" t="str">
        <f>' 5-Forecast Cash Flow + Profits'!A42</f>
        <v>W133</v>
      </c>
      <c r="C42" s="68">
        <f>' 5-Forecast Cash Flow + Profits'!AD42+' 5-Forecast Cash Flow + Profits'!AI42</f>
        <v>-18148.239875334457</v>
      </c>
      <c r="D42" s="68">
        <f>' 5-Forecast Cash Flow + Profits'!AP42</f>
        <v>-15327.03987533446</v>
      </c>
      <c r="E42" t="s">
        <v>423</v>
      </c>
      <c r="F42" t="s">
        <v>424</v>
      </c>
      <c r="G42" s="63">
        <f>' 5-Forecast Cash Flow + Profits'!AM42</f>
        <v>-33327.039875334456</v>
      </c>
      <c r="H42" s="63">
        <f>' 5-Forecast Cash Flow + Profits'!AN42</f>
        <v>-9327.0398753344598</v>
      </c>
      <c r="I42" s="63">
        <f>' 5-Forecast Cash Flow + Profits'!AO42</f>
        <v>-9327.0398753344598</v>
      </c>
      <c r="J42" s="63">
        <f>' 5-Forecast Cash Flow + Profits'!AP42</f>
        <v>-15327.03987533446</v>
      </c>
      <c r="O42" s="23">
        <v>39</v>
      </c>
      <c r="P42" s="23" t="str">
        <f>VLOOKUP(O42,$A$4:$B$247,2,FALSE)</f>
        <v>W54</v>
      </c>
      <c r="Q42" s="23" t="str">
        <f>VLOOKUP(O42,$A$4:$F$247,5,FALSE)</f>
        <v>New York</v>
      </c>
      <c r="R42" s="23" t="str">
        <f>VLOOKUP(O42,$A$4:$F$247,6,FALSE)</f>
        <v>NY</v>
      </c>
      <c r="S42" s="68">
        <f>O42*' 5-Forecast Cash Flow + Profits'!$AG$7</f>
        <v>1170000</v>
      </c>
      <c r="T42" s="68">
        <f>VLOOKUP(O42,$A$4:$C$247,3,FALSE)</f>
        <v>18187.63016245624</v>
      </c>
      <c r="U42" s="68">
        <f>VLOOKUP(O42,$A$4:$D$247,4,FALSE)</f>
        <v>6997.6301624562402</v>
      </c>
      <c r="V42" s="89" t="str">
        <f>IF(S42&lt;$L$6,IF(U42&gt;' 5-Forecast Cash Flow + Profits'!$AG$29,"YES","NO"),"NO")</f>
        <v>NO</v>
      </c>
      <c r="W42" s="89" t="str">
        <f>IF(U42&gt;' 5-Forecast Cash Flow + Profits'!$AG$29, "YES", "NO")</f>
        <v>YES</v>
      </c>
      <c r="X42" s="68">
        <f>T42+X41</f>
        <v>1312381.4843976384</v>
      </c>
      <c r="Y42" s="68">
        <f>VLOOKUP($O42,$A$4:$J$247,7,FALSE)</f>
        <v>-11002.36983754376</v>
      </c>
      <c r="Z42" s="68">
        <f>VLOOKUP($O42,$A$4:$J$247,8,FALSE)</f>
        <v>12997.63016245624</v>
      </c>
      <c r="AA42" s="68">
        <f>VLOOKUP($O42,$A$4:$J$247,9,FALSE)</f>
        <v>12997.63016245624</v>
      </c>
      <c r="AB42" s="68">
        <f>VLOOKUP($O42,$A$4:$J$247,10,FALSE)</f>
        <v>6997.6301624562402</v>
      </c>
    </row>
    <row r="43" spans="1:28">
      <c r="A43" s="23">
        <f>_xlfn.RANK.EQ(' 5-Forecast Cash Flow + Profits'!AP43,' 5-Forecast Cash Flow + Profits'!$AP$4:$AP$247,0)</f>
        <v>187</v>
      </c>
      <c r="B43" s="23" t="str">
        <f>' 5-Forecast Cash Flow + Profits'!A43</f>
        <v>W134</v>
      </c>
      <c r="C43" s="68">
        <f>' 5-Forecast Cash Flow + Profits'!AD43+' 5-Forecast Cash Flow + Profits'!AI43</f>
        <v>-13022.68639534212</v>
      </c>
      <c r="D43" s="68">
        <f>' 5-Forecast Cash Flow + Profits'!AP43</f>
        <v>-14871.886395342124</v>
      </c>
      <c r="E43" t="s">
        <v>423</v>
      </c>
      <c r="F43" t="s">
        <v>424</v>
      </c>
      <c r="G43" s="63">
        <f>' 5-Forecast Cash Flow + Profits'!AM43</f>
        <v>-32871.886395342124</v>
      </c>
      <c r="H43" s="63">
        <f>' 5-Forecast Cash Flow + Profits'!AN43</f>
        <v>-8871.8863953421242</v>
      </c>
      <c r="I43" s="63">
        <f>' 5-Forecast Cash Flow + Profits'!AO43</f>
        <v>-8871.8863953421242</v>
      </c>
      <c r="J43" s="63">
        <f>' 5-Forecast Cash Flow + Profits'!AP43</f>
        <v>-14871.886395342124</v>
      </c>
      <c r="O43" s="23">
        <v>40</v>
      </c>
      <c r="P43" s="23" t="str">
        <f>VLOOKUP(O43,$A$4:$B$247,2,FALSE)</f>
        <v>W109</v>
      </c>
      <c r="Q43" s="23" t="str">
        <f>VLOOKUP(O43,$A$4:$F$247,5,FALSE)</f>
        <v>Austin</v>
      </c>
      <c r="R43" s="23" t="str">
        <f>VLOOKUP(O43,$A$4:$F$247,6,FALSE)</f>
        <v>TX</v>
      </c>
      <c r="S43" s="68">
        <f>O43*' 5-Forecast Cash Flow + Profits'!$AG$7</f>
        <v>1200000</v>
      </c>
      <c r="T43" s="68">
        <f>VLOOKUP(O43,$A$4:$C$247,3,FALSE)</f>
        <v>622.75975830083189</v>
      </c>
      <c r="U43" s="68">
        <f>VLOOKUP(O43,$A$4:$D$247,4,FALSE)</f>
        <v>6946.7597583008319</v>
      </c>
      <c r="V43" s="89" t="str">
        <f>IF(S43&lt;$L$6,IF(U43&gt;' 5-Forecast Cash Flow + Profits'!$AG$29,"YES","NO"),"NO")</f>
        <v>NO</v>
      </c>
      <c r="W43" s="89" t="str">
        <f>IF(U43&gt;' 5-Forecast Cash Flow + Profits'!$AG$29, "YES", "NO")</f>
        <v>YES</v>
      </c>
      <c r="X43" s="68">
        <f>T43+X42</f>
        <v>1313004.2441559392</v>
      </c>
      <c r="Y43" s="68">
        <f>VLOOKUP($O43,$A$4:$J$247,7,FALSE)</f>
        <v>-11053.240241699168</v>
      </c>
      <c r="Z43" s="68">
        <f>VLOOKUP($O43,$A$4:$J$247,8,FALSE)</f>
        <v>12946.759758300832</v>
      </c>
      <c r="AA43" s="68">
        <f>VLOOKUP($O43,$A$4:$J$247,9,FALSE)</f>
        <v>12946.759758300832</v>
      </c>
      <c r="AB43" s="68">
        <f>VLOOKUP($O43,$A$4:$J$247,10,FALSE)</f>
        <v>6946.7597583008319</v>
      </c>
    </row>
    <row r="44" spans="1:28">
      <c r="A44" s="23">
        <f>_xlfn.RANK.EQ(' 5-Forecast Cash Flow + Profits'!AP44,' 5-Forecast Cash Flow + Profits'!$AP$4:$AP$247,0)</f>
        <v>155</v>
      </c>
      <c r="B44" s="23" t="str">
        <f>' 5-Forecast Cash Flow + Profits'!A44</f>
        <v>W135</v>
      </c>
      <c r="C44" s="68">
        <f>' 5-Forecast Cash Flow + Profits'!AD44+' 5-Forecast Cash Flow + Profits'!AI44</f>
        <v>-14931.491076356517</v>
      </c>
      <c r="D44" s="68">
        <f>' 5-Forecast Cash Flow + Profits'!AP44</f>
        <v>-10942.691076356519</v>
      </c>
      <c r="E44" t="s">
        <v>423</v>
      </c>
      <c r="F44" t="s">
        <v>424</v>
      </c>
      <c r="G44" s="63">
        <f>' 5-Forecast Cash Flow + Profits'!AM44</f>
        <v>-28942.691076356517</v>
      </c>
      <c r="H44" s="63">
        <f>' 5-Forecast Cash Flow + Profits'!AN44</f>
        <v>-4942.6910763565193</v>
      </c>
      <c r="I44" s="63">
        <f>' 5-Forecast Cash Flow + Profits'!AO44</f>
        <v>-4942.6910763565193</v>
      </c>
      <c r="J44" s="63">
        <f>' 5-Forecast Cash Flow + Profits'!AP44</f>
        <v>-10942.691076356519</v>
      </c>
      <c r="O44" s="23">
        <v>41</v>
      </c>
      <c r="P44" s="23" t="str">
        <f>VLOOKUP(O44,$A$4:$B$247,2,FALSE)</f>
        <v>W130</v>
      </c>
      <c r="Q44" s="23" t="str">
        <f>VLOOKUP(O44,$A$4:$F$247,5,FALSE)</f>
        <v>Denver</v>
      </c>
      <c r="R44" s="23" t="str">
        <f>VLOOKUP(O44,$A$4:$F$247,6,FALSE)</f>
        <v>CO</v>
      </c>
      <c r="S44" s="68">
        <f>O44*' 5-Forecast Cash Flow + Profits'!$AG$7</f>
        <v>1230000</v>
      </c>
      <c r="T44" s="68">
        <f>VLOOKUP(O44,$A$4:$C$247,3,FALSE)</f>
        <v>3275.8147096008397</v>
      </c>
      <c r="U44" s="68">
        <f>VLOOKUP(O44,$A$4:$D$247,4,FALSE)</f>
        <v>6097.0147096008404</v>
      </c>
      <c r="V44" s="89" t="str">
        <f>IF(S44&lt;$L$6,IF(U44&gt;' 5-Forecast Cash Flow + Profits'!$AG$29,"YES","NO"),"NO")</f>
        <v>NO</v>
      </c>
      <c r="W44" s="89" t="str">
        <f>IF(U44&gt;' 5-Forecast Cash Flow + Profits'!$AG$29, "YES", "NO")</f>
        <v>YES</v>
      </c>
      <c r="X44" s="68">
        <f>T44+X43</f>
        <v>1316280.05886554</v>
      </c>
      <c r="Y44" s="68">
        <f>VLOOKUP($O44,$A$4:$J$247,7,FALSE)</f>
        <v>-11902.98529039916</v>
      </c>
      <c r="Z44" s="68">
        <f>VLOOKUP($O44,$A$4:$J$247,8,FALSE)</f>
        <v>12097.01470960084</v>
      </c>
      <c r="AA44" s="68">
        <f>VLOOKUP($O44,$A$4:$J$247,9,FALSE)</f>
        <v>12097.01470960084</v>
      </c>
      <c r="AB44" s="68">
        <f>VLOOKUP($O44,$A$4:$J$247,10,FALSE)</f>
        <v>6097.0147096008404</v>
      </c>
    </row>
    <row r="45" spans="1:28">
      <c r="A45" s="23">
        <f>_xlfn.RANK.EQ(' 5-Forecast Cash Flow + Profits'!AP45,' 5-Forecast Cash Flow + Profits'!$AP$4:$AP$247,0)</f>
        <v>191</v>
      </c>
      <c r="B45" s="23" t="str">
        <f>' 5-Forecast Cash Flow + Profits'!A45</f>
        <v>W136</v>
      </c>
      <c r="C45" s="68">
        <f>' 5-Forecast Cash Flow + Profits'!AD45+' 5-Forecast Cash Flow + Profits'!AI45</f>
        <v>-10894.167575889795</v>
      </c>
      <c r="D45" s="68">
        <f>' 5-Forecast Cash Flow + Profits'!AP45</f>
        <v>-15078.567575889792</v>
      </c>
      <c r="E45" t="s">
        <v>423</v>
      </c>
      <c r="F45" t="s">
        <v>424</v>
      </c>
      <c r="G45" s="63">
        <f>' 5-Forecast Cash Flow + Profits'!AM45</f>
        <v>-33078.567575889792</v>
      </c>
      <c r="H45" s="63">
        <f>' 5-Forecast Cash Flow + Profits'!AN45</f>
        <v>-9078.5675758897924</v>
      </c>
      <c r="I45" s="63">
        <f>' 5-Forecast Cash Flow + Profits'!AO45</f>
        <v>-9078.5675758897924</v>
      </c>
      <c r="J45" s="63">
        <f>' 5-Forecast Cash Flow + Profits'!AP45</f>
        <v>-15078.567575889792</v>
      </c>
      <c r="O45" s="23">
        <v>42</v>
      </c>
      <c r="P45" s="23" t="str">
        <f>VLOOKUP(O45,$A$4:$B$247,2,FALSE)</f>
        <v>W187</v>
      </c>
      <c r="Q45" s="23" t="str">
        <f>VLOOKUP(O45,$A$4:$F$247,5,FALSE)</f>
        <v>San Diego</v>
      </c>
      <c r="R45" s="23" t="str">
        <f>VLOOKUP(O45,$A$4:$F$247,6,FALSE)</f>
        <v>CA</v>
      </c>
      <c r="S45" s="68">
        <f>O45*' 5-Forecast Cash Flow + Profits'!$AG$7</f>
        <v>1260000</v>
      </c>
      <c r="T45" s="68">
        <f>VLOOKUP(O45,$A$4:$C$247,3,FALSE)</f>
        <v>2948.050516860756</v>
      </c>
      <c r="U45" s="68">
        <f>VLOOKUP(O45,$A$4:$D$247,4,FALSE)</f>
        <v>5769.2505168607568</v>
      </c>
      <c r="V45" s="89" t="str">
        <f>IF(S45&lt;$L$6,IF(U45&gt;' 5-Forecast Cash Flow + Profits'!$AG$29,"YES","NO"),"NO")</f>
        <v>NO</v>
      </c>
      <c r="W45" s="89" t="str">
        <f>IF(U45&gt;' 5-Forecast Cash Flow + Profits'!$AG$29, "YES", "NO")</f>
        <v>NO</v>
      </c>
      <c r="X45" s="68">
        <f>T45+X44</f>
        <v>1319228.1093824008</v>
      </c>
      <c r="Y45" s="68">
        <f>VLOOKUP($O45,$A$4:$J$247,7,FALSE)</f>
        <v>-12230.749483139243</v>
      </c>
      <c r="Z45" s="68">
        <f>VLOOKUP($O45,$A$4:$J$247,8,FALSE)</f>
        <v>11769.250516860757</v>
      </c>
      <c r="AA45" s="68">
        <f>VLOOKUP($O45,$A$4:$J$247,9,FALSE)</f>
        <v>11769.250516860757</v>
      </c>
      <c r="AB45" s="68">
        <f>VLOOKUP($O45,$A$4:$J$247,10,FALSE)</f>
        <v>5769.2505168607568</v>
      </c>
    </row>
    <row r="46" spans="1:28">
      <c r="A46" s="23">
        <f>_xlfn.RANK.EQ(' 5-Forecast Cash Flow + Profits'!AP46,' 5-Forecast Cash Flow + Profits'!$AP$4:$AP$247,0)</f>
        <v>213</v>
      </c>
      <c r="B46" s="23" t="str">
        <f>' 5-Forecast Cash Flow + Profits'!A46</f>
        <v>W137</v>
      </c>
      <c r="C46" s="68">
        <f>' 5-Forecast Cash Flow + Profits'!AD46+' 5-Forecast Cash Flow + Profits'!AI46</f>
        <v>-24653.750061478575</v>
      </c>
      <c r="D46" s="68">
        <f>' 5-Forecast Cash Flow + Profits'!AP46</f>
        <v>-18329.750061478579</v>
      </c>
      <c r="E46" t="s">
        <v>423</v>
      </c>
      <c r="F46" t="s">
        <v>424</v>
      </c>
      <c r="G46" s="63">
        <f>' 5-Forecast Cash Flow + Profits'!AM46</f>
        <v>-36329.750061478575</v>
      </c>
      <c r="H46" s="63">
        <f>' 5-Forecast Cash Flow + Profits'!AN46</f>
        <v>-12329.750061478579</v>
      </c>
      <c r="I46" s="63">
        <f>' 5-Forecast Cash Flow + Profits'!AO46</f>
        <v>-12329.750061478579</v>
      </c>
      <c r="J46" s="63">
        <f>' 5-Forecast Cash Flow + Profits'!AP46</f>
        <v>-18329.750061478579</v>
      </c>
      <c r="O46" s="23">
        <v>43</v>
      </c>
      <c r="P46" s="23" t="str">
        <f>VLOOKUP(O46,$A$4:$B$247,2,FALSE)</f>
        <v>W175</v>
      </c>
      <c r="Q46" s="23" t="str">
        <f>VLOOKUP(O46,$A$4:$F$247,5,FALSE)</f>
        <v>Omaha</v>
      </c>
      <c r="R46" s="23" t="str">
        <f>VLOOKUP(O46,$A$4:$F$247,6,FALSE)</f>
        <v>NE</v>
      </c>
      <c r="S46" s="68">
        <f>O46*' 5-Forecast Cash Flow + Profits'!$AG$7</f>
        <v>1290000</v>
      </c>
      <c r="T46" s="68">
        <f>VLOOKUP(O46,$A$4:$C$247,3,FALSE)</f>
        <v>-558.03179413316684</v>
      </c>
      <c r="U46" s="68">
        <f>VLOOKUP(O46,$A$4:$D$247,4,FALSE)</f>
        <v>5765.9682058668368</v>
      </c>
      <c r="V46" s="89" t="str">
        <f>IF(S46&lt;$L$6,IF(U46&gt;' 5-Forecast Cash Flow + Profits'!$AG$29,"YES","NO"),"NO")</f>
        <v>NO</v>
      </c>
      <c r="W46" s="89" t="str">
        <f>IF(U46&gt;' 5-Forecast Cash Flow + Profits'!$AG$29, "YES", "NO")</f>
        <v>NO</v>
      </c>
      <c r="X46" s="68">
        <f>T46+X45</f>
        <v>1318670.0775882676</v>
      </c>
      <c r="Y46" s="68">
        <f>VLOOKUP($O46,$A$4:$J$247,7,FALSE)</f>
        <v>-12234.031794133167</v>
      </c>
      <c r="Z46" s="68">
        <f>VLOOKUP($O46,$A$4:$J$247,8,FALSE)</f>
        <v>11765.968205866837</v>
      </c>
      <c r="AA46" s="68">
        <f>VLOOKUP($O46,$A$4:$J$247,9,FALSE)</f>
        <v>11765.968205866837</v>
      </c>
      <c r="AB46" s="68">
        <f>VLOOKUP($O46,$A$4:$J$247,10,FALSE)</f>
        <v>5765.9682058668368</v>
      </c>
    </row>
    <row r="47" spans="1:28">
      <c r="A47" s="23">
        <f>_xlfn.RANK.EQ(' 5-Forecast Cash Flow + Profits'!AP47,' 5-Forecast Cash Flow + Profits'!$AP$4:$AP$247,0)</f>
        <v>95</v>
      </c>
      <c r="B47" s="23" t="str">
        <f>' 5-Forecast Cash Flow + Profits'!A47</f>
        <v>W138</v>
      </c>
      <c r="C47" s="68">
        <f>' 5-Forecast Cash Flow + Profits'!AD47+' 5-Forecast Cash Flow + Profits'!AI47</f>
        <v>-4049.210003939028</v>
      </c>
      <c r="D47" s="68">
        <f>' 5-Forecast Cash Flow + Profits'!AP47</f>
        <v>-3563.210003939028</v>
      </c>
      <c r="E47" t="s">
        <v>423</v>
      </c>
      <c r="F47" t="s">
        <v>424</v>
      </c>
      <c r="G47" s="63">
        <f>' 5-Forecast Cash Flow + Profits'!AM47</f>
        <v>-21563.210003939028</v>
      </c>
      <c r="H47" s="63">
        <f>' 5-Forecast Cash Flow + Profits'!AN47</f>
        <v>2436.7899960609739</v>
      </c>
      <c r="I47" s="63">
        <f>' 5-Forecast Cash Flow + Profits'!AO47</f>
        <v>2436.7899960609739</v>
      </c>
      <c r="J47" s="63">
        <f>' 5-Forecast Cash Flow + Profits'!AP47</f>
        <v>-3563.210003939028</v>
      </c>
      <c r="O47" s="23">
        <v>44</v>
      </c>
      <c r="P47" s="23" t="str">
        <f>VLOOKUP(O47,$A$4:$B$247,2,FALSE)</f>
        <v>W180</v>
      </c>
      <c r="Q47" s="23" t="str">
        <f>VLOOKUP(O47,$A$4:$F$247,5,FALSE)</f>
        <v>Omaha</v>
      </c>
      <c r="R47" s="23" t="str">
        <f>VLOOKUP(O47,$A$4:$F$247,6,FALSE)</f>
        <v>NE</v>
      </c>
      <c r="S47" s="68">
        <f>O47*' 5-Forecast Cash Flow + Profits'!$AG$7</f>
        <v>1320000</v>
      </c>
      <c r="T47" s="68">
        <f>VLOOKUP(O47,$A$4:$C$247,3,FALSE)</f>
        <v>-1785.8960738204551</v>
      </c>
      <c r="U47" s="68">
        <f>VLOOKUP(O47,$A$4:$D$247,4,FALSE)</f>
        <v>5705.7039261795398</v>
      </c>
      <c r="V47" s="89" t="str">
        <f>IF(S47&lt;$L$6,IF(U47&gt;' 5-Forecast Cash Flow + Profits'!$AG$29,"YES","NO"),"NO")</f>
        <v>NO</v>
      </c>
      <c r="W47" s="89" t="str">
        <f>IF(U47&gt;' 5-Forecast Cash Flow + Profits'!$AG$29, "YES", "NO")</f>
        <v>NO</v>
      </c>
      <c r="X47" s="68">
        <f>T47+X46</f>
        <v>1316884.1815144471</v>
      </c>
      <c r="Y47" s="68">
        <f>VLOOKUP($O47,$A$4:$J$247,7,FALSE)</f>
        <v>-12294.296073820457</v>
      </c>
      <c r="Z47" s="68">
        <f>VLOOKUP($O47,$A$4:$J$247,8,FALSE)</f>
        <v>11705.70392617954</v>
      </c>
      <c r="AA47" s="68">
        <f>VLOOKUP($O47,$A$4:$J$247,9,FALSE)</f>
        <v>11705.70392617954</v>
      </c>
      <c r="AB47" s="68">
        <f>VLOOKUP($O47,$A$4:$J$247,10,FALSE)</f>
        <v>5705.7039261795398</v>
      </c>
    </row>
    <row r="48" spans="1:28">
      <c r="A48" s="23">
        <f>_xlfn.RANK.EQ(' 5-Forecast Cash Flow + Profits'!AP48,' 5-Forecast Cash Flow + Profits'!$AP$4:$AP$247,0)</f>
        <v>100</v>
      </c>
      <c r="B48" s="23" t="str">
        <f>' 5-Forecast Cash Flow + Profits'!A48</f>
        <v>W139</v>
      </c>
      <c r="C48" s="68">
        <f>' 5-Forecast Cash Flow + Profits'!AD48+' 5-Forecast Cash Flow + Profits'!AI48</f>
        <v>-7305.7228984275862</v>
      </c>
      <c r="D48" s="68">
        <f>' 5-Forecast Cash Flow + Profits'!AP48</f>
        <v>-4484.5228984275891</v>
      </c>
      <c r="E48" t="s">
        <v>423</v>
      </c>
      <c r="F48" t="s">
        <v>424</v>
      </c>
      <c r="G48" s="63">
        <f>' 5-Forecast Cash Flow + Profits'!AM48</f>
        <v>-22484.522898427585</v>
      </c>
      <c r="H48" s="63">
        <f>' 5-Forecast Cash Flow + Profits'!AN48</f>
        <v>1515.4771015724109</v>
      </c>
      <c r="I48" s="63">
        <f>' 5-Forecast Cash Flow + Profits'!AO48</f>
        <v>1515.4771015724109</v>
      </c>
      <c r="J48" s="63">
        <f>' 5-Forecast Cash Flow + Profits'!AP48</f>
        <v>-4484.5228984275891</v>
      </c>
      <c r="O48" s="23">
        <v>45</v>
      </c>
      <c r="P48" s="23" t="str">
        <f>VLOOKUP(O48,$A$4:$B$247,2,FALSE)</f>
        <v>W81</v>
      </c>
      <c r="Q48" s="23" t="str">
        <f>VLOOKUP(O48,$A$4:$F$247,5,FALSE)</f>
        <v>San Francisco</v>
      </c>
      <c r="R48" s="23" t="str">
        <f>VLOOKUP(O48,$A$4:$F$247,6,FALSE)</f>
        <v>CA</v>
      </c>
      <c r="S48" s="68">
        <f>O48*' 5-Forecast Cash Flow + Profits'!$AG$7</f>
        <v>1350000</v>
      </c>
      <c r="T48" s="68">
        <f>VLOOKUP(O48,$A$4:$C$247,3,FALSE)</f>
        <v>29551.199973936025</v>
      </c>
      <c r="U48" s="68">
        <f>VLOOKUP(O48,$A$4:$D$247,4,FALSE)</f>
        <v>5517.5999739360268</v>
      </c>
      <c r="V48" s="89" t="str">
        <f>IF(S48&lt;$L$6,IF(U48&gt;' 5-Forecast Cash Flow + Profits'!$AG$29,"YES","NO"),"NO")</f>
        <v>NO</v>
      </c>
      <c r="W48" s="89" t="str">
        <f>IF(U48&gt;' 5-Forecast Cash Flow + Profits'!$AG$29, "YES", "NO")</f>
        <v>NO</v>
      </c>
      <c r="X48" s="68">
        <f>T48+X47</f>
        <v>1346435.381488383</v>
      </c>
      <c r="Y48" s="68">
        <f>VLOOKUP($O48,$A$4:$J$247,7,FALSE)</f>
        <v>-12482.400026063973</v>
      </c>
      <c r="Z48" s="68">
        <f>VLOOKUP($O48,$A$4:$J$247,8,FALSE)</f>
        <v>11517.599973936027</v>
      </c>
      <c r="AA48" s="68">
        <f>VLOOKUP($O48,$A$4:$J$247,9,FALSE)</f>
        <v>11517.599973936027</v>
      </c>
      <c r="AB48" s="68">
        <f>VLOOKUP($O48,$A$4:$J$247,10,FALSE)</f>
        <v>5517.5999739360268</v>
      </c>
    </row>
    <row r="49" spans="1:28">
      <c r="A49" s="23">
        <f>_xlfn.RANK.EQ(' 5-Forecast Cash Flow + Profits'!AP49,' 5-Forecast Cash Flow + Profits'!$AP$4:$AP$247,0)</f>
        <v>161</v>
      </c>
      <c r="B49" s="23" t="str">
        <f>' 5-Forecast Cash Flow + Profits'!A49</f>
        <v>W14</v>
      </c>
      <c r="C49" s="68">
        <f>' 5-Forecast Cash Flow + Profits'!AD49+' 5-Forecast Cash Flow + Profits'!AI49</f>
        <v>-19866.04058797341</v>
      </c>
      <c r="D49" s="68">
        <f>' 5-Forecast Cash Flow + Profits'!AP49</f>
        <v>-11790.640587973414</v>
      </c>
      <c r="E49" t="s">
        <v>415</v>
      </c>
      <c r="F49" t="s">
        <v>416</v>
      </c>
      <c r="G49" s="63">
        <f>' 5-Forecast Cash Flow + Profits'!AM49</f>
        <v>-29790.640587973408</v>
      </c>
      <c r="H49" s="63">
        <f>' 5-Forecast Cash Flow + Profits'!AN49</f>
        <v>-5790.6405879734139</v>
      </c>
      <c r="I49" s="63">
        <f>' 5-Forecast Cash Flow + Profits'!AO49</f>
        <v>-5790.6405879734139</v>
      </c>
      <c r="J49" s="63">
        <f>' 5-Forecast Cash Flow + Profits'!AP49</f>
        <v>-11790.640587973414</v>
      </c>
      <c r="O49" s="23">
        <v>46</v>
      </c>
      <c r="P49" s="23" t="str">
        <f>VLOOKUP(O49,$A$4:$B$247,2,FALSE)</f>
        <v>W19</v>
      </c>
      <c r="Q49" s="23" t="str">
        <f>VLOOKUP(O49,$A$4:$F$247,5,FALSE)</f>
        <v>Chicago</v>
      </c>
      <c r="R49" s="23" t="str">
        <f>VLOOKUP(O49,$A$4:$F$247,6,FALSE)</f>
        <v>IL</v>
      </c>
      <c r="S49" s="68">
        <f>O49*' 5-Forecast Cash Flow + Profits'!$AG$7</f>
        <v>1380000</v>
      </c>
      <c r="T49" s="68">
        <f>VLOOKUP(O49,$A$4:$C$247,3,FALSE)</f>
        <v>19820.636260008912</v>
      </c>
      <c r="U49" s="68">
        <f>VLOOKUP(O49,$A$4:$D$247,4,FALSE)</f>
        <v>5127.8362600089167</v>
      </c>
      <c r="V49" s="89" t="str">
        <f>IF(S49&lt;$L$6,IF(U49&gt;' 5-Forecast Cash Flow + Profits'!$AG$29,"YES","NO"),"NO")</f>
        <v>NO</v>
      </c>
      <c r="W49" s="89" t="str">
        <f>IF(U49&gt;' 5-Forecast Cash Flow + Profits'!$AG$29, "YES", "NO")</f>
        <v>NO</v>
      </c>
      <c r="X49" s="68">
        <f>T49+X48</f>
        <v>1366256.017748392</v>
      </c>
      <c r="Y49" s="68">
        <f>VLOOKUP($O49,$A$4:$J$247,7,FALSE)</f>
        <v>-12872.163739991087</v>
      </c>
      <c r="Z49" s="68">
        <f>VLOOKUP($O49,$A$4:$J$247,8,FALSE)</f>
        <v>11127.836260008917</v>
      </c>
      <c r="AA49" s="68">
        <f>VLOOKUP($O49,$A$4:$J$247,9,FALSE)</f>
        <v>11127.836260008917</v>
      </c>
      <c r="AB49" s="68">
        <f>VLOOKUP($O49,$A$4:$J$247,10,FALSE)</f>
        <v>5127.8362600089167</v>
      </c>
    </row>
    <row r="50" spans="1:28">
      <c r="A50" s="23">
        <f>_xlfn.RANK.EQ(' 5-Forecast Cash Flow + Profits'!AP50,' 5-Forecast Cash Flow + Profits'!$AP$4:$AP$247,0)</f>
        <v>146</v>
      </c>
      <c r="B50" s="23" t="str">
        <f>' 5-Forecast Cash Flow + Profits'!A50</f>
        <v>W140</v>
      </c>
      <c r="C50" s="68">
        <f>' 5-Forecast Cash Flow + Profits'!AD50+' 5-Forecast Cash Flow + Profits'!AI50</f>
        <v>-6878.5244742875002</v>
      </c>
      <c r="D50" s="68">
        <f>' 5-Forecast Cash Flow + Profits'!AP50</f>
        <v>-9895.3244742874995</v>
      </c>
      <c r="E50" t="s">
        <v>423</v>
      </c>
      <c r="F50" t="s">
        <v>424</v>
      </c>
      <c r="G50" s="63">
        <f>' 5-Forecast Cash Flow + Profits'!AM50</f>
        <v>-27895.324474287499</v>
      </c>
      <c r="H50" s="63">
        <f>' 5-Forecast Cash Flow + Profits'!AN50</f>
        <v>-3895.3244742874995</v>
      </c>
      <c r="I50" s="63">
        <f>' 5-Forecast Cash Flow + Profits'!AO50</f>
        <v>-3895.3244742874995</v>
      </c>
      <c r="J50" s="63">
        <f>' 5-Forecast Cash Flow + Profits'!AP50</f>
        <v>-9895.3244742874995</v>
      </c>
      <c r="O50" s="23">
        <v>47</v>
      </c>
      <c r="P50" s="23" t="str">
        <f>VLOOKUP(O50,$A$4:$B$247,2,FALSE)</f>
        <v>W102</v>
      </c>
      <c r="Q50" s="23" t="str">
        <f>VLOOKUP(O50,$A$4:$F$247,5,FALSE)</f>
        <v>Austin</v>
      </c>
      <c r="R50" s="23" t="str">
        <f>VLOOKUP(O50,$A$4:$F$247,6,FALSE)</f>
        <v>TX</v>
      </c>
      <c r="S50" s="68">
        <f>O50*' 5-Forecast Cash Flow + Profits'!$AG$7</f>
        <v>1410000</v>
      </c>
      <c r="T50" s="68">
        <f>VLOOKUP(O50,$A$4:$C$247,3,FALSE)</f>
        <v>10103.453767170358</v>
      </c>
      <c r="U50" s="68">
        <f>VLOOKUP(O50,$A$4:$D$247,4,FALSE)</f>
        <v>4751.4537671703547</v>
      </c>
      <c r="V50" s="89" t="str">
        <f>IF(S50&lt;$L$6,IF(U50&gt;' 5-Forecast Cash Flow + Profits'!$AG$29,"YES","NO"),"NO")</f>
        <v>NO</v>
      </c>
      <c r="W50" s="89" t="str">
        <f>IF(U50&gt;' 5-Forecast Cash Flow + Profits'!$AG$29, "YES", "NO")</f>
        <v>NO</v>
      </c>
      <c r="X50" s="68">
        <f>T50+X49</f>
        <v>1376359.4715155624</v>
      </c>
      <c r="Y50" s="68">
        <f>VLOOKUP($O50,$A$4:$J$247,7,FALSE)</f>
        <v>-13248.546232829642</v>
      </c>
      <c r="Z50" s="68">
        <f>VLOOKUP($O50,$A$4:$J$247,8,FALSE)</f>
        <v>10751.453767170355</v>
      </c>
      <c r="AA50" s="68">
        <f>VLOOKUP($O50,$A$4:$J$247,9,FALSE)</f>
        <v>10751.453767170355</v>
      </c>
      <c r="AB50" s="68">
        <f>VLOOKUP($O50,$A$4:$J$247,10,FALSE)</f>
        <v>4751.4537671703547</v>
      </c>
    </row>
    <row r="51" spans="1:28">
      <c r="A51" s="23">
        <f>_xlfn.RANK.EQ(' 5-Forecast Cash Flow + Profits'!AP51,' 5-Forecast Cash Flow + Profits'!$AP$4:$AP$247,0)</f>
        <v>201</v>
      </c>
      <c r="B51" s="23" t="str">
        <f>' 5-Forecast Cash Flow + Profits'!A51</f>
        <v>W141</v>
      </c>
      <c r="C51" s="68">
        <f>' 5-Forecast Cash Flow + Profits'!AD51+' 5-Forecast Cash Flow + Profits'!AI51</f>
        <v>-21441.468048797502</v>
      </c>
      <c r="D51" s="68">
        <f>' 5-Forecast Cash Flow + Profits'!AP51</f>
        <v>-16285.068048797502</v>
      </c>
      <c r="E51" t="s">
        <v>423</v>
      </c>
      <c r="F51" t="s">
        <v>424</v>
      </c>
      <c r="G51" s="63">
        <f>' 5-Forecast Cash Flow + Profits'!AM51</f>
        <v>-34285.068048797504</v>
      </c>
      <c r="H51" s="63">
        <f>' 5-Forecast Cash Flow + Profits'!AN51</f>
        <v>-10285.068048797502</v>
      </c>
      <c r="I51" s="63">
        <f>' 5-Forecast Cash Flow + Profits'!AO51</f>
        <v>-10285.068048797502</v>
      </c>
      <c r="J51" s="63">
        <f>' 5-Forecast Cash Flow + Profits'!AP51</f>
        <v>-16285.068048797502</v>
      </c>
      <c r="O51" s="23">
        <v>48</v>
      </c>
      <c r="P51" s="23" t="str">
        <f>VLOOKUP(O51,$A$4:$B$247,2,FALSE)</f>
        <v>W177</v>
      </c>
      <c r="Q51" s="23" t="str">
        <f>VLOOKUP(O51,$A$4:$F$247,5,FALSE)</f>
        <v>Omaha</v>
      </c>
      <c r="R51" s="23" t="str">
        <f>VLOOKUP(O51,$A$4:$F$247,6,FALSE)</f>
        <v>NE</v>
      </c>
      <c r="S51" s="68">
        <f>O51*' 5-Forecast Cash Flow + Profits'!$AG$7</f>
        <v>1440000</v>
      </c>
      <c r="T51" s="68">
        <f>VLOOKUP(O51,$A$4:$C$247,3,FALSE)</f>
        <v>-5137.2195030462099</v>
      </c>
      <c r="U51" s="68">
        <f>VLOOKUP(O51,$A$4:$D$247,4,FALSE)</f>
        <v>4689.5804969537858</v>
      </c>
      <c r="V51" s="89" t="str">
        <f>IF(S51&lt;$L$6,IF(U51&gt;' 5-Forecast Cash Flow + Profits'!$AG$29,"YES","NO"),"NO")</f>
        <v>NO</v>
      </c>
      <c r="W51" s="89" t="str">
        <f>IF(U51&gt;' 5-Forecast Cash Flow + Profits'!$AG$29, "YES", "NO")</f>
        <v>NO</v>
      </c>
      <c r="X51" s="68">
        <f>T51+X50</f>
        <v>1371222.2520125161</v>
      </c>
      <c r="Y51" s="68">
        <f>VLOOKUP($O51,$A$4:$J$247,7,FALSE)</f>
        <v>-13310.419503046211</v>
      </c>
      <c r="Z51" s="68">
        <f>VLOOKUP($O51,$A$4:$J$247,8,FALSE)</f>
        <v>10689.580496953786</v>
      </c>
      <c r="AA51" s="68">
        <f>VLOOKUP($O51,$A$4:$J$247,9,FALSE)</f>
        <v>10689.580496953786</v>
      </c>
      <c r="AB51" s="68">
        <f>VLOOKUP($O51,$A$4:$J$247,10,FALSE)</f>
        <v>4689.5804969537858</v>
      </c>
    </row>
    <row r="52" spans="1:28">
      <c r="A52" s="23">
        <f>_xlfn.RANK.EQ(' 5-Forecast Cash Flow + Profits'!AP52,' 5-Forecast Cash Flow + Profits'!$AP$4:$AP$247,0)</f>
        <v>208</v>
      </c>
      <c r="B52" s="23" t="str">
        <f>' 5-Forecast Cash Flow + Profits'!A52</f>
        <v>W142</v>
      </c>
      <c r="C52" s="68">
        <f>' 5-Forecast Cash Flow + Profits'!AD52+' 5-Forecast Cash Flow + Profits'!AI52</f>
        <v>-19331.059909178835</v>
      </c>
      <c r="D52" s="68">
        <f>' 5-Forecast Cash Flow + Profits'!AP52</f>
        <v>-17677.45990917884</v>
      </c>
      <c r="E52" t="s">
        <v>423</v>
      </c>
      <c r="F52" t="s">
        <v>424</v>
      </c>
      <c r="G52" s="63">
        <f>' 5-Forecast Cash Flow + Profits'!AM52</f>
        <v>-35677.459909178833</v>
      </c>
      <c r="H52" s="63">
        <f>' 5-Forecast Cash Flow + Profits'!AN52</f>
        <v>-11677.459909178839</v>
      </c>
      <c r="I52" s="63">
        <f>' 5-Forecast Cash Flow + Profits'!AO52</f>
        <v>-11677.459909178839</v>
      </c>
      <c r="J52" s="63">
        <f>' 5-Forecast Cash Flow + Profits'!AP52</f>
        <v>-17677.45990917884</v>
      </c>
      <c r="O52" s="23">
        <v>49</v>
      </c>
      <c r="P52" s="23" t="str">
        <f>VLOOKUP(O52,$A$4:$B$247,2,FALSE)</f>
        <v>W31</v>
      </c>
      <c r="Q52" s="23" t="str">
        <f>VLOOKUP(O52,$A$4:$F$247,5,FALSE)</f>
        <v>Chicago</v>
      </c>
      <c r="R52" s="23" t="str">
        <f>VLOOKUP(O52,$A$4:$F$247,6,FALSE)</f>
        <v>IL</v>
      </c>
      <c r="S52" s="68">
        <f>O52*' 5-Forecast Cash Flow + Profits'!$AG$7</f>
        <v>1470000</v>
      </c>
      <c r="T52" s="68">
        <f>VLOOKUP(O52,$A$4:$C$247,3,FALSE)</f>
        <v>18713.455643141242</v>
      </c>
      <c r="U52" s="68">
        <f>VLOOKUP(O52,$A$4:$D$247,4,FALSE)</f>
        <v>4604.4556431412384</v>
      </c>
      <c r="V52" s="89" t="str">
        <f>IF(S52&lt;$L$6,IF(U52&gt;' 5-Forecast Cash Flow + Profits'!$AG$29,"YES","NO"),"NO")</f>
        <v>NO</v>
      </c>
      <c r="W52" s="89" t="str">
        <f>IF(U52&gt;' 5-Forecast Cash Flow + Profits'!$AG$29, "YES", "NO")</f>
        <v>NO</v>
      </c>
      <c r="X52" s="68">
        <f>T52+X51</f>
        <v>1389935.7076556573</v>
      </c>
      <c r="Y52" s="68">
        <f>VLOOKUP($O52,$A$4:$J$247,7,FALSE)</f>
        <v>-13395.544356858758</v>
      </c>
      <c r="Z52" s="68">
        <f>VLOOKUP($O52,$A$4:$J$247,8,FALSE)</f>
        <v>10604.455643141238</v>
      </c>
      <c r="AA52" s="68">
        <f>VLOOKUP($O52,$A$4:$J$247,9,FALSE)</f>
        <v>10604.455643141238</v>
      </c>
      <c r="AB52" s="68">
        <f>VLOOKUP($O52,$A$4:$J$247,10,FALSE)</f>
        <v>4604.4556431412384</v>
      </c>
    </row>
    <row r="53" spans="1:28">
      <c r="A53" s="23">
        <f>_xlfn.RANK.EQ(' 5-Forecast Cash Flow + Profits'!AP53,' 5-Forecast Cash Flow + Profits'!$AP$4:$AP$247,0)</f>
        <v>31</v>
      </c>
      <c r="B53" s="23" t="str">
        <f>' 5-Forecast Cash Flow + Profits'!A53</f>
        <v>W143</v>
      </c>
      <c r="C53" s="68">
        <f>' 5-Forecast Cash Flow + Profits'!AD53+' 5-Forecast Cash Flow + Profits'!AI53</f>
        <v>9096.3022451668803</v>
      </c>
      <c r="D53" s="68">
        <f>' 5-Forecast Cash Flow + Profits'!AP53</f>
        <v>11917.502245166877</v>
      </c>
      <c r="E53" t="s">
        <v>423</v>
      </c>
      <c r="F53" t="s">
        <v>424</v>
      </c>
      <c r="G53" s="63">
        <f>' 5-Forecast Cash Flow + Profits'!AM53</f>
        <v>-6082.4977548331226</v>
      </c>
      <c r="H53" s="63">
        <f>' 5-Forecast Cash Flow + Profits'!AN53</f>
        <v>17917.502245166877</v>
      </c>
      <c r="I53" s="63">
        <f>' 5-Forecast Cash Flow + Profits'!AO53</f>
        <v>17917.502245166877</v>
      </c>
      <c r="J53" s="63">
        <f>' 5-Forecast Cash Flow + Profits'!AP53</f>
        <v>11917.502245166877</v>
      </c>
      <c r="O53" s="23">
        <v>50</v>
      </c>
      <c r="P53" s="23" t="str">
        <f>VLOOKUP(O53,$A$4:$B$247,2,FALSE)</f>
        <v>W189</v>
      </c>
      <c r="Q53" s="23" t="str">
        <f>VLOOKUP(O53,$A$4:$F$247,5,FALSE)</f>
        <v>San Diego</v>
      </c>
      <c r="R53" s="23" t="str">
        <f>VLOOKUP(O53,$A$4:$F$247,6,FALSE)</f>
        <v>CA</v>
      </c>
      <c r="S53" s="68">
        <f>O53*' 5-Forecast Cash Flow + Profits'!$AG$7</f>
        <v>1500000</v>
      </c>
      <c r="T53" s="68">
        <f>VLOOKUP(O53,$A$4:$C$247,3,FALSE)</f>
        <v>-2918.0410629789403</v>
      </c>
      <c r="U53" s="68">
        <f>VLOOKUP(O53,$A$4:$D$247,4,FALSE)</f>
        <v>4573.5589370210582</v>
      </c>
      <c r="V53" s="89" t="str">
        <f>IF(S53&lt;$L$6,IF(U53&gt;' 5-Forecast Cash Flow + Profits'!$AG$29,"YES","NO"),"NO")</f>
        <v>NO</v>
      </c>
      <c r="W53" s="89" t="str">
        <f>IF(U53&gt;' 5-Forecast Cash Flow + Profits'!$AG$29, "YES", "NO")</f>
        <v>NO</v>
      </c>
      <c r="X53" s="68">
        <f>T53+X52</f>
        <v>1387017.6665926783</v>
      </c>
      <c r="Y53" s="68">
        <f>VLOOKUP($O53,$A$4:$J$247,7,FALSE)</f>
        <v>-13426.441062978942</v>
      </c>
      <c r="Z53" s="68">
        <f>VLOOKUP($O53,$A$4:$J$247,8,FALSE)</f>
        <v>10573.558937021058</v>
      </c>
      <c r="AA53" s="68">
        <f>VLOOKUP($O53,$A$4:$J$247,9,FALSE)</f>
        <v>10573.558937021058</v>
      </c>
      <c r="AB53" s="68">
        <f>VLOOKUP($O53,$A$4:$J$247,10,FALSE)</f>
        <v>4573.5589370210582</v>
      </c>
    </row>
    <row r="54" spans="1:28">
      <c r="A54" s="23">
        <f>_xlfn.RANK.EQ(' 5-Forecast Cash Flow + Profits'!AP54,' 5-Forecast Cash Flow + Profits'!$AP$4:$AP$247,0)</f>
        <v>21</v>
      </c>
      <c r="B54" s="23" t="str">
        <f>' 5-Forecast Cash Flow + Profits'!A54</f>
        <v>W144</v>
      </c>
      <c r="C54" s="68">
        <f>' 5-Forecast Cash Flow + Profits'!AD54+' 5-Forecast Cash Flow + Profits'!AI54</f>
        <v>23053.324636911639</v>
      </c>
      <c r="D54" s="68">
        <f>' 5-Forecast Cash Flow + Profits'!AP54</f>
        <v>18868.924636911641</v>
      </c>
      <c r="E54" t="s">
        <v>423</v>
      </c>
      <c r="F54" t="s">
        <v>424</v>
      </c>
      <c r="G54" s="63">
        <f>' 5-Forecast Cash Flow + Profits'!AM54</f>
        <v>868.92463691164448</v>
      </c>
      <c r="H54" s="63">
        <f>' 5-Forecast Cash Flow + Profits'!AN54</f>
        <v>24868.924636911641</v>
      </c>
      <c r="I54" s="63">
        <f>' 5-Forecast Cash Flow + Profits'!AO54</f>
        <v>24868.924636911641</v>
      </c>
      <c r="J54" s="63">
        <f>' 5-Forecast Cash Flow + Profits'!AP54</f>
        <v>18868.924636911641</v>
      </c>
      <c r="O54" s="23">
        <v>51</v>
      </c>
      <c r="P54" s="23" t="str">
        <f>VLOOKUP(O54,$A$4:$B$247,2,FALSE)</f>
        <v>W195</v>
      </c>
      <c r="Q54" s="23" t="str">
        <f>VLOOKUP(O54,$A$4:$F$247,5,FALSE)</f>
        <v>San Diego</v>
      </c>
      <c r="R54" s="23" t="str">
        <f>VLOOKUP(O54,$A$4:$F$247,6,FALSE)</f>
        <v>CA</v>
      </c>
      <c r="S54" s="68">
        <f>O54*' 5-Forecast Cash Flow + Profits'!$AG$7</f>
        <v>1530000</v>
      </c>
      <c r="T54" s="68">
        <f>VLOOKUP(O54,$A$4:$C$247,3,FALSE)</f>
        <v>5778.4073090232487</v>
      </c>
      <c r="U54" s="68">
        <f>VLOOKUP(O54,$A$4:$D$247,4,FALSE)</f>
        <v>3929.2073090232443</v>
      </c>
      <c r="V54" s="89" t="str">
        <f>IF(S54&lt;$L$6,IF(U54&gt;' 5-Forecast Cash Flow + Profits'!$AG$29,"YES","NO"),"NO")</f>
        <v>NO</v>
      </c>
      <c r="W54" s="89" t="str">
        <f>IF(U54&gt;' 5-Forecast Cash Flow + Profits'!$AG$29, "YES", "NO")</f>
        <v>NO</v>
      </c>
      <c r="X54" s="68">
        <f>T54+X53</f>
        <v>1392796.0739017015</v>
      </c>
      <c r="Y54" s="68">
        <f>VLOOKUP($O54,$A$4:$J$247,7,FALSE)</f>
        <v>-14070.792690976752</v>
      </c>
      <c r="Z54" s="68">
        <f>VLOOKUP($O54,$A$4:$J$247,8,FALSE)</f>
        <v>9929.2073090232443</v>
      </c>
      <c r="AA54" s="68">
        <f>VLOOKUP($O54,$A$4:$J$247,9,FALSE)</f>
        <v>9929.2073090232443</v>
      </c>
      <c r="AB54" s="68">
        <f>VLOOKUP($O54,$A$4:$J$247,10,FALSE)</f>
        <v>3929.2073090232443</v>
      </c>
    </row>
    <row r="55" spans="1:28">
      <c r="A55" s="23">
        <f>_xlfn.RANK.EQ(' 5-Forecast Cash Flow + Profits'!AP55,' 5-Forecast Cash Flow + Profits'!$AP$4:$AP$247,0)</f>
        <v>192</v>
      </c>
      <c r="B55" s="23" t="str">
        <f>' 5-Forecast Cash Flow + Profits'!A55</f>
        <v>W145</v>
      </c>
      <c r="C55" s="68">
        <f>' 5-Forecast Cash Flow + Profits'!AD55+' 5-Forecast Cash Flow + Profits'!AI55</f>
        <v>-22697.709356534153</v>
      </c>
      <c r="D55" s="68">
        <f>' 5-Forecast Cash Flow + Profits'!AP55</f>
        <v>-15206.109356534153</v>
      </c>
      <c r="E55" t="s">
        <v>423</v>
      </c>
      <c r="F55" t="s">
        <v>424</v>
      </c>
      <c r="G55" s="63">
        <f>' 5-Forecast Cash Flow + Profits'!AM55</f>
        <v>-33206.109356534151</v>
      </c>
      <c r="H55" s="63">
        <f>' 5-Forecast Cash Flow + Profits'!AN55</f>
        <v>-9206.1093565341525</v>
      </c>
      <c r="I55" s="63">
        <f>' 5-Forecast Cash Flow + Profits'!AO55</f>
        <v>-9206.1093565341525</v>
      </c>
      <c r="J55" s="63">
        <f>' 5-Forecast Cash Flow + Profits'!AP55</f>
        <v>-15206.109356534153</v>
      </c>
      <c r="O55" s="23">
        <v>52</v>
      </c>
      <c r="P55" s="23" t="str">
        <f>VLOOKUP(O55,$A$4:$B$247,2,FALSE)</f>
        <v>W101</v>
      </c>
      <c r="Q55" s="23" t="str">
        <f>VLOOKUP(O55,$A$4:$F$247,5,FALSE)</f>
        <v>Austin</v>
      </c>
      <c r="R55" s="23" t="str">
        <f>VLOOKUP(O55,$A$4:$F$247,6,FALSE)</f>
        <v>TX</v>
      </c>
      <c r="S55" s="68">
        <f>O55*' 5-Forecast Cash Flow + Profits'!$AG$7</f>
        <v>1560000</v>
      </c>
      <c r="T55" s="68">
        <f>VLOOKUP(O55,$A$4:$C$247,3,FALSE)</f>
        <v>2242.9061435790645</v>
      </c>
      <c r="U55" s="68">
        <f>VLOOKUP(O55,$A$4:$D$247,4,FALSE)</f>
        <v>3896.5061435790631</v>
      </c>
      <c r="V55" s="89" t="str">
        <f>IF(S55&lt;$L$6,IF(U55&gt;' 5-Forecast Cash Flow + Profits'!$AG$29,"YES","NO"),"NO")</f>
        <v>NO</v>
      </c>
      <c r="W55" s="89" t="str">
        <f>IF(U55&gt;' 5-Forecast Cash Flow + Profits'!$AG$29, "YES", "NO")</f>
        <v>NO</v>
      </c>
      <c r="X55" s="68">
        <f>T55+X54</f>
        <v>1395038.9800452807</v>
      </c>
      <c r="Y55" s="68">
        <f>VLOOKUP($O55,$A$4:$J$247,7,FALSE)</f>
        <v>-14103.493856420937</v>
      </c>
      <c r="Z55" s="68">
        <f>VLOOKUP($O55,$A$4:$J$247,8,FALSE)</f>
        <v>9896.5061435790631</v>
      </c>
      <c r="AA55" s="68">
        <f>VLOOKUP($O55,$A$4:$J$247,9,FALSE)</f>
        <v>9896.5061435790631</v>
      </c>
      <c r="AB55" s="68">
        <f>VLOOKUP($O55,$A$4:$J$247,10,FALSE)</f>
        <v>3896.5061435790631</v>
      </c>
    </row>
    <row r="56" spans="1:28">
      <c r="A56" s="23">
        <f>_xlfn.RANK.EQ(' 5-Forecast Cash Flow + Profits'!AP56,' 5-Forecast Cash Flow + Profits'!$AP$4:$AP$247,0)</f>
        <v>215</v>
      </c>
      <c r="B56" s="23" t="str">
        <f>' 5-Forecast Cash Flow + Profits'!A56</f>
        <v>W146</v>
      </c>
      <c r="C56" s="68">
        <f>' 5-Forecast Cash Flow + Profits'!AD56+' 5-Forecast Cash Flow + Profits'!AI56</f>
        <v>-20027.972499887484</v>
      </c>
      <c r="D56" s="68">
        <f>' 5-Forecast Cash Flow + Profits'!AP56</f>
        <v>-18374.372499887482</v>
      </c>
      <c r="E56" t="s">
        <v>423</v>
      </c>
      <c r="F56" t="s">
        <v>424</v>
      </c>
      <c r="G56" s="63">
        <f>' 5-Forecast Cash Flow + Profits'!AM56</f>
        <v>-36374.372499887482</v>
      </c>
      <c r="H56" s="63">
        <f>' 5-Forecast Cash Flow + Profits'!AN56</f>
        <v>-12374.372499887484</v>
      </c>
      <c r="I56" s="63">
        <f>' 5-Forecast Cash Flow + Profits'!AO56</f>
        <v>-12374.372499887484</v>
      </c>
      <c r="J56" s="63">
        <f>' 5-Forecast Cash Flow + Profits'!AP56</f>
        <v>-18374.372499887482</v>
      </c>
      <c r="O56" s="23">
        <v>53</v>
      </c>
      <c r="P56" s="23" t="str">
        <f>VLOOKUP(O56,$A$4:$B$247,2,FALSE)</f>
        <v>W117</v>
      </c>
      <c r="Q56" s="23" t="str">
        <f>VLOOKUP(O56,$A$4:$F$247,5,FALSE)</f>
        <v>Austin</v>
      </c>
      <c r="R56" s="23" t="str">
        <f>VLOOKUP(O56,$A$4:$F$247,6,FALSE)</f>
        <v>TX</v>
      </c>
      <c r="S56" s="68">
        <f>O56*' 5-Forecast Cash Flow + Profits'!$AG$7</f>
        <v>1590000</v>
      </c>
      <c r="T56" s="68">
        <f>VLOOKUP(O56,$A$4:$C$247,3,FALSE)</f>
        <v>-2435.7428939361344</v>
      </c>
      <c r="U56" s="68">
        <f>VLOOKUP(O56,$A$4:$D$247,4,FALSE)</f>
        <v>3888.2571060638656</v>
      </c>
      <c r="V56" s="89" t="str">
        <f>IF(S56&lt;$L$6,IF(U56&gt;' 5-Forecast Cash Flow + Profits'!$AG$29,"YES","NO"),"NO")</f>
        <v>NO</v>
      </c>
      <c r="W56" s="89" t="str">
        <f>IF(U56&gt;' 5-Forecast Cash Flow + Profits'!$AG$29, "YES", "NO")</f>
        <v>NO</v>
      </c>
      <c r="X56" s="68">
        <f>T56+X55</f>
        <v>1392603.2371513445</v>
      </c>
      <c r="Y56" s="68">
        <f>VLOOKUP($O56,$A$4:$J$247,7,FALSE)</f>
        <v>-14111.742893936134</v>
      </c>
      <c r="Z56" s="68">
        <f>VLOOKUP($O56,$A$4:$J$247,8,FALSE)</f>
        <v>9888.2571060638656</v>
      </c>
      <c r="AA56" s="68">
        <f>VLOOKUP($O56,$A$4:$J$247,9,FALSE)</f>
        <v>9888.2571060638656</v>
      </c>
      <c r="AB56" s="68">
        <f>VLOOKUP($O56,$A$4:$J$247,10,FALSE)</f>
        <v>3888.2571060638656</v>
      </c>
    </row>
    <row r="57" spans="1:28">
      <c r="A57" s="23">
        <f>_xlfn.RANK.EQ(' 5-Forecast Cash Flow + Profits'!AP57,' 5-Forecast Cash Flow + Profits'!$AP$4:$AP$247,0)</f>
        <v>125</v>
      </c>
      <c r="B57" s="23" t="str">
        <f>' 5-Forecast Cash Flow + Profits'!A57</f>
        <v>W147</v>
      </c>
      <c r="C57" s="68">
        <f>' 5-Forecast Cash Flow + Profits'!AD57+' 5-Forecast Cash Flow + Profits'!AI57</f>
        <v>-8643.2673175921373</v>
      </c>
      <c r="D57" s="68">
        <f>' 5-Forecast Cash Flow + Profits'!AP57</f>
        <v>-6989.6673175921387</v>
      </c>
      <c r="E57" t="s">
        <v>423</v>
      </c>
      <c r="F57" t="s">
        <v>424</v>
      </c>
      <c r="G57" s="63">
        <f>' 5-Forecast Cash Flow + Profits'!AM57</f>
        <v>-24989.667317592139</v>
      </c>
      <c r="H57" s="63">
        <f>' 5-Forecast Cash Flow + Profits'!AN57</f>
        <v>-989.66731759213872</v>
      </c>
      <c r="I57" s="63">
        <f>' 5-Forecast Cash Flow + Profits'!AO57</f>
        <v>-989.66731759213872</v>
      </c>
      <c r="J57" s="63">
        <f>' 5-Forecast Cash Flow + Profits'!AP57</f>
        <v>-6989.6673175921387</v>
      </c>
      <c r="O57" s="23">
        <v>54</v>
      </c>
      <c r="P57" s="23" t="str">
        <f>VLOOKUP(O57,$A$4:$B$247,2,FALSE)</f>
        <v>W35</v>
      </c>
      <c r="Q57" s="23" t="str">
        <f>VLOOKUP(O57,$A$4:$F$247,5,FALSE)</f>
        <v>Chicago</v>
      </c>
      <c r="R57" s="23" t="str">
        <f>VLOOKUP(O57,$A$4:$F$247,6,FALSE)</f>
        <v>IL</v>
      </c>
      <c r="S57" s="68">
        <f>O57*' 5-Forecast Cash Flow + Profits'!$AG$7</f>
        <v>1620000</v>
      </c>
      <c r="T57" s="68">
        <f>VLOOKUP(O57,$A$4:$C$247,3,FALSE)</f>
        <v>20053.893277330382</v>
      </c>
      <c r="U57" s="68">
        <f>VLOOKUP(O57,$A$4:$D$247,4,FALSE)</f>
        <v>3609.6932773303852</v>
      </c>
      <c r="V57" s="89" t="str">
        <f>IF(S57&lt;$L$6,IF(U57&gt;' 5-Forecast Cash Flow + Profits'!$AG$29,"YES","NO"),"NO")</f>
        <v>NO</v>
      </c>
      <c r="W57" s="89" t="str">
        <f>IF(U57&gt;' 5-Forecast Cash Flow + Profits'!$AG$29, "YES", "NO")</f>
        <v>NO</v>
      </c>
      <c r="X57" s="68">
        <f>T57+X56</f>
        <v>1412657.1304286749</v>
      </c>
      <c r="Y57" s="68">
        <f>VLOOKUP($O57,$A$4:$J$247,7,FALSE)</f>
        <v>-14390.306722669615</v>
      </c>
      <c r="Z57" s="68">
        <f>VLOOKUP($O57,$A$4:$J$247,8,FALSE)</f>
        <v>9609.6932773303852</v>
      </c>
      <c r="AA57" s="68">
        <f>VLOOKUP($O57,$A$4:$J$247,9,FALSE)</f>
        <v>9609.6932773303852</v>
      </c>
      <c r="AB57" s="68">
        <f>VLOOKUP($O57,$A$4:$J$247,10,FALSE)</f>
        <v>3609.6932773303852</v>
      </c>
    </row>
    <row r="58" spans="1:28">
      <c r="A58" s="23">
        <f>_xlfn.RANK.EQ(' 5-Forecast Cash Flow + Profits'!AP58,' 5-Forecast Cash Flow + Profits'!$AP$4:$AP$247,0)</f>
        <v>92</v>
      </c>
      <c r="B58" s="23" t="str">
        <f>' 5-Forecast Cash Flow + Profits'!A58</f>
        <v>W148</v>
      </c>
      <c r="C58" s="68">
        <f>' 5-Forecast Cash Flow + Profits'!AD58+' 5-Forecast Cash Flow + Profits'!AI58</f>
        <v>-1392.6179021020944</v>
      </c>
      <c r="D58" s="68">
        <f>' 5-Forecast Cash Flow + Profits'!AP58</f>
        <v>-3241.8179021020951</v>
      </c>
      <c r="E58" t="s">
        <v>423</v>
      </c>
      <c r="F58" t="s">
        <v>424</v>
      </c>
      <c r="G58" s="63">
        <f>' 5-Forecast Cash Flow + Profits'!AM58</f>
        <v>-21241.817902102095</v>
      </c>
      <c r="H58" s="63">
        <f>' 5-Forecast Cash Flow + Profits'!AN58</f>
        <v>2758.1820978979049</v>
      </c>
      <c r="I58" s="63">
        <f>' 5-Forecast Cash Flow + Profits'!AO58</f>
        <v>2758.1820978979049</v>
      </c>
      <c r="J58" s="63">
        <f>' 5-Forecast Cash Flow + Profits'!AP58</f>
        <v>-3241.8179021020951</v>
      </c>
      <c r="O58" s="23">
        <v>55</v>
      </c>
      <c r="P58" s="23" t="str">
        <f>VLOOKUP(O58,$A$4:$B$247,2,FALSE)</f>
        <v>W182</v>
      </c>
      <c r="Q58" s="23" t="str">
        <f>VLOOKUP(O58,$A$4:$F$247,5,FALSE)</f>
        <v>Omaha</v>
      </c>
      <c r="R58" s="23" t="str">
        <f>VLOOKUP(O58,$A$4:$F$247,6,FALSE)</f>
        <v>NE</v>
      </c>
      <c r="S58" s="68">
        <f>O58*' 5-Forecast Cash Flow + Profits'!$AG$7</f>
        <v>1650000</v>
      </c>
      <c r="T58" s="68">
        <f>VLOOKUP(O58,$A$4:$C$247,3,FALSE)</f>
        <v>-2803.6287165647154</v>
      </c>
      <c r="U58" s="68">
        <f>VLOOKUP(O58,$A$4:$D$247,4,FALSE)</f>
        <v>3520.3712834352809</v>
      </c>
      <c r="V58" s="89" t="str">
        <f>IF(S58&lt;$L$6,IF(U58&gt;' 5-Forecast Cash Flow + Profits'!$AG$29,"YES","NO"),"NO")</f>
        <v>NO</v>
      </c>
      <c r="W58" s="89" t="str">
        <f>IF(U58&gt;' 5-Forecast Cash Flow + Profits'!$AG$29, "YES", "NO")</f>
        <v>NO</v>
      </c>
      <c r="X58" s="68">
        <f>T58+X57</f>
        <v>1409853.5017121101</v>
      </c>
      <c r="Y58" s="68">
        <f>VLOOKUP($O58,$A$4:$J$247,7,FALSE)</f>
        <v>-14479.628716564715</v>
      </c>
      <c r="Z58" s="68">
        <f>VLOOKUP($O58,$A$4:$J$247,8,FALSE)</f>
        <v>9520.3712834352809</v>
      </c>
      <c r="AA58" s="68">
        <f>VLOOKUP($O58,$A$4:$J$247,9,FALSE)</f>
        <v>9520.3712834352809</v>
      </c>
      <c r="AB58" s="68">
        <f>VLOOKUP($O58,$A$4:$J$247,10,FALSE)</f>
        <v>3520.3712834352809</v>
      </c>
    </row>
    <row r="59" spans="1:28">
      <c r="A59" s="23">
        <f>_xlfn.RANK.EQ(' 5-Forecast Cash Flow + Profits'!AP59,' 5-Forecast Cash Flow + Profits'!$AP$4:$AP$247,0)</f>
        <v>173</v>
      </c>
      <c r="B59" s="23" t="str">
        <f>' 5-Forecast Cash Flow + Profits'!A59</f>
        <v>W149</v>
      </c>
      <c r="C59" s="68">
        <f>' 5-Forecast Cash Flow + Profits'!AD59+' 5-Forecast Cash Flow + Profits'!AI59</f>
        <v>-21764.895043201897</v>
      </c>
      <c r="D59" s="68">
        <f>' 5-Forecast Cash Flow + Profits'!AP59</f>
        <v>-13105.695043201897</v>
      </c>
      <c r="E59" t="s">
        <v>425</v>
      </c>
      <c r="F59" t="s">
        <v>426</v>
      </c>
      <c r="G59" s="63">
        <f>' 5-Forecast Cash Flow + Profits'!AM59</f>
        <v>-31105.695043201897</v>
      </c>
      <c r="H59" s="63">
        <f>' 5-Forecast Cash Flow + Profits'!AN59</f>
        <v>-7105.6950432018966</v>
      </c>
      <c r="I59" s="63">
        <f>' 5-Forecast Cash Flow + Profits'!AO59</f>
        <v>-7105.6950432018966</v>
      </c>
      <c r="J59" s="63">
        <f>' 5-Forecast Cash Flow + Profits'!AP59</f>
        <v>-13105.695043201897</v>
      </c>
      <c r="O59" s="23">
        <v>56</v>
      </c>
      <c r="P59" s="23" t="str">
        <f>VLOOKUP(O59,$A$4:$B$247,2,FALSE)</f>
        <v>W27</v>
      </c>
      <c r="Q59" s="23" t="str">
        <f>VLOOKUP(O59,$A$4:$F$247,5,FALSE)</f>
        <v>Chicago</v>
      </c>
      <c r="R59" s="23" t="str">
        <f>VLOOKUP(O59,$A$4:$F$247,6,FALSE)</f>
        <v>IL</v>
      </c>
      <c r="S59" s="68">
        <f>O59*' 5-Forecast Cash Flow + Profits'!$AG$7</f>
        <v>1680000</v>
      </c>
      <c r="T59" s="68">
        <f>VLOOKUP(O59,$A$4:$C$247,3,FALSE)</f>
        <v>-514.11036040794716</v>
      </c>
      <c r="U59" s="68">
        <f>VLOOKUP(O59,$A$4:$D$247,4,FALSE)</f>
        <v>3474.6896395920594</v>
      </c>
      <c r="V59" s="89" t="str">
        <f>IF(S59&lt;$L$6,IF(U59&gt;' 5-Forecast Cash Flow + Profits'!$AG$29,"YES","NO"),"NO")</f>
        <v>NO</v>
      </c>
      <c r="W59" s="89" t="str">
        <f>IF(U59&gt;' 5-Forecast Cash Flow + Profits'!$AG$29, "YES", "NO")</f>
        <v>NO</v>
      </c>
      <c r="X59" s="68">
        <f>T59+X58</f>
        <v>1409339.3913517022</v>
      </c>
      <c r="Y59" s="68">
        <f>VLOOKUP($O59,$A$4:$J$247,7,FALSE)</f>
        <v>-14525.310360407944</v>
      </c>
      <c r="Z59" s="68">
        <f>VLOOKUP($O59,$A$4:$J$247,8,FALSE)</f>
        <v>9474.6896395920594</v>
      </c>
      <c r="AA59" s="68">
        <f>VLOOKUP($O59,$A$4:$J$247,9,FALSE)</f>
        <v>9474.6896395920594</v>
      </c>
      <c r="AB59" s="68">
        <f>VLOOKUP($O59,$A$4:$J$247,10,FALSE)</f>
        <v>3474.6896395920594</v>
      </c>
    </row>
    <row r="60" spans="1:28">
      <c r="A60" s="23">
        <f>_xlfn.RANK.EQ(' 5-Forecast Cash Flow + Profits'!AP60,' 5-Forecast Cash Flow + Profits'!$AP$4:$AP$247,0)</f>
        <v>145</v>
      </c>
      <c r="B60" s="23" t="str">
        <f>' 5-Forecast Cash Flow + Profits'!A60</f>
        <v>W15</v>
      </c>
      <c r="C60" s="68">
        <f>' 5-Forecast Cash Flow + Profits'!AD60+' 5-Forecast Cash Flow + Profits'!AI60</f>
        <v>-17017.812219218929</v>
      </c>
      <c r="D60" s="68">
        <f>' 5-Forecast Cash Flow + Profits'!AP60</f>
        <v>-9526.2122192189327</v>
      </c>
      <c r="E60" t="s">
        <v>415</v>
      </c>
      <c r="F60" t="s">
        <v>416</v>
      </c>
      <c r="G60" s="63">
        <f>' 5-Forecast Cash Flow + Profits'!AM60</f>
        <v>-27526.212219218927</v>
      </c>
      <c r="H60" s="63">
        <f>' 5-Forecast Cash Flow + Profits'!AN60</f>
        <v>-3526.2122192189327</v>
      </c>
      <c r="I60" s="63">
        <f>' 5-Forecast Cash Flow + Profits'!AO60</f>
        <v>-3526.2122192189327</v>
      </c>
      <c r="J60" s="63">
        <f>' 5-Forecast Cash Flow + Profits'!AP60</f>
        <v>-9526.2122192189327</v>
      </c>
      <c r="O60" s="23">
        <v>57</v>
      </c>
      <c r="P60" s="23" t="str">
        <f>VLOOKUP(O60,$A$4:$B$247,2,FALSE)</f>
        <v>W124</v>
      </c>
      <c r="Q60" s="23" t="str">
        <f>VLOOKUP(O60,$A$4:$F$247,5,FALSE)</f>
        <v>Bentonville</v>
      </c>
      <c r="R60" s="23" t="str">
        <f>VLOOKUP(O60,$A$4:$F$247,6,FALSE)</f>
        <v>AR</v>
      </c>
      <c r="S60" s="68">
        <f>O60*' 5-Forecast Cash Flow + Profits'!$AG$7</f>
        <v>1710000</v>
      </c>
      <c r="T60" s="68">
        <f>VLOOKUP(O60,$A$4:$C$247,3,FALSE)</f>
        <v>-2984.0532992359804</v>
      </c>
      <c r="U60" s="68">
        <f>VLOOKUP(O60,$A$4:$D$247,4,FALSE)</f>
        <v>3339.9467007640233</v>
      </c>
      <c r="V60" s="89" t="str">
        <f>IF(S60&lt;$L$6,IF(U60&gt;' 5-Forecast Cash Flow + Profits'!$AG$29,"YES","NO"),"NO")</f>
        <v>NO</v>
      </c>
      <c r="W60" s="89" t="str">
        <f>IF(U60&gt;' 5-Forecast Cash Flow + Profits'!$AG$29, "YES", "NO")</f>
        <v>NO</v>
      </c>
      <c r="X60" s="68">
        <f>T60+X59</f>
        <v>1406355.3380524663</v>
      </c>
      <c r="Y60" s="68">
        <f>VLOOKUP($O60,$A$4:$J$247,7,FALSE)</f>
        <v>-14660.05329923598</v>
      </c>
      <c r="Z60" s="68">
        <f>VLOOKUP($O60,$A$4:$J$247,8,FALSE)</f>
        <v>9339.9467007640233</v>
      </c>
      <c r="AA60" s="68">
        <f>VLOOKUP($O60,$A$4:$J$247,9,FALSE)</f>
        <v>9339.9467007640233</v>
      </c>
      <c r="AB60" s="68">
        <f>VLOOKUP($O60,$A$4:$J$247,10,FALSE)</f>
        <v>3339.9467007640233</v>
      </c>
    </row>
    <row r="61" spans="1:28">
      <c r="A61" s="23">
        <f>_xlfn.RANK.EQ(' 5-Forecast Cash Flow + Profits'!AP61,' 5-Forecast Cash Flow + Profits'!$AP$4:$AP$247,0)</f>
        <v>171</v>
      </c>
      <c r="B61" s="23" t="str">
        <f>' 5-Forecast Cash Flow + Profits'!A61</f>
        <v>W150</v>
      </c>
      <c r="C61" s="68">
        <f>' 5-Forecast Cash Flow + Profits'!AD61+' 5-Forecast Cash Flow + Profits'!AI61</f>
        <v>-15734.986249689169</v>
      </c>
      <c r="D61" s="68">
        <f>' 5-Forecast Cash Flow + Profits'!AP61</f>
        <v>-12913.786249689168</v>
      </c>
      <c r="E61" t="s">
        <v>425</v>
      </c>
      <c r="F61" t="s">
        <v>426</v>
      </c>
      <c r="G61" s="63">
        <f>' 5-Forecast Cash Flow + Profits'!AM61</f>
        <v>-30913.786249689168</v>
      </c>
      <c r="H61" s="63">
        <f>' 5-Forecast Cash Flow + Profits'!AN61</f>
        <v>-6913.7862496891685</v>
      </c>
      <c r="I61" s="63">
        <f>' 5-Forecast Cash Flow + Profits'!AO61</f>
        <v>-6913.7862496891685</v>
      </c>
      <c r="J61" s="63">
        <f>' 5-Forecast Cash Flow + Profits'!AP61</f>
        <v>-12913.786249689168</v>
      </c>
      <c r="O61" s="23">
        <v>58</v>
      </c>
      <c r="P61" s="23" t="str">
        <f>VLOOKUP(O61,$A$4:$B$247,2,FALSE)</f>
        <v>W167</v>
      </c>
      <c r="Q61" s="23" t="str">
        <f>VLOOKUP(O61,$A$4:$F$247,5,FALSE)</f>
        <v>Miami</v>
      </c>
      <c r="R61" s="23" t="str">
        <f>VLOOKUP(O61,$A$4:$F$247,6,FALSE)</f>
        <v>FL</v>
      </c>
      <c r="S61" s="68">
        <f>O61*' 5-Forecast Cash Flow + Profits'!$AG$7</f>
        <v>1740000</v>
      </c>
      <c r="T61" s="68">
        <f>VLOOKUP(O61,$A$4:$C$247,3,FALSE)</f>
        <v>1565.4273554052997</v>
      </c>
      <c r="U61" s="68">
        <f>VLOOKUP(O61,$A$4:$D$247,4,FALSE)</f>
        <v>3219.0273554052947</v>
      </c>
      <c r="V61" s="89" t="str">
        <f>IF(S61&lt;$L$6,IF(U61&gt;' 5-Forecast Cash Flow + Profits'!$AG$29,"YES","NO"),"NO")</f>
        <v>NO</v>
      </c>
      <c r="W61" s="89" t="str">
        <f>IF(U61&gt;' 5-Forecast Cash Flow + Profits'!$AG$29, "YES", "NO")</f>
        <v>NO</v>
      </c>
      <c r="X61" s="68">
        <f>T61+X60</f>
        <v>1407920.7654078717</v>
      </c>
      <c r="Y61" s="68">
        <f>VLOOKUP($O61,$A$4:$J$247,7,FALSE)</f>
        <v>-14780.972644594702</v>
      </c>
      <c r="Z61" s="68">
        <f>VLOOKUP($O61,$A$4:$J$247,8,FALSE)</f>
        <v>9219.0273554052947</v>
      </c>
      <c r="AA61" s="68">
        <f>VLOOKUP($O61,$A$4:$J$247,9,FALSE)</f>
        <v>9219.0273554052947</v>
      </c>
      <c r="AB61" s="68">
        <f>VLOOKUP($O61,$A$4:$J$247,10,FALSE)</f>
        <v>3219.0273554052947</v>
      </c>
    </row>
    <row r="62" spans="1:28">
      <c r="A62" s="23">
        <f>_xlfn.RANK.EQ(' 5-Forecast Cash Flow + Profits'!AP62,' 5-Forecast Cash Flow + Profits'!$AP$4:$AP$247,0)</f>
        <v>63</v>
      </c>
      <c r="B62" s="23" t="str">
        <f>' 5-Forecast Cash Flow + Profits'!A62</f>
        <v>W151</v>
      </c>
      <c r="C62" s="68">
        <f>' 5-Forecast Cash Flow + Profits'!AD62+' 5-Forecast Cash Flow + Profits'!AI62</f>
        <v>776.88066617571167</v>
      </c>
      <c r="D62" s="68">
        <f>' 5-Forecast Cash Flow + Profits'!AP62</f>
        <v>2430.4806661757066</v>
      </c>
      <c r="E62" t="s">
        <v>425</v>
      </c>
      <c r="F62" t="s">
        <v>426</v>
      </c>
      <c r="G62" s="63">
        <f>' 5-Forecast Cash Flow + Profits'!AM62</f>
        <v>-15569.51933382429</v>
      </c>
      <c r="H62" s="63">
        <f>' 5-Forecast Cash Flow + Profits'!AN62</f>
        <v>8430.4806661757066</v>
      </c>
      <c r="I62" s="63">
        <f>' 5-Forecast Cash Flow + Profits'!AO62</f>
        <v>8430.4806661757066</v>
      </c>
      <c r="J62" s="63">
        <f>' 5-Forecast Cash Flow + Profits'!AP62</f>
        <v>2430.4806661757066</v>
      </c>
      <c r="O62" s="23">
        <v>59</v>
      </c>
      <c r="P62" s="23" t="str">
        <f>VLOOKUP(O62,$A$4:$B$247,2,FALSE)</f>
        <v>W186</v>
      </c>
      <c r="Q62" s="23" t="str">
        <f>VLOOKUP(O62,$A$4:$F$247,5,FALSE)</f>
        <v>San Diego</v>
      </c>
      <c r="R62" s="23" t="str">
        <f>VLOOKUP(O62,$A$4:$F$247,6,FALSE)</f>
        <v>CA</v>
      </c>
      <c r="S62" s="68">
        <f>O62*' 5-Forecast Cash Flow + Profits'!$AG$7</f>
        <v>1770000</v>
      </c>
      <c r="T62" s="68">
        <f>VLOOKUP(O62,$A$4:$C$247,3,FALSE)</f>
        <v>1453.9769083919891</v>
      </c>
      <c r="U62" s="68">
        <f>VLOOKUP(O62,$A$4:$D$247,4,FALSE)</f>
        <v>3107.5769083919913</v>
      </c>
      <c r="V62" s="89" t="str">
        <f>IF(S62&lt;$L$6,IF(U62&gt;' 5-Forecast Cash Flow + Profits'!$AG$29,"YES","NO"),"NO")</f>
        <v>NO</v>
      </c>
      <c r="W62" s="89" t="str">
        <f>IF(U62&gt;' 5-Forecast Cash Flow + Profits'!$AG$29, "YES", "NO")</f>
        <v>NO</v>
      </c>
      <c r="X62" s="68">
        <f>T62+X61</f>
        <v>1409374.7423162637</v>
      </c>
      <c r="Y62" s="68">
        <f>VLOOKUP($O62,$A$4:$J$247,7,FALSE)</f>
        <v>-14892.423091608012</v>
      </c>
      <c r="Z62" s="68">
        <f>VLOOKUP($O62,$A$4:$J$247,8,FALSE)</f>
        <v>9107.5769083919913</v>
      </c>
      <c r="AA62" s="68">
        <f>VLOOKUP($O62,$A$4:$J$247,9,FALSE)</f>
        <v>9107.5769083919913</v>
      </c>
      <c r="AB62" s="68">
        <f>VLOOKUP($O62,$A$4:$J$247,10,FALSE)</f>
        <v>3107.5769083919913</v>
      </c>
    </row>
    <row r="63" spans="1:28">
      <c r="A63" s="23">
        <f>_xlfn.RANK.EQ(' 5-Forecast Cash Flow + Profits'!AP63,' 5-Forecast Cash Flow + Profits'!$AP$4:$AP$247,0)</f>
        <v>10</v>
      </c>
      <c r="B63" s="23" t="str">
        <f>' 5-Forecast Cash Flow + Profits'!A63</f>
        <v>W152</v>
      </c>
      <c r="C63" s="68">
        <f>' 5-Forecast Cash Flow + Profits'!AD63+' 5-Forecast Cash Flow + Profits'!AI63</f>
        <v>34720.670085321784</v>
      </c>
      <c r="D63" s="68">
        <f>' 5-Forecast Cash Flow + Profits'!AP63</f>
        <v>30536.27008532179</v>
      </c>
      <c r="E63" t="s">
        <v>425</v>
      </c>
      <c r="F63" t="s">
        <v>426</v>
      </c>
      <c r="G63" s="63">
        <f>' 5-Forecast Cash Flow + Profits'!AM63</f>
        <v>12536.27008532179</v>
      </c>
      <c r="H63" s="63">
        <f>' 5-Forecast Cash Flow + Profits'!AN63</f>
        <v>36536.27008532179</v>
      </c>
      <c r="I63" s="63">
        <f>' 5-Forecast Cash Flow + Profits'!AO63</f>
        <v>36536.27008532179</v>
      </c>
      <c r="J63" s="63">
        <f>' 5-Forecast Cash Flow + Profits'!AP63</f>
        <v>30536.27008532179</v>
      </c>
      <c r="O63" s="23">
        <v>60</v>
      </c>
      <c r="P63" s="23" t="str">
        <f>VLOOKUP(O63,$A$4:$B$247,2,FALSE)</f>
        <v>W176</v>
      </c>
      <c r="Q63" s="23" t="str">
        <f>VLOOKUP(O63,$A$4:$F$247,5,FALSE)</f>
        <v>Omaha</v>
      </c>
      <c r="R63" s="23" t="str">
        <f>VLOOKUP(O63,$A$4:$F$247,6,FALSE)</f>
        <v>NE</v>
      </c>
      <c r="S63" s="68">
        <f>O63*' 5-Forecast Cash Flow + Profits'!$AG$7</f>
        <v>1800000</v>
      </c>
      <c r="T63" s="68">
        <f>VLOOKUP(O63,$A$4:$C$247,3,FALSE)</f>
        <v>-1300.7130802150787</v>
      </c>
      <c r="U63" s="68">
        <f>VLOOKUP(O63,$A$4:$D$247,4,FALSE)</f>
        <v>2688.0869197849242</v>
      </c>
      <c r="V63" s="89" t="str">
        <f>IF(S63&lt;$L$6,IF(U63&gt;' 5-Forecast Cash Flow + Profits'!$AG$29,"YES","NO"),"NO")</f>
        <v>NO</v>
      </c>
      <c r="W63" s="89" t="str">
        <f>IF(U63&gt;' 5-Forecast Cash Flow + Profits'!$AG$29, "YES", "NO")</f>
        <v>NO</v>
      </c>
      <c r="X63" s="68">
        <f>T63+X62</f>
        <v>1408074.0292360487</v>
      </c>
      <c r="Y63" s="68">
        <f>VLOOKUP($O63,$A$4:$J$247,7,FALSE)</f>
        <v>-15311.913080215076</v>
      </c>
      <c r="Z63" s="68">
        <f>VLOOKUP($O63,$A$4:$J$247,8,FALSE)</f>
        <v>8688.0869197849242</v>
      </c>
      <c r="AA63" s="68">
        <f>VLOOKUP($O63,$A$4:$J$247,9,FALSE)</f>
        <v>8688.0869197849242</v>
      </c>
      <c r="AB63" s="68">
        <f>VLOOKUP($O63,$A$4:$J$247,10,FALSE)</f>
        <v>2688.0869197849242</v>
      </c>
    </row>
    <row r="64" spans="1:28">
      <c r="A64" s="23">
        <f>_xlfn.RANK.EQ(' 5-Forecast Cash Flow + Profits'!AP64,' 5-Forecast Cash Flow + Profits'!$AP$4:$AP$247,0)</f>
        <v>112</v>
      </c>
      <c r="B64" s="23" t="str">
        <f>' 5-Forecast Cash Flow + Profits'!A64</f>
        <v>W153</v>
      </c>
      <c r="C64" s="68">
        <f>' 5-Forecast Cash Flow + Profits'!AD64+' 5-Forecast Cash Flow + Profits'!AI64</f>
        <v>-3816.7507339479198</v>
      </c>
      <c r="D64" s="68">
        <f>' 5-Forecast Cash Flow + Profits'!AP64</f>
        <v>-5665.9507339479205</v>
      </c>
      <c r="E64" t="s">
        <v>425</v>
      </c>
      <c r="F64" t="s">
        <v>426</v>
      </c>
      <c r="G64" s="63">
        <f>' 5-Forecast Cash Flow + Profits'!AM64</f>
        <v>-23665.950733947921</v>
      </c>
      <c r="H64" s="63">
        <f>' 5-Forecast Cash Flow + Profits'!AN64</f>
        <v>334.04926605207766</v>
      </c>
      <c r="I64" s="63">
        <f>' 5-Forecast Cash Flow + Profits'!AO64</f>
        <v>334.04926605207766</v>
      </c>
      <c r="J64" s="63">
        <f>' 5-Forecast Cash Flow + Profits'!AP64</f>
        <v>-5665.9507339479205</v>
      </c>
      <c r="O64" s="23">
        <v>61</v>
      </c>
      <c r="P64" s="23" t="str">
        <f>VLOOKUP(O64,$A$4:$B$247,2,FALSE)</f>
        <v>W72</v>
      </c>
      <c r="Q64" s="23" t="str">
        <f>VLOOKUP(O64,$A$4:$F$247,5,FALSE)</f>
        <v>Palo Alto</v>
      </c>
      <c r="R64" s="23" t="str">
        <f>VLOOKUP(O64,$A$4:$F$247,6,FALSE)</f>
        <v>CA</v>
      </c>
      <c r="S64" s="68">
        <f>O64*' 5-Forecast Cash Flow + Profits'!$AG$7</f>
        <v>1830000</v>
      </c>
      <c r="T64" s="68">
        <f>VLOOKUP(O64,$A$4:$C$247,3,FALSE)</f>
        <v>41859.311302656359</v>
      </c>
      <c r="U64" s="68">
        <f>VLOOKUP(O64,$A$4:$D$247,4,FALSE)</f>
        <v>2646.9113026563609</v>
      </c>
      <c r="V64" s="89" t="str">
        <f>IF(S64&lt;$L$6,IF(U64&gt;' 5-Forecast Cash Flow + Profits'!$AG$29,"YES","NO"),"NO")</f>
        <v>NO</v>
      </c>
      <c r="W64" s="89" t="str">
        <f>IF(U64&gt;' 5-Forecast Cash Flow + Profits'!$AG$29, "YES", "NO")</f>
        <v>NO</v>
      </c>
      <c r="X64" s="68">
        <f>T64+X63</f>
        <v>1449933.340538705</v>
      </c>
      <c r="Y64" s="68">
        <f>VLOOKUP($O64,$A$4:$J$247,7,FALSE)</f>
        <v>-15353.088697343643</v>
      </c>
      <c r="Z64" s="68">
        <f>VLOOKUP($O64,$A$4:$J$247,8,FALSE)</f>
        <v>8646.9113026563609</v>
      </c>
      <c r="AA64" s="68">
        <f>VLOOKUP($O64,$A$4:$J$247,9,FALSE)</f>
        <v>8646.9113026563609</v>
      </c>
      <c r="AB64" s="68">
        <f>VLOOKUP($O64,$A$4:$J$247,10,FALSE)</f>
        <v>2646.9113026563609</v>
      </c>
    </row>
    <row r="65" spans="1:28">
      <c r="A65" s="23">
        <f>_xlfn.RANK.EQ(' 5-Forecast Cash Flow + Profits'!AP65,' 5-Forecast Cash Flow + Profits'!$AP$4:$AP$247,0)</f>
        <v>70</v>
      </c>
      <c r="B65" s="23" t="str">
        <f>' 5-Forecast Cash Flow + Profits'!A65</f>
        <v>W154</v>
      </c>
      <c r="C65" s="68">
        <f>' 5-Forecast Cash Flow + Profits'!AD65+' 5-Forecast Cash Flow + Profits'!AI65</f>
        <v>10849.635452956099</v>
      </c>
      <c r="D65" s="68">
        <f>' 5-Forecast Cash Flow + Profits'!AP65</f>
        <v>827.23545295610165</v>
      </c>
      <c r="E65" t="s">
        <v>425</v>
      </c>
      <c r="F65" t="s">
        <v>426</v>
      </c>
      <c r="G65" s="63">
        <f>' 5-Forecast Cash Flow + Profits'!AM65</f>
        <v>-17172.764547043898</v>
      </c>
      <c r="H65" s="63">
        <f>' 5-Forecast Cash Flow + Profits'!AN65</f>
        <v>6827.2354529561035</v>
      </c>
      <c r="I65" s="63">
        <f>' 5-Forecast Cash Flow + Profits'!AO65</f>
        <v>6827.2354529561035</v>
      </c>
      <c r="J65" s="63">
        <f>' 5-Forecast Cash Flow + Profits'!AP65</f>
        <v>827.23545295610165</v>
      </c>
      <c r="O65" s="23">
        <v>62</v>
      </c>
      <c r="P65" s="23" t="str">
        <f>VLOOKUP(O65,$A$4:$B$247,2,FALSE)</f>
        <v>W202</v>
      </c>
      <c r="Q65" s="23" t="str">
        <f>VLOOKUP(O65,$A$4:$F$247,5,FALSE)</f>
        <v>San Diego</v>
      </c>
      <c r="R65" s="23" t="str">
        <f>VLOOKUP(O65,$A$4:$F$247,6,FALSE)</f>
        <v>CA</v>
      </c>
      <c r="S65" s="68">
        <f>O65*' 5-Forecast Cash Flow + Profits'!$AG$7</f>
        <v>1860000</v>
      </c>
      <c r="T65" s="68">
        <f>VLOOKUP(O65,$A$4:$C$247,3,FALSE)</f>
        <v>3239.2349042803107</v>
      </c>
      <c r="U65" s="68">
        <f>VLOOKUP(O65,$A$4:$D$247,4,FALSE)</f>
        <v>2557.6349042803122</v>
      </c>
      <c r="V65" s="89" t="str">
        <f>IF(S65&lt;$L$6,IF(U65&gt;' 5-Forecast Cash Flow + Profits'!$AG$29,"YES","NO"),"NO")</f>
        <v>NO</v>
      </c>
      <c r="W65" s="89" t="str">
        <f>IF(U65&gt;' 5-Forecast Cash Flow + Profits'!$AG$29, "YES", "NO")</f>
        <v>NO</v>
      </c>
      <c r="X65" s="68">
        <f>T65+X64</f>
        <v>1453172.5754429854</v>
      </c>
      <c r="Y65" s="68">
        <f>VLOOKUP($O65,$A$4:$J$247,7,FALSE)</f>
        <v>-15442.365095719688</v>
      </c>
      <c r="Z65" s="68">
        <f>VLOOKUP($O65,$A$4:$J$247,8,FALSE)</f>
        <v>8557.6349042803122</v>
      </c>
      <c r="AA65" s="68">
        <f>VLOOKUP($O65,$A$4:$J$247,9,FALSE)</f>
        <v>8557.6349042803122</v>
      </c>
      <c r="AB65" s="68">
        <f>VLOOKUP($O65,$A$4:$J$247,10,FALSE)</f>
        <v>2557.6349042803122</v>
      </c>
    </row>
    <row r="66" spans="1:28">
      <c r="A66" s="23">
        <f>_xlfn.RANK.EQ(' 5-Forecast Cash Flow + Profits'!AP66,' 5-Forecast Cash Flow + Profits'!$AP$4:$AP$247,0)</f>
        <v>2</v>
      </c>
      <c r="B66" s="23" t="str">
        <f>' 5-Forecast Cash Flow + Profits'!A66</f>
        <v>W155</v>
      </c>
      <c r="C66" s="68">
        <f>' 5-Forecast Cash Flow + Profits'!AD66+' 5-Forecast Cash Flow + Profits'!AI66</f>
        <v>110530.19753179219</v>
      </c>
      <c r="D66" s="68">
        <f>' 5-Forecast Cash Flow + Profits'!AP66</f>
        <v>104010.59753179218</v>
      </c>
      <c r="E66" t="s">
        <v>425</v>
      </c>
      <c r="F66" t="s">
        <v>426</v>
      </c>
      <c r="G66" s="63">
        <f>' 5-Forecast Cash Flow + Profits'!AM66</f>
        <v>86010.597531792184</v>
      </c>
      <c r="H66" s="63">
        <f>' 5-Forecast Cash Flow + Profits'!AN66</f>
        <v>110010.59753179218</v>
      </c>
      <c r="I66" s="63">
        <f>' 5-Forecast Cash Flow + Profits'!AO66</f>
        <v>110010.59753179218</v>
      </c>
      <c r="J66" s="63">
        <f>' 5-Forecast Cash Flow + Profits'!AP66</f>
        <v>104010.59753179218</v>
      </c>
      <c r="O66" s="23">
        <v>63</v>
      </c>
      <c r="P66" s="23" t="str">
        <f>VLOOKUP(O66,$A$4:$B$247,2,FALSE)</f>
        <v>W151</v>
      </c>
      <c r="Q66" s="23" t="str">
        <f>VLOOKUP(O66,$A$4:$F$247,5,FALSE)</f>
        <v>Miami</v>
      </c>
      <c r="R66" s="23" t="str">
        <f>VLOOKUP(O66,$A$4:$F$247,6,FALSE)</f>
        <v>FL</v>
      </c>
      <c r="S66" s="68">
        <f>O66*' 5-Forecast Cash Flow + Profits'!$AG$7</f>
        <v>1890000</v>
      </c>
      <c r="T66" s="68">
        <f>VLOOKUP(O66,$A$4:$C$247,3,FALSE)</f>
        <v>776.88066617571167</v>
      </c>
      <c r="U66" s="68">
        <f>VLOOKUP(O66,$A$4:$D$247,4,FALSE)</f>
        <v>2430.4806661757066</v>
      </c>
      <c r="V66" s="89" t="str">
        <f>IF(S66&lt;$L$6,IF(U66&gt;' 5-Forecast Cash Flow + Profits'!$AG$29,"YES","NO"),"NO")</f>
        <v>NO</v>
      </c>
      <c r="W66" s="89" t="str">
        <f>IF(U66&gt;' 5-Forecast Cash Flow + Profits'!$AG$29, "YES", "NO")</f>
        <v>NO</v>
      </c>
      <c r="X66" s="68">
        <f>T66+X65</f>
        <v>1453949.456109161</v>
      </c>
      <c r="Y66" s="68">
        <f>VLOOKUP($O66,$A$4:$J$247,7,FALSE)</f>
        <v>-15569.51933382429</v>
      </c>
      <c r="Z66" s="68">
        <f>VLOOKUP($O66,$A$4:$J$247,8,FALSE)</f>
        <v>8430.4806661757066</v>
      </c>
      <c r="AA66" s="68">
        <f>VLOOKUP($O66,$A$4:$J$247,9,FALSE)</f>
        <v>8430.4806661757066</v>
      </c>
      <c r="AB66" s="68">
        <f>VLOOKUP($O66,$A$4:$J$247,10,FALSE)</f>
        <v>2430.4806661757066</v>
      </c>
    </row>
    <row r="67" spans="1:28">
      <c r="A67" s="23">
        <f>_xlfn.RANK.EQ(' 5-Forecast Cash Flow + Profits'!AP67,' 5-Forecast Cash Flow + Profits'!$AP$4:$AP$247,0)</f>
        <v>1</v>
      </c>
      <c r="B67" s="23" t="str">
        <f>' 5-Forecast Cash Flow + Profits'!A67</f>
        <v>W156</v>
      </c>
      <c r="C67" s="68">
        <f>' 5-Forecast Cash Flow + Profits'!AD67+' 5-Forecast Cash Flow + Profits'!AI67</f>
        <v>143953.43763605107</v>
      </c>
      <c r="D67" s="68">
        <f>' 5-Forecast Cash Flow + Profits'!AP67</f>
        <v>124590.23763605107</v>
      </c>
      <c r="E67" t="s">
        <v>425</v>
      </c>
      <c r="F67" t="s">
        <v>426</v>
      </c>
      <c r="G67" s="63">
        <f>' 5-Forecast Cash Flow + Profits'!AM67</f>
        <v>106590.23763605108</v>
      </c>
      <c r="H67" s="63">
        <f>' 5-Forecast Cash Flow + Profits'!AN67</f>
        <v>130590.23763605107</v>
      </c>
      <c r="I67" s="63">
        <f>' 5-Forecast Cash Flow + Profits'!AO67</f>
        <v>130590.23763605107</v>
      </c>
      <c r="J67" s="63">
        <f>' 5-Forecast Cash Flow + Profits'!AP67</f>
        <v>124590.23763605107</v>
      </c>
      <c r="O67" s="23">
        <v>64</v>
      </c>
      <c r="P67" s="23" t="str">
        <f>VLOOKUP(O67,$A$4:$B$247,2,FALSE)</f>
        <v>W184</v>
      </c>
      <c r="Q67" s="23" t="str">
        <f>VLOOKUP(O67,$A$4:$F$247,5,FALSE)</f>
        <v>Omaha</v>
      </c>
      <c r="R67" s="23" t="str">
        <f>VLOOKUP(O67,$A$4:$F$247,6,FALSE)</f>
        <v>NE</v>
      </c>
      <c r="S67" s="68">
        <f>O67*' 5-Forecast Cash Flow + Profits'!$AG$7</f>
        <v>1920000</v>
      </c>
      <c r="T67" s="68">
        <f>VLOOKUP(O67,$A$4:$C$247,3,FALSE)</f>
        <v>-1802.716385070722</v>
      </c>
      <c r="U67" s="68">
        <f>VLOOKUP(O67,$A$4:$D$247,4,FALSE)</f>
        <v>2186.0836149292809</v>
      </c>
      <c r="V67" s="89" t="str">
        <f>IF(S67&lt;$L$6,IF(U67&gt;' 5-Forecast Cash Flow + Profits'!$AG$29,"YES","NO"),"NO")</f>
        <v>NO</v>
      </c>
      <c r="W67" s="89" t="str">
        <f>IF(U67&gt;' 5-Forecast Cash Flow + Profits'!$AG$29, "YES", "NO")</f>
        <v>NO</v>
      </c>
      <c r="X67" s="68">
        <f>T67+X66</f>
        <v>1452146.7397240903</v>
      </c>
      <c r="Y67" s="68">
        <f>VLOOKUP($O67,$A$4:$J$247,7,FALSE)</f>
        <v>-15813.916385070719</v>
      </c>
      <c r="Z67" s="68">
        <f>VLOOKUP($O67,$A$4:$J$247,8,FALSE)</f>
        <v>8186.0836149292827</v>
      </c>
      <c r="AA67" s="68">
        <f>VLOOKUP($O67,$A$4:$J$247,9,FALSE)</f>
        <v>8186.0836149292827</v>
      </c>
      <c r="AB67" s="68">
        <f>VLOOKUP($O67,$A$4:$J$247,10,FALSE)</f>
        <v>2186.0836149292809</v>
      </c>
    </row>
    <row r="68" spans="1:28">
      <c r="A68" s="23">
        <f>_xlfn.RANK.EQ(' 5-Forecast Cash Flow + Profits'!AP68,' 5-Forecast Cash Flow + Profits'!$AP$4:$AP$247,0)</f>
        <v>23</v>
      </c>
      <c r="B68" s="23" t="str">
        <f>' 5-Forecast Cash Flow + Profits'!A68</f>
        <v>W157</v>
      </c>
      <c r="C68" s="68">
        <f>' 5-Forecast Cash Flow + Profits'!AD68+' 5-Forecast Cash Flow + Profits'!AI68</f>
        <v>14379.311055386148</v>
      </c>
      <c r="D68" s="68">
        <f>' 5-Forecast Cash Flow + Profits'!AP68</f>
        <v>17200.511055386141</v>
      </c>
      <c r="E68" t="s">
        <v>425</v>
      </c>
      <c r="F68" t="s">
        <v>426</v>
      </c>
      <c r="G68" s="63">
        <f>' 5-Forecast Cash Flow + Profits'!AM68</f>
        <v>-799.48894461385498</v>
      </c>
      <c r="H68" s="63">
        <f>' 5-Forecast Cash Flow + Profits'!AN68</f>
        <v>23200.511055386141</v>
      </c>
      <c r="I68" s="63">
        <f>' 5-Forecast Cash Flow + Profits'!AO68</f>
        <v>23200.511055386141</v>
      </c>
      <c r="J68" s="63">
        <f>' 5-Forecast Cash Flow + Profits'!AP68</f>
        <v>17200.511055386141</v>
      </c>
      <c r="O68" s="23">
        <v>65</v>
      </c>
      <c r="P68" s="23" t="str">
        <f>VLOOKUP(O68,$A$4:$B$247,2,FALSE)</f>
        <v>W23</v>
      </c>
      <c r="Q68" s="23" t="str">
        <f>VLOOKUP(O68,$A$4:$F$247,5,FALSE)</f>
        <v>Chicago</v>
      </c>
      <c r="R68" s="23" t="str">
        <f>VLOOKUP(O68,$A$4:$F$247,6,FALSE)</f>
        <v>IL</v>
      </c>
      <c r="S68" s="68">
        <f>O68*' 5-Forecast Cash Flow + Profits'!$AG$7</f>
        <v>1950000</v>
      </c>
      <c r="T68" s="68">
        <f>VLOOKUP(O68,$A$4:$C$247,3,FALSE)</f>
        <v>21102.76968007964</v>
      </c>
      <c r="U68" s="68">
        <f>VLOOKUP(O68,$A$4:$D$247,4,FALSE)</f>
        <v>1739.5696800796431</v>
      </c>
      <c r="V68" s="89" t="str">
        <f>IF(S68&lt;$L$6,IF(U68&gt;' 5-Forecast Cash Flow + Profits'!$AG$29,"YES","NO"),"NO")</f>
        <v>NO</v>
      </c>
      <c r="W68" s="89" t="str">
        <f>IF(U68&gt;' 5-Forecast Cash Flow + Profits'!$AG$29, "YES", "NO")</f>
        <v>NO</v>
      </c>
      <c r="X68" s="68">
        <f>T68+X67</f>
        <v>1473249.5094041699</v>
      </c>
      <c r="Y68" s="68">
        <f>VLOOKUP($O68,$A$4:$J$247,7,FALSE)</f>
        <v>-16260.430319920357</v>
      </c>
      <c r="Z68" s="68">
        <f>VLOOKUP($O68,$A$4:$J$247,8,FALSE)</f>
        <v>7739.5696800796431</v>
      </c>
      <c r="AA68" s="68">
        <f>VLOOKUP($O68,$A$4:$J$247,9,FALSE)</f>
        <v>7739.5696800796431</v>
      </c>
      <c r="AB68" s="68">
        <f>VLOOKUP($O68,$A$4:$J$247,10,FALSE)</f>
        <v>1739.5696800796431</v>
      </c>
    </row>
    <row r="69" spans="1:28">
      <c r="A69" s="23">
        <f>_xlfn.RANK.EQ(' 5-Forecast Cash Flow + Profits'!AP69,' 5-Forecast Cash Flow + Profits'!$AP$4:$AP$247,0)</f>
        <v>103</v>
      </c>
      <c r="B69" s="23" t="str">
        <f>' 5-Forecast Cash Flow + Profits'!A69</f>
        <v>W158</v>
      </c>
      <c r="C69" s="68">
        <f>' 5-Forecast Cash Flow + Profits'!AD69+' 5-Forecast Cash Flow + Profits'!AI69</f>
        <v>-2968.7161076648408</v>
      </c>
      <c r="D69" s="68">
        <f>' 5-Forecast Cash Flow + Profits'!AP69</f>
        <v>-4817.9161076648452</v>
      </c>
      <c r="E69" t="s">
        <v>425</v>
      </c>
      <c r="F69" t="s">
        <v>426</v>
      </c>
      <c r="G69" s="63">
        <f>' 5-Forecast Cash Flow + Profits'!AM69</f>
        <v>-22817.916107664842</v>
      </c>
      <c r="H69" s="63">
        <f>' 5-Forecast Cash Flow + Profits'!AN69</f>
        <v>1182.0838923351548</v>
      </c>
      <c r="I69" s="63">
        <f>' 5-Forecast Cash Flow + Profits'!AO69</f>
        <v>1182.0838923351548</v>
      </c>
      <c r="J69" s="63">
        <f>' 5-Forecast Cash Flow + Profits'!AP69</f>
        <v>-4817.9161076648452</v>
      </c>
      <c r="O69" s="23">
        <v>66</v>
      </c>
      <c r="P69" s="23" t="str">
        <f>VLOOKUP(O69,$A$4:$B$247,2,FALSE)</f>
        <v>W183</v>
      </c>
      <c r="Q69" s="23" t="str">
        <f>VLOOKUP(O69,$A$4:$F$247,5,FALSE)</f>
        <v>Omaha</v>
      </c>
      <c r="R69" s="23" t="str">
        <f>VLOOKUP(O69,$A$4:$F$247,6,FALSE)</f>
        <v>NE</v>
      </c>
      <c r="S69" s="68">
        <f>O69*' 5-Forecast Cash Flow + Profits'!$AG$7</f>
        <v>1980000</v>
      </c>
      <c r="T69" s="68">
        <f>VLOOKUP(O69,$A$4:$C$247,3,FALSE)</f>
        <v>-5762.5963842768615</v>
      </c>
      <c r="U69" s="68">
        <f>VLOOKUP(O69,$A$4:$D$247,4,FALSE)</f>
        <v>1729.0036157231334</v>
      </c>
      <c r="V69" s="89" t="str">
        <f>IF(S69&lt;$L$6,IF(U69&gt;' 5-Forecast Cash Flow + Profits'!$AG$29,"YES","NO"),"NO")</f>
        <v>NO</v>
      </c>
      <c r="W69" s="89" t="str">
        <f>IF(U69&gt;' 5-Forecast Cash Flow + Profits'!$AG$29, "YES", "NO")</f>
        <v>NO</v>
      </c>
      <c r="X69" s="68">
        <f>T69+X68</f>
        <v>1467486.913019893</v>
      </c>
      <c r="Y69" s="68">
        <f>VLOOKUP($O69,$A$4:$J$247,7,FALSE)</f>
        <v>-16270.996384276863</v>
      </c>
      <c r="Z69" s="68">
        <f>VLOOKUP($O69,$A$4:$J$247,8,FALSE)</f>
        <v>7729.0036157231334</v>
      </c>
      <c r="AA69" s="68">
        <f>VLOOKUP($O69,$A$4:$J$247,9,FALSE)</f>
        <v>7729.0036157231334</v>
      </c>
      <c r="AB69" s="68">
        <f>VLOOKUP($O69,$A$4:$J$247,10,FALSE)</f>
        <v>1729.0036157231334</v>
      </c>
    </row>
    <row r="70" spans="1:28">
      <c r="A70" s="23">
        <f>_xlfn.RANK.EQ(' 5-Forecast Cash Flow + Profits'!AP70,' 5-Forecast Cash Flow + Profits'!$AP$4:$AP$247,0)</f>
        <v>26</v>
      </c>
      <c r="B70" s="23" t="str">
        <f>' 5-Forecast Cash Flow + Profits'!A70</f>
        <v>W159</v>
      </c>
      <c r="C70" s="68">
        <f>' 5-Forecast Cash Flow + Profits'!AD70+' 5-Forecast Cash Flow + Profits'!AI70</f>
        <v>13590.764366156553</v>
      </c>
      <c r="D70" s="68">
        <f>' 5-Forecast Cash Flow + Profits'!AP70</f>
        <v>15244.364366156547</v>
      </c>
      <c r="E70" t="s">
        <v>425</v>
      </c>
      <c r="F70" t="s">
        <v>426</v>
      </c>
      <c r="G70" s="63">
        <f>' 5-Forecast Cash Flow + Profits'!AM70</f>
        <v>-2755.6356338434489</v>
      </c>
      <c r="H70" s="63">
        <f>' 5-Forecast Cash Flow + Profits'!AN70</f>
        <v>21244.364366156547</v>
      </c>
      <c r="I70" s="63">
        <f>' 5-Forecast Cash Flow + Profits'!AO70</f>
        <v>21244.364366156547</v>
      </c>
      <c r="J70" s="63">
        <f>' 5-Forecast Cash Flow + Profits'!AP70</f>
        <v>15244.364366156547</v>
      </c>
      <c r="O70" s="23">
        <v>67</v>
      </c>
      <c r="P70" s="23" t="str">
        <f>VLOOKUP(O70,$A$4:$B$247,2,FALSE)</f>
        <v>W34</v>
      </c>
      <c r="Q70" s="23" t="str">
        <f>VLOOKUP(O70,$A$4:$F$247,5,FALSE)</f>
        <v>Chicago</v>
      </c>
      <c r="R70" s="23" t="str">
        <f>VLOOKUP(O70,$A$4:$F$247,6,FALSE)</f>
        <v>IL</v>
      </c>
      <c r="S70" s="68">
        <f>O70*' 5-Forecast Cash Flow + Profits'!$AG$7</f>
        <v>2010000</v>
      </c>
      <c r="T70" s="68">
        <f>VLOOKUP(O70,$A$4:$C$247,3,FALSE)</f>
        <v>7039.9507841207378</v>
      </c>
      <c r="U70" s="68">
        <f>VLOOKUP(O70,$A$4:$D$247,4,FALSE)</f>
        <v>1687.9507841207414</v>
      </c>
      <c r="V70" s="89" t="str">
        <f>IF(S70&lt;$L$6,IF(U70&gt;' 5-Forecast Cash Flow + Profits'!$AG$29,"YES","NO"),"NO")</f>
        <v>NO</v>
      </c>
      <c r="W70" s="89" t="str">
        <f>IF(U70&gt;' 5-Forecast Cash Flow + Profits'!$AG$29, "YES", "NO")</f>
        <v>NO</v>
      </c>
      <c r="X70" s="68">
        <f>T70+X69</f>
        <v>1474526.8638040137</v>
      </c>
      <c r="Y70" s="68">
        <f>VLOOKUP($O70,$A$4:$J$247,7,FALSE)</f>
        <v>-16312.049215879262</v>
      </c>
      <c r="Z70" s="68">
        <f>VLOOKUP($O70,$A$4:$J$247,8,FALSE)</f>
        <v>7687.9507841207414</v>
      </c>
      <c r="AA70" s="68">
        <f>VLOOKUP($O70,$A$4:$J$247,9,FALSE)</f>
        <v>7687.9507841207414</v>
      </c>
      <c r="AB70" s="68">
        <f>VLOOKUP($O70,$A$4:$J$247,10,FALSE)</f>
        <v>1687.9507841207414</v>
      </c>
    </row>
    <row r="71" spans="1:28">
      <c r="A71" s="23">
        <f>_xlfn.RANK.EQ(' 5-Forecast Cash Flow + Profits'!AP71,' 5-Forecast Cash Flow + Profits'!$AP$4:$AP$247,0)</f>
        <v>205</v>
      </c>
      <c r="B71" s="23" t="str">
        <f>' 5-Forecast Cash Flow + Profits'!A71</f>
        <v>W16</v>
      </c>
      <c r="C71" s="68">
        <f>' 5-Forecast Cash Flow + Profits'!AD71+' 5-Forecast Cash Flow + Profits'!AI71</f>
        <v>-26295.341803800526</v>
      </c>
      <c r="D71" s="68">
        <f>' 5-Forecast Cash Flow + Profits'!AP71</f>
        <v>-17052.341803800526</v>
      </c>
      <c r="E71" t="s">
        <v>415</v>
      </c>
      <c r="F71" t="s">
        <v>416</v>
      </c>
      <c r="G71" s="63">
        <f>' 5-Forecast Cash Flow + Profits'!AM71</f>
        <v>-35052.341803800526</v>
      </c>
      <c r="H71" s="63">
        <f>' 5-Forecast Cash Flow + Profits'!AN71</f>
        <v>-11052.341803800527</v>
      </c>
      <c r="I71" s="63">
        <f>' 5-Forecast Cash Flow + Profits'!AO71</f>
        <v>-11052.341803800527</v>
      </c>
      <c r="J71" s="63">
        <f>' 5-Forecast Cash Flow + Profits'!AP71</f>
        <v>-17052.341803800526</v>
      </c>
      <c r="O71" s="23">
        <v>68</v>
      </c>
      <c r="P71" s="23" t="str">
        <f>VLOOKUP(O71,$A$4:$B$247,2,FALSE)</f>
        <v>W178</v>
      </c>
      <c r="Q71" s="23" t="str">
        <f>VLOOKUP(O71,$A$4:$F$247,5,FALSE)</f>
        <v>Omaha</v>
      </c>
      <c r="R71" s="23" t="str">
        <f>VLOOKUP(O71,$A$4:$F$247,6,FALSE)</f>
        <v>NE</v>
      </c>
      <c r="S71" s="68">
        <f>O71*' 5-Forecast Cash Flow + Profits'!$AG$7</f>
        <v>2040000</v>
      </c>
      <c r="T71" s="68">
        <f>VLOOKUP(O71,$A$4:$C$247,3,FALSE)</f>
        <v>-4907.3446692141661</v>
      </c>
      <c r="U71" s="68">
        <f>VLOOKUP(O71,$A$4:$D$247,4,FALSE)</f>
        <v>1416.6553307858339</v>
      </c>
      <c r="V71" s="89" t="str">
        <f>IF(S71&lt;$L$6,IF(U71&gt;' 5-Forecast Cash Flow + Profits'!$AG$29,"YES","NO"),"NO")</f>
        <v>NO</v>
      </c>
      <c r="W71" s="89" t="str">
        <f>IF(U71&gt;' 5-Forecast Cash Flow + Profits'!$AG$29, "YES", "NO")</f>
        <v>NO</v>
      </c>
      <c r="X71" s="68">
        <f>T71+X70</f>
        <v>1469619.5191347995</v>
      </c>
      <c r="Y71" s="68">
        <f>VLOOKUP($O71,$A$4:$J$247,7,FALSE)</f>
        <v>-16583.344669214166</v>
      </c>
      <c r="Z71" s="68">
        <f>VLOOKUP($O71,$A$4:$J$247,8,FALSE)</f>
        <v>7416.6553307858339</v>
      </c>
      <c r="AA71" s="68">
        <f>VLOOKUP($O71,$A$4:$J$247,9,FALSE)</f>
        <v>7416.6553307858339</v>
      </c>
      <c r="AB71" s="68">
        <f>VLOOKUP($O71,$A$4:$J$247,10,FALSE)</f>
        <v>1416.6553307858339</v>
      </c>
    </row>
    <row r="72" spans="1:28">
      <c r="A72" s="23">
        <f>_xlfn.RANK.EQ(' 5-Forecast Cash Flow + Profits'!AP72,' 5-Forecast Cash Flow + Profits'!$AP$4:$AP$247,0)</f>
        <v>13</v>
      </c>
      <c r="B72" s="23" t="str">
        <f>' 5-Forecast Cash Flow + Profits'!A72</f>
        <v>W160</v>
      </c>
      <c r="C72" s="68">
        <f>' 5-Forecast Cash Flow + Profits'!AD72+' 5-Forecast Cash Flow + Profits'!AI72</f>
        <v>31135.928201514937</v>
      </c>
      <c r="D72" s="68">
        <f>' 5-Forecast Cash Flow + Profits'!AP72</f>
        <v>26951.528201514939</v>
      </c>
      <c r="E72" t="s">
        <v>425</v>
      </c>
      <c r="F72" t="s">
        <v>426</v>
      </c>
      <c r="G72" s="63">
        <f>' 5-Forecast Cash Flow + Profits'!AM72</f>
        <v>8951.5282015149423</v>
      </c>
      <c r="H72" s="63">
        <f>' 5-Forecast Cash Flow + Profits'!AN72</f>
        <v>32951.528201514942</v>
      </c>
      <c r="I72" s="63">
        <f>' 5-Forecast Cash Flow + Profits'!AO72</f>
        <v>32951.528201514942</v>
      </c>
      <c r="J72" s="63">
        <f>' 5-Forecast Cash Flow + Profits'!AP72</f>
        <v>26951.528201514939</v>
      </c>
      <c r="O72" s="23">
        <v>69</v>
      </c>
      <c r="P72" s="23" t="str">
        <f>VLOOKUP(O72,$A$4:$B$247,2,FALSE)</f>
        <v>W171</v>
      </c>
      <c r="Q72" s="23" t="str">
        <f>VLOOKUP(O72,$A$4:$F$247,5,FALSE)</f>
        <v>Omaha</v>
      </c>
      <c r="R72" s="23" t="str">
        <f>VLOOKUP(O72,$A$4:$F$247,6,FALSE)</f>
        <v>NE</v>
      </c>
      <c r="S72" s="68">
        <f>O72*' 5-Forecast Cash Flow + Profits'!$AG$7</f>
        <v>2070000</v>
      </c>
      <c r="T72" s="68">
        <f>VLOOKUP(O72,$A$4:$C$247,3,FALSE)</f>
        <v>-1558.1370223568592</v>
      </c>
      <c r="U72" s="68">
        <f>VLOOKUP(O72,$A$4:$D$247,4,FALSE)</f>
        <v>1263.0629776431415</v>
      </c>
      <c r="V72" s="89" t="str">
        <f>IF(S72&lt;$L$6,IF(U72&gt;' 5-Forecast Cash Flow + Profits'!$AG$29,"YES","NO"),"NO")</f>
        <v>NO</v>
      </c>
      <c r="W72" s="89" t="str">
        <f>IF(U72&gt;' 5-Forecast Cash Flow + Profits'!$AG$29, "YES", "NO")</f>
        <v>NO</v>
      </c>
      <c r="X72" s="68">
        <f>T72+X71</f>
        <v>1468061.3821124425</v>
      </c>
      <c r="Y72" s="68">
        <f>VLOOKUP($O72,$A$4:$J$247,7,FALSE)</f>
        <v>-16736.937022356859</v>
      </c>
      <c r="Z72" s="68">
        <f>VLOOKUP($O72,$A$4:$J$247,8,FALSE)</f>
        <v>7263.0629776431433</v>
      </c>
      <c r="AA72" s="68">
        <f>VLOOKUP($O72,$A$4:$J$247,9,FALSE)</f>
        <v>7263.0629776431433</v>
      </c>
      <c r="AB72" s="68">
        <f>VLOOKUP($O72,$A$4:$J$247,10,FALSE)</f>
        <v>1263.0629776431415</v>
      </c>
    </row>
    <row r="73" spans="1:28">
      <c r="A73" s="23">
        <f>_xlfn.RANK.EQ(' 5-Forecast Cash Flow + Profits'!AP73,' 5-Forecast Cash Flow + Profits'!$AP$4:$AP$247,0)</f>
        <v>166</v>
      </c>
      <c r="B73" s="23" t="str">
        <f>' 5-Forecast Cash Flow + Profits'!A73</f>
        <v>W161</v>
      </c>
      <c r="C73" s="68">
        <f>' 5-Forecast Cash Flow + Profits'!AD73+' 5-Forecast Cash Flow + Profits'!AI73</f>
        <v>-11612.250441939585</v>
      </c>
      <c r="D73" s="68">
        <f>' 5-Forecast Cash Flow + Profits'!AP73</f>
        <v>-12293.850441939583</v>
      </c>
      <c r="E73" t="s">
        <v>425</v>
      </c>
      <c r="F73" t="s">
        <v>426</v>
      </c>
      <c r="G73" s="63">
        <f>' 5-Forecast Cash Flow + Profits'!AM73</f>
        <v>-30293.850441939583</v>
      </c>
      <c r="H73" s="63">
        <f>' 5-Forecast Cash Flow + Profits'!AN73</f>
        <v>-6293.8504419395831</v>
      </c>
      <c r="I73" s="63">
        <f>' 5-Forecast Cash Flow + Profits'!AO73</f>
        <v>-6293.8504419395831</v>
      </c>
      <c r="J73" s="63">
        <f>' 5-Forecast Cash Flow + Profits'!AP73</f>
        <v>-12293.850441939583</v>
      </c>
      <c r="O73" s="23">
        <v>70</v>
      </c>
      <c r="P73" s="23" t="str">
        <f>VLOOKUP(O73,$A$4:$B$247,2,FALSE)</f>
        <v>W154</v>
      </c>
      <c r="Q73" s="23" t="str">
        <f>VLOOKUP(O73,$A$4:$F$247,5,FALSE)</f>
        <v>Miami</v>
      </c>
      <c r="R73" s="23" t="str">
        <f>VLOOKUP(O73,$A$4:$F$247,6,FALSE)</f>
        <v>FL</v>
      </c>
      <c r="S73" s="68">
        <f>O73*' 5-Forecast Cash Flow + Profits'!$AG$7</f>
        <v>2100000</v>
      </c>
      <c r="T73" s="68">
        <f>VLOOKUP(O73,$A$4:$C$247,3,FALSE)</f>
        <v>10849.635452956099</v>
      </c>
      <c r="U73" s="68">
        <f>VLOOKUP(O73,$A$4:$D$247,4,FALSE)</f>
        <v>827.23545295610165</v>
      </c>
      <c r="V73" s="89" t="str">
        <f>IF(S73&lt;$L$6,IF(U73&gt;' 5-Forecast Cash Flow + Profits'!$AG$29,"YES","NO"),"NO")</f>
        <v>NO</v>
      </c>
      <c r="W73" s="89" t="str">
        <f>IF(U73&gt;' 5-Forecast Cash Flow + Profits'!$AG$29, "YES", "NO")</f>
        <v>NO</v>
      </c>
      <c r="X73" s="68">
        <f>T73+X72</f>
        <v>1478911.0175653987</v>
      </c>
      <c r="Y73" s="68">
        <f>VLOOKUP($O73,$A$4:$J$247,7,FALSE)</f>
        <v>-17172.764547043898</v>
      </c>
      <c r="Z73" s="68">
        <f>VLOOKUP($O73,$A$4:$J$247,8,FALSE)</f>
        <v>6827.2354529561035</v>
      </c>
      <c r="AA73" s="68">
        <f>VLOOKUP($O73,$A$4:$J$247,9,FALSE)</f>
        <v>6827.2354529561035</v>
      </c>
      <c r="AB73" s="68">
        <f>VLOOKUP($O73,$A$4:$J$247,10,FALSE)</f>
        <v>827.23545295610165</v>
      </c>
    </row>
    <row r="74" spans="1:28">
      <c r="A74" s="23">
        <f>_xlfn.RANK.EQ(' 5-Forecast Cash Flow + Profits'!AP74,' 5-Forecast Cash Flow + Profits'!$AP$4:$AP$247,0)</f>
        <v>153</v>
      </c>
      <c r="B74" s="23" t="str">
        <f>' 5-Forecast Cash Flow + Profits'!A74</f>
        <v>W162</v>
      </c>
      <c r="C74" s="68">
        <f>' 5-Forecast Cash Flow + Profits'!AD74+' 5-Forecast Cash Flow + Profits'!AI74</f>
        <v>-3094.0691206825431</v>
      </c>
      <c r="D74" s="68">
        <f>' 5-Forecast Cash Flow + Profits'!AP74</f>
        <v>-10781.269120682544</v>
      </c>
      <c r="E74" t="s">
        <v>425</v>
      </c>
      <c r="F74" t="s">
        <v>426</v>
      </c>
      <c r="G74" s="63">
        <f>' 5-Forecast Cash Flow + Profits'!AM74</f>
        <v>-28781.269120682544</v>
      </c>
      <c r="H74" s="63">
        <f>' 5-Forecast Cash Flow + Profits'!AN74</f>
        <v>-4781.2691206825439</v>
      </c>
      <c r="I74" s="63">
        <f>' 5-Forecast Cash Flow + Profits'!AO74</f>
        <v>-4781.2691206825439</v>
      </c>
      <c r="J74" s="63">
        <f>' 5-Forecast Cash Flow + Profits'!AP74</f>
        <v>-10781.269120682544</v>
      </c>
      <c r="O74" s="23">
        <v>71</v>
      </c>
      <c r="P74" s="23" t="str">
        <f>VLOOKUP(O74,$A$4:$B$247,2,FALSE)</f>
        <v>W126</v>
      </c>
      <c r="Q74" s="23" t="str">
        <f>VLOOKUP(O74,$A$4:$F$247,5,FALSE)</f>
        <v>Bentonville</v>
      </c>
      <c r="R74" s="23" t="str">
        <f>VLOOKUP(O74,$A$4:$F$247,6,FALSE)</f>
        <v>AR</v>
      </c>
      <c r="S74" s="68">
        <f>O74*' 5-Forecast Cash Flow + Profits'!$AG$7</f>
        <v>2130000</v>
      </c>
      <c r="T74" s="68">
        <f>VLOOKUP(O74,$A$4:$C$247,3,FALSE)</f>
        <v>-6693.8791563812374</v>
      </c>
      <c r="U74" s="68">
        <f>VLOOKUP(O74,$A$4:$D$247,4,FALSE)</f>
        <v>797.72084361876477</v>
      </c>
      <c r="V74" s="89" t="str">
        <f>IF(S74&lt;$L$6,IF(U74&gt;' 5-Forecast Cash Flow + Profits'!$AG$29,"YES","NO"),"NO")</f>
        <v>NO</v>
      </c>
      <c r="W74" s="89" t="str">
        <f>IF(U74&gt;' 5-Forecast Cash Flow + Profits'!$AG$29, "YES", "NO")</f>
        <v>NO</v>
      </c>
      <c r="X74" s="68">
        <f>T74+X73</f>
        <v>1472217.1384090176</v>
      </c>
      <c r="Y74" s="68">
        <f>VLOOKUP($O74,$A$4:$J$247,7,FALSE)</f>
        <v>-17202.279156381235</v>
      </c>
      <c r="Z74" s="68">
        <f>VLOOKUP($O74,$A$4:$J$247,8,FALSE)</f>
        <v>6797.7208436187666</v>
      </c>
      <c r="AA74" s="68">
        <f>VLOOKUP($O74,$A$4:$J$247,9,FALSE)</f>
        <v>6797.7208436187666</v>
      </c>
      <c r="AB74" s="68">
        <f>VLOOKUP($O74,$A$4:$J$247,10,FALSE)</f>
        <v>797.72084361876477</v>
      </c>
    </row>
    <row r="75" spans="1:28">
      <c r="A75" s="23">
        <f>_xlfn.RANK.EQ(' 5-Forecast Cash Flow + Profits'!AP75,' 5-Forecast Cash Flow + Profits'!$AP$4:$AP$247,0)</f>
        <v>4</v>
      </c>
      <c r="B75" s="23" t="str">
        <f>' 5-Forecast Cash Flow + Profits'!A75</f>
        <v>W163</v>
      </c>
      <c r="C75" s="68">
        <f>' 5-Forecast Cash Flow + Profits'!AD75+' 5-Forecast Cash Flow + Profits'!AI75</f>
        <v>63915.969993134771</v>
      </c>
      <c r="D75" s="68">
        <f>' 5-Forecast Cash Flow + Profits'!AP75</f>
        <v>64401.969993134771</v>
      </c>
      <c r="E75" t="s">
        <v>425</v>
      </c>
      <c r="F75" t="s">
        <v>426</v>
      </c>
      <c r="G75" s="63">
        <f>' 5-Forecast Cash Flow + Profits'!AM75</f>
        <v>46401.969993134771</v>
      </c>
      <c r="H75" s="63">
        <f>' 5-Forecast Cash Flow + Profits'!AN75</f>
        <v>70401.969993134771</v>
      </c>
      <c r="I75" s="63">
        <f>' 5-Forecast Cash Flow + Profits'!AO75</f>
        <v>70401.969993134771</v>
      </c>
      <c r="J75" s="63">
        <f>' 5-Forecast Cash Flow + Profits'!AP75</f>
        <v>64401.969993134771</v>
      </c>
      <c r="O75" s="23">
        <v>72</v>
      </c>
      <c r="P75" s="23" t="str">
        <f>VLOOKUP(O75,$A$4:$B$247,2,FALSE)</f>
        <v>W243</v>
      </c>
      <c r="Q75" s="23" t="str">
        <f>VLOOKUP(O75,$A$4:$F$247,5,FALSE)</f>
        <v>Charleston</v>
      </c>
      <c r="R75" s="23" t="str">
        <f>VLOOKUP(O75,$A$4:$F$247,6,FALSE)</f>
        <v>SC</v>
      </c>
      <c r="S75" s="68">
        <f>O75*' 5-Forecast Cash Flow + Profits'!$AG$7</f>
        <v>2160000</v>
      </c>
      <c r="T75" s="68">
        <f>VLOOKUP(O75,$A$4:$C$247,3,FALSE)</f>
        <v>1368.2906830979045</v>
      </c>
      <c r="U75" s="68">
        <f>VLOOKUP(O75,$A$4:$D$247,4,FALSE)</f>
        <v>686.69068309790237</v>
      </c>
      <c r="V75" s="89" t="str">
        <f>IF(S75&lt;$L$6,IF(U75&gt;' 5-Forecast Cash Flow + Profits'!$AG$29,"YES","NO"),"NO")</f>
        <v>NO</v>
      </c>
      <c r="W75" s="89" t="str">
        <f>IF(U75&gt;' 5-Forecast Cash Flow + Profits'!$AG$29, "YES", "NO")</f>
        <v>NO</v>
      </c>
      <c r="X75" s="68">
        <f>T75+X74</f>
        <v>1473585.4290921155</v>
      </c>
      <c r="Y75" s="68">
        <f>VLOOKUP($O75,$A$4:$J$247,7,FALSE)</f>
        <v>-17313.309316902094</v>
      </c>
      <c r="Z75" s="68">
        <f>VLOOKUP($O75,$A$4:$J$247,8,FALSE)</f>
        <v>6686.6906830979024</v>
      </c>
      <c r="AA75" s="68">
        <f>VLOOKUP($O75,$A$4:$J$247,9,FALSE)</f>
        <v>6686.6906830979024</v>
      </c>
      <c r="AB75" s="68">
        <f>VLOOKUP($O75,$A$4:$J$247,10,FALSE)</f>
        <v>686.69068309790237</v>
      </c>
    </row>
    <row r="76" spans="1:28">
      <c r="A76" s="23">
        <f>_xlfn.RANK.EQ(' 5-Forecast Cash Flow + Profits'!AP76,' 5-Forecast Cash Flow + Profits'!$AP$4:$AP$247,0)</f>
        <v>3</v>
      </c>
      <c r="B76" s="23" t="str">
        <f>' 5-Forecast Cash Flow + Profits'!A76</f>
        <v>W164</v>
      </c>
      <c r="C76" s="68">
        <f>' 5-Forecast Cash Flow + Profits'!AD76+' 5-Forecast Cash Flow + Profits'!AI76</f>
        <v>88393.689393268724</v>
      </c>
      <c r="D76" s="68">
        <f>' 5-Forecast Cash Flow + Profits'!AP76</f>
        <v>78371.289393268729</v>
      </c>
      <c r="E76" t="s">
        <v>425</v>
      </c>
      <c r="F76" t="s">
        <v>426</v>
      </c>
      <c r="G76" s="63">
        <f>' 5-Forecast Cash Flow + Profits'!AM76</f>
        <v>60371.289393268729</v>
      </c>
      <c r="H76" s="63">
        <f>' 5-Forecast Cash Flow + Profits'!AN76</f>
        <v>84371.289393268729</v>
      </c>
      <c r="I76" s="63">
        <f>' 5-Forecast Cash Flow + Profits'!AO76</f>
        <v>84371.289393268729</v>
      </c>
      <c r="J76" s="63">
        <f>' 5-Forecast Cash Flow + Profits'!AP76</f>
        <v>78371.289393268729</v>
      </c>
      <c r="O76" s="23">
        <v>73</v>
      </c>
      <c r="P76" s="23" t="str">
        <f>VLOOKUP(O76,$A$4:$B$247,2,FALSE)</f>
        <v>W220</v>
      </c>
      <c r="Q76" s="23" t="str">
        <f>VLOOKUP(O76,$A$4:$F$247,5,FALSE)</f>
        <v>Richmond</v>
      </c>
      <c r="R76" s="23" t="str">
        <f>VLOOKUP(O76,$A$4:$F$247,6,FALSE)</f>
        <v>VA</v>
      </c>
      <c r="S76" s="68">
        <f>O76*' 5-Forecast Cash Flow + Profits'!$AG$7</f>
        <v>2190000</v>
      </c>
      <c r="T76" s="68">
        <f>VLOOKUP(O76,$A$4:$C$247,3,FALSE)</f>
        <v>886.81154966054601</v>
      </c>
      <c r="U76" s="68">
        <f>VLOOKUP(O76,$A$4:$D$247,4,FALSE)</f>
        <v>205.21154966054746</v>
      </c>
      <c r="V76" s="89" t="str">
        <f>IF(S76&lt;$L$6,IF(U76&gt;' 5-Forecast Cash Flow + Profits'!$AG$29,"YES","NO"),"NO")</f>
        <v>NO</v>
      </c>
      <c r="W76" s="89" t="str">
        <f>IF(U76&gt;' 5-Forecast Cash Flow + Profits'!$AG$29, "YES", "NO")</f>
        <v>NO</v>
      </c>
      <c r="X76" s="68">
        <f>T76+X75</f>
        <v>1474472.240641776</v>
      </c>
      <c r="Y76" s="68">
        <f>VLOOKUP($O76,$A$4:$J$247,7,FALSE)</f>
        <v>-17794.788450339453</v>
      </c>
      <c r="Z76" s="68">
        <f>VLOOKUP($O76,$A$4:$J$247,8,FALSE)</f>
        <v>6205.2115496605475</v>
      </c>
      <c r="AA76" s="68">
        <f>VLOOKUP($O76,$A$4:$J$247,9,FALSE)</f>
        <v>6205.2115496605475</v>
      </c>
      <c r="AB76" s="68">
        <f>VLOOKUP($O76,$A$4:$J$247,10,FALSE)</f>
        <v>205.21154966054746</v>
      </c>
    </row>
    <row r="77" spans="1:28">
      <c r="A77" s="23">
        <f>_xlfn.RANK.EQ(' 5-Forecast Cash Flow + Profits'!AP77,' 5-Forecast Cash Flow + Profits'!$AP$4:$AP$247,0)</f>
        <v>154</v>
      </c>
      <c r="B77" s="23" t="str">
        <f>' 5-Forecast Cash Flow + Profits'!A77</f>
        <v>W165</v>
      </c>
      <c r="C77" s="68">
        <f>' 5-Forecast Cash Flow + Profits'!AD77+' 5-Forecast Cash Flow + Profits'!AI77</f>
        <v>-10253.220462898316</v>
      </c>
      <c r="D77" s="68">
        <f>' 5-Forecast Cash Flow + Profits'!AP77</f>
        <v>-10934.820462898315</v>
      </c>
      <c r="E77" t="s">
        <v>425</v>
      </c>
      <c r="F77" t="s">
        <v>426</v>
      </c>
      <c r="G77" s="63">
        <f>' 5-Forecast Cash Flow + Profits'!AM77</f>
        <v>-28934.820462898315</v>
      </c>
      <c r="H77" s="63">
        <f>' 5-Forecast Cash Flow + Profits'!AN77</f>
        <v>-4934.8204628983149</v>
      </c>
      <c r="I77" s="63">
        <f>' 5-Forecast Cash Flow + Profits'!AO77</f>
        <v>-4934.8204628983149</v>
      </c>
      <c r="J77" s="63">
        <f>' 5-Forecast Cash Flow + Profits'!AP77</f>
        <v>-10934.820462898315</v>
      </c>
      <c r="O77" s="23">
        <v>74</v>
      </c>
      <c r="P77" s="23" t="str">
        <f>VLOOKUP(O77,$A$4:$B$247,2,FALSE)</f>
        <v>W105</v>
      </c>
      <c r="Q77" s="23" t="str">
        <f>VLOOKUP(O77,$A$4:$F$247,5,FALSE)</f>
        <v>Austin</v>
      </c>
      <c r="R77" s="23" t="str">
        <f>VLOOKUP(O77,$A$4:$F$247,6,FALSE)</f>
        <v>TX</v>
      </c>
      <c r="S77" s="68">
        <f>O77*' 5-Forecast Cash Flow + Profits'!$AG$7</f>
        <v>2220000</v>
      </c>
      <c r="T77" s="68">
        <f>VLOOKUP(O77,$A$4:$C$247,3,FALSE)</f>
        <v>-5025.7167569746234</v>
      </c>
      <c r="U77" s="68">
        <f>VLOOKUP(O77,$A$4:$D$247,4,FALSE)</f>
        <v>130.68324302537803</v>
      </c>
      <c r="V77" s="89" t="str">
        <f>IF(S77&lt;$L$6,IF(U77&gt;' 5-Forecast Cash Flow + Profits'!$AG$29,"YES","NO"),"NO")</f>
        <v>NO</v>
      </c>
      <c r="W77" s="89" t="str">
        <f>IF(U77&gt;' 5-Forecast Cash Flow + Profits'!$AG$29, "YES", "NO")</f>
        <v>NO</v>
      </c>
      <c r="X77" s="68">
        <f>T77+X76</f>
        <v>1469446.5238848014</v>
      </c>
      <c r="Y77" s="68">
        <f>VLOOKUP($O77,$A$4:$J$247,7,FALSE)</f>
        <v>-17869.316756974622</v>
      </c>
      <c r="Z77" s="68">
        <f>VLOOKUP($O77,$A$4:$J$247,8,FALSE)</f>
        <v>6130.6832430253762</v>
      </c>
      <c r="AA77" s="68">
        <f>VLOOKUP($O77,$A$4:$J$247,9,FALSE)</f>
        <v>6130.6832430253762</v>
      </c>
      <c r="AB77" s="68">
        <f>VLOOKUP($O77,$A$4:$J$247,10,FALSE)</f>
        <v>130.68324302537803</v>
      </c>
    </row>
    <row r="78" spans="1:28">
      <c r="A78" s="23">
        <f>_xlfn.RANK.EQ(' 5-Forecast Cash Flow + Profits'!AP78,' 5-Forecast Cash Flow + Profits'!$AP$4:$AP$247,0)</f>
        <v>159</v>
      </c>
      <c r="B78" s="23" t="str">
        <f>' 5-Forecast Cash Flow + Profits'!A78</f>
        <v>W166</v>
      </c>
      <c r="C78" s="68">
        <f>' 5-Forecast Cash Flow + Profits'!AD78+' 5-Forecast Cash Flow + Profits'!AI78</f>
        <v>-7444.0416325204133</v>
      </c>
      <c r="D78" s="68">
        <f>' 5-Forecast Cash Flow + Profits'!AP78</f>
        <v>-11628.441632520411</v>
      </c>
      <c r="E78" t="s">
        <v>425</v>
      </c>
      <c r="F78" t="s">
        <v>426</v>
      </c>
      <c r="G78" s="63">
        <f>' 5-Forecast Cash Flow + Profits'!AM78</f>
        <v>-29628.441632520411</v>
      </c>
      <c r="H78" s="63">
        <f>' 5-Forecast Cash Flow + Profits'!AN78</f>
        <v>-5628.4416325204111</v>
      </c>
      <c r="I78" s="63">
        <f>' 5-Forecast Cash Flow + Profits'!AO78</f>
        <v>-5628.4416325204111</v>
      </c>
      <c r="J78" s="63">
        <f>' 5-Forecast Cash Flow + Profits'!AP78</f>
        <v>-11628.441632520411</v>
      </c>
      <c r="O78" s="23">
        <v>75</v>
      </c>
      <c r="P78" s="23" t="str">
        <f>VLOOKUP(O78,$A$4:$B$247,2,FALSE)</f>
        <v>W191</v>
      </c>
      <c r="Q78" s="23" t="str">
        <f>VLOOKUP(O78,$A$4:$F$247,5,FALSE)</f>
        <v>San Diego</v>
      </c>
      <c r="R78" s="23" t="str">
        <f>VLOOKUP(O78,$A$4:$F$247,6,FALSE)</f>
        <v>CA</v>
      </c>
      <c r="S78" s="68">
        <f>O78*' 5-Forecast Cash Flow + Profits'!$AG$7</f>
        <v>2250000</v>
      </c>
      <c r="T78" s="68">
        <f>VLOOKUP(O78,$A$4:$C$247,3,FALSE)</f>
        <v>-2718.0070331266688</v>
      </c>
      <c r="U78" s="68">
        <f>VLOOKUP(O78,$A$4:$D$247,4,FALSE)</f>
        <v>103.1929668733319</v>
      </c>
      <c r="V78" s="89" t="str">
        <f>IF(S78&lt;$L$6,IF(U78&gt;' 5-Forecast Cash Flow + Profits'!$AG$29,"YES","NO"),"NO")</f>
        <v>NO</v>
      </c>
      <c r="W78" s="89" t="str">
        <f>IF(U78&gt;' 5-Forecast Cash Flow + Profits'!$AG$29, "YES", "NO")</f>
        <v>NO</v>
      </c>
      <c r="X78" s="68">
        <f>T78+X77</f>
        <v>1466728.5168516748</v>
      </c>
      <c r="Y78" s="68">
        <f>VLOOKUP($O78,$A$4:$J$247,7,FALSE)</f>
        <v>-17896.807033126668</v>
      </c>
      <c r="Z78" s="68">
        <f>VLOOKUP($O78,$A$4:$J$247,8,FALSE)</f>
        <v>6103.1929668733301</v>
      </c>
      <c r="AA78" s="68">
        <f>VLOOKUP($O78,$A$4:$J$247,9,FALSE)</f>
        <v>6103.1929668733301</v>
      </c>
      <c r="AB78" s="68">
        <f>VLOOKUP($O78,$A$4:$J$247,10,FALSE)</f>
        <v>103.1929668733319</v>
      </c>
    </row>
    <row r="79" spans="1:28">
      <c r="A79" s="23">
        <f>_xlfn.RANK.EQ(' 5-Forecast Cash Flow + Profits'!AP79,' 5-Forecast Cash Flow + Profits'!$AP$4:$AP$247,0)</f>
        <v>58</v>
      </c>
      <c r="B79" s="23" t="str">
        <f>' 5-Forecast Cash Flow + Profits'!A79</f>
        <v>W167</v>
      </c>
      <c r="C79" s="68">
        <f>' 5-Forecast Cash Flow + Profits'!AD79+' 5-Forecast Cash Flow + Profits'!AI79</f>
        <v>1565.4273554052997</v>
      </c>
      <c r="D79" s="68">
        <f>' 5-Forecast Cash Flow + Profits'!AP79</f>
        <v>3219.0273554052947</v>
      </c>
      <c r="E79" t="s">
        <v>425</v>
      </c>
      <c r="F79" t="s">
        <v>426</v>
      </c>
      <c r="G79" s="63">
        <f>' 5-Forecast Cash Flow + Profits'!AM79</f>
        <v>-14780.972644594702</v>
      </c>
      <c r="H79" s="63">
        <f>' 5-Forecast Cash Flow + Profits'!AN79</f>
        <v>9219.0273554052947</v>
      </c>
      <c r="I79" s="63">
        <f>' 5-Forecast Cash Flow + Profits'!AO79</f>
        <v>9219.0273554052947</v>
      </c>
      <c r="J79" s="63">
        <f>' 5-Forecast Cash Flow + Profits'!AP79</f>
        <v>3219.0273554052947</v>
      </c>
      <c r="O79" s="23">
        <v>76</v>
      </c>
      <c r="P79" s="23" t="str">
        <f>VLOOKUP(O79,$A$4:$B$247,2,FALSE)</f>
        <v>W219</v>
      </c>
      <c r="Q79" s="23" t="str">
        <f>VLOOKUP(O79,$A$4:$F$247,5,FALSE)</f>
        <v>Richmond</v>
      </c>
      <c r="R79" s="23" t="str">
        <f>VLOOKUP(O79,$A$4:$F$247,6,FALSE)</f>
        <v>VA</v>
      </c>
      <c r="S79" s="68">
        <f>O79*' 5-Forecast Cash Flow + Profits'!$AG$7</f>
        <v>2280000</v>
      </c>
      <c r="T79" s="68">
        <f>VLOOKUP(O79,$A$4:$C$247,3,FALSE)</f>
        <v>-1689.9232782772669</v>
      </c>
      <c r="U79" s="68">
        <f>VLOOKUP(O79,$A$4:$D$247,4,FALSE)</f>
        <v>-36.3232782772684</v>
      </c>
      <c r="V79" s="89" t="str">
        <f>IF(S79&lt;$L$6,IF(U79&gt;' 5-Forecast Cash Flow + Profits'!$AG$29,"YES","NO"),"NO")</f>
        <v>NO</v>
      </c>
      <c r="W79" s="89" t="str">
        <f>IF(U79&gt;' 5-Forecast Cash Flow + Profits'!$AG$29, "YES", "NO")</f>
        <v>NO</v>
      </c>
      <c r="X79" s="68">
        <f>T79+X78</f>
        <v>1465038.5935733975</v>
      </c>
      <c r="Y79" s="68">
        <f>VLOOKUP($O79,$A$4:$J$247,7,FALSE)</f>
        <v>-18036.323278277268</v>
      </c>
      <c r="Z79" s="68">
        <f>VLOOKUP($O79,$A$4:$J$247,8,FALSE)</f>
        <v>5963.6767217227316</v>
      </c>
      <c r="AA79" s="68">
        <f>VLOOKUP($O79,$A$4:$J$247,9,FALSE)</f>
        <v>5963.6767217227316</v>
      </c>
      <c r="AB79" s="68">
        <f>VLOOKUP($O79,$A$4:$J$247,10,FALSE)</f>
        <v>-36.3232782772684</v>
      </c>
    </row>
    <row r="80" spans="1:28">
      <c r="A80" s="23">
        <f>_xlfn.RANK.EQ(' 5-Forecast Cash Flow + Profits'!AP80,' 5-Forecast Cash Flow + Profits'!$AP$4:$AP$247,0)</f>
        <v>37</v>
      </c>
      <c r="B80" s="23" t="str">
        <f>' 5-Forecast Cash Flow + Profits'!A80</f>
        <v>W168</v>
      </c>
      <c r="C80" s="68">
        <f>' 5-Forecast Cash Flow + Profits'!AD80+' 5-Forecast Cash Flow + Profits'!AI80</f>
        <v>13196.491021541762</v>
      </c>
      <c r="D80" s="68">
        <f>' 5-Forecast Cash Flow + Profits'!AP80</f>
        <v>7844.4910215417585</v>
      </c>
      <c r="E80" t="s">
        <v>425</v>
      </c>
      <c r="F80" t="s">
        <v>426</v>
      </c>
      <c r="G80" s="63">
        <f>' 5-Forecast Cash Flow + Profits'!AM80</f>
        <v>-10155.508978458238</v>
      </c>
      <c r="H80" s="63">
        <f>' 5-Forecast Cash Flow + Profits'!AN80</f>
        <v>13844.491021541759</v>
      </c>
      <c r="I80" s="63">
        <f>' 5-Forecast Cash Flow + Profits'!AO80</f>
        <v>13844.491021541759</v>
      </c>
      <c r="J80" s="63">
        <f>' 5-Forecast Cash Flow + Profits'!AP80</f>
        <v>7844.4910215417585</v>
      </c>
      <c r="O80" s="23">
        <v>77</v>
      </c>
      <c r="P80" s="23" t="str">
        <f>VLOOKUP(O80,$A$4:$B$247,2,FALSE)</f>
        <v>W95</v>
      </c>
      <c r="Q80" s="23" t="str">
        <f>VLOOKUP(O80,$A$4:$F$247,5,FALSE)</f>
        <v>San Francisco</v>
      </c>
      <c r="R80" s="23" t="str">
        <f>VLOOKUP(O80,$A$4:$F$247,6,FALSE)</f>
        <v>CA</v>
      </c>
      <c r="S80" s="68">
        <f>O80*' 5-Forecast Cash Flow + Profits'!$AG$7</f>
        <v>2310000</v>
      </c>
      <c r="T80" s="68">
        <f>VLOOKUP(O80,$A$4:$C$247,3,FALSE)</f>
        <v>28424.837216978631</v>
      </c>
      <c r="U80" s="68">
        <f>VLOOKUP(O80,$A$4:$D$247,4,FALSE)</f>
        <v>-279.16278302136925</v>
      </c>
      <c r="V80" s="89" t="str">
        <f>IF(S80&lt;$L$6,IF(U80&gt;' 5-Forecast Cash Flow + Profits'!$AG$29,"YES","NO"),"NO")</f>
        <v>NO</v>
      </c>
      <c r="W80" s="89" t="str">
        <f>IF(U80&gt;' 5-Forecast Cash Flow + Profits'!$AG$29, "YES", "NO")</f>
        <v>NO</v>
      </c>
      <c r="X80" s="68">
        <f>T80+X79</f>
        <v>1493463.4307903762</v>
      </c>
      <c r="Y80" s="68">
        <f>VLOOKUP($O80,$A$4:$J$247,7,FALSE)</f>
        <v>-18279.162783021369</v>
      </c>
      <c r="Z80" s="68">
        <f>VLOOKUP($O80,$A$4:$J$247,8,FALSE)</f>
        <v>5720.8372169786326</v>
      </c>
      <c r="AA80" s="68">
        <f>VLOOKUP($O80,$A$4:$J$247,9,FALSE)</f>
        <v>5720.8372169786326</v>
      </c>
      <c r="AB80" s="68">
        <f>VLOOKUP($O80,$A$4:$J$247,10,FALSE)</f>
        <v>-279.16278302136925</v>
      </c>
    </row>
    <row r="81" spans="1:28">
      <c r="A81" s="23">
        <f>_xlfn.RANK.EQ(' 5-Forecast Cash Flow + Profits'!AP81,' 5-Forecast Cash Flow + Profits'!$AP$4:$AP$247,0)</f>
        <v>133</v>
      </c>
      <c r="B81" s="23" t="str">
        <f>' 5-Forecast Cash Flow + Profits'!A81</f>
        <v>W169</v>
      </c>
      <c r="C81" s="68">
        <f>' 5-Forecast Cash Flow + Profits'!AD81+' 5-Forecast Cash Flow + Profits'!AI81</f>
        <v>-14317.301119960342</v>
      </c>
      <c r="D81" s="68">
        <f>' 5-Forecast Cash Flow + Profits'!AP81</f>
        <v>-7993.3011199603425</v>
      </c>
      <c r="E81" t="s">
        <v>427</v>
      </c>
      <c r="F81" t="s">
        <v>428</v>
      </c>
      <c r="G81" s="63">
        <f>' 5-Forecast Cash Flow + Profits'!AM81</f>
        <v>-25993.301119960342</v>
      </c>
      <c r="H81" s="63">
        <f>' 5-Forecast Cash Flow + Profits'!AN81</f>
        <v>-1993.3011199603407</v>
      </c>
      <c r="I81" s="63">
        <f>' 5-Forecast Cash Flow + Profits'!AO81</f>
        <v>-1993.3011199603407</v>
      </c>
      <c r="J81" s="63">
        <f>' 5-Forecast Cash Flow + Profits'!AP81</f>
        <v>-7993.3011199603425</v>
      </c>
      <c r="O81" s="23">
        <v>78</v>
      </c>
      <c r="P81" s="23" t="str">
        <f>VLOOKUP(O81,$A$4:$B$247,2,FALSE)</f>
        <v>W128</v>
      </c>
      <c r="Q81" s="23" t="str">
        <f>VLOOKUP(O81,$A$4:$F$247,5,FALSE)</f>
        <v>Bentonville</v>
      </c>
      <c r="R81" s="23" t="str">
        <f>VLOOKUP(O81,$A$4:$F$247,6,FALSE)</f>
        <v>AR</v>
      </c>
      <c r="S81" s="68">
        <f>O81*' 5-Forecast Cash Flow + Profits'!$AG$7</f>
        <v>2340000</v>
      </c>
      <c r="T81" s="68">
        <f>VLOOKUP(O81,$A$4:$C$247,3,FALSE)</f>
        <v>-4517.0193746937366</v>
      </c>
      <c r="U81" s="68">
        <f>VLOOKUP(O81,$A$4:$D$247,4,FALSE)</f>
        <v>-528.21937469373734</v>
      </c>
      <c r="V81" s="89" t="str">
        <f>IF(S81&lt;$L$6,IF(U81&gt;' 5-Forecast Cash Flow + Profits'!$AG$29,"YES","NO"),"NO")</f>
        <v>NO</v>
      </c>
      <c r="W81" s="89" t="str">
        <f>IF(U81&gt;' 5-Forecast Cash Flow + Profits'!$AG$29, "YES", "NO")</f>
        <v>NO</v>
      </c>
      <c r="X81" s="68">
        <f>T81+X80</f>
        <v>1488946.4114156824</v>
      </c>
      <c r="Y81" s="68">
        <f>VLOOKUP($O81,$A$4:$J$247,7,FALSE)</f>
        <v>-18528.219374693734</v>
      </c>
      <c r="Z81" s="68">
        <f>VLOOKUP($O81,$A$4:$J$247,8,FALSE)</f>
        <v>5471.7806253062627</v>
      </c>
      <c r="AA81" s="68">
        <f>VLOOKUP($O81,$A$4:$J$247,9,FALSE)</f>
        <v>5471.7806253062627</v>
      </c>
      <c r="AB81" s="68">
        <f>VLOOKUP($O81,$A$4:$J$247,10,FALSE)</f>
        <v>-528.21937469373734</v>
      </c>
    </row>
    <row r="82" spans="1:28">
      <c r="A82" s="23">
        <f>_xlfn.RANK.EQ(' 5-Forecast Cash Flow + Profits'!AP82,' 5-Forecast Cash Flow + Profits'!$AP$4:$AP$247,0)</f>
        <v>121</v>
      </c>
      <c r="B82" s="23" t="str">
        <f>' 5-Forecast Cash Flow + Profits'!A82</f>
        <v>W17</v>
      </c>
      <c r="C82" s="68">
        <f>' 5-Forecast Cash Flow + Profits'!AD82+' 5-Forecast Cash Flow + Profits'!AI82</f>
        <v>4587.033687251409</v>
      </c>
      <c r="D82" s="68">
        <f>' 5-Forecast Cash Flow + Profits'!AP82</f>
        <v>-6602.966312748591</v>
      </c>
      <c r="E82" t="s">
        <v>429</v>
      </c>
      <c r="F82" t="s">
        <v>430</v>
      </c>
      <c r="G82" s="63">
        <f>' 5-Forecast Cash Flow + Profits'!AM82</f>
        <v>-24602.966312748591</v>
      </c>
      <c r="H82" s="63">
        <f>' 5-Forecast Cash Flow + Profits'!AN82</f>
        <v>-602.96631274859101</v>
      </c>
      <c r="I82" s="63">
        <f>' 5-Forecast Cash Flow + Profits'!AO82</f>
        <v>-602.96631274859101</v>
      </c>
      <c r="J82" s="63">
        <f>' 5-Forecast Cash Flow + Profits'!AP82</f>
        <v>-6602.966312748591</v>
      </c>
      <c r="O82" s="23">
        <v>79</v>
      </c>
      <c r="P82" s="23" t="str">
        <f>VLOOKUP(O82,$A$4:$B$247,2,FALSE)</f>
        <v>W200</v>
      </c>
      <c r="Q82" s="23" t="str">
        <f>VLOOKUP(O82,$A$4:$F$247,5,FALSE)</f>
        <v>San Diego</v>
      </c>
      <c r="R82" s="23" t="str">
        <f>VLOOKUP(O82,$A$4:$F$247,6,FALSE)</f>
        <v>CA</v>
      </c>
      <c r="S82" s="68">
        <f>O82*' 5-Forecast Cash Flow + Profits'!$AG$7</f>
        <v>2370000</v>
      </c>
      <c r="T82" s="68">
        <f>VLOOKUP(O82,$A$4:$C$247,3,FALSE)</f>
        <v>23479.704255009987</v>
      </c>
      <c r="U82" s="68">
        <f>VLOOKUP(O82,$A$4:$D$247,4,FALSE)</f>
        <v>-553.89574499001174</v>
      </c>
      <c r="V82" s="89" t="str">
        <f>IF(S82&lt;$L$6,IF(U82&gt;' 5-Forecast Cash Flow + Profits'!$AG$29,"YES","NO"),"NO")</f>
        <v>NO</v>
      </c>
      <c r="W82" s="89" t="str">
        <f>IF(U82&gt;' 5-Forecast Cash Flow + Profits'!$AG$29, "YES", "NO")</f>
        <v>NO</v>
      </c>
      <c r="X82" s="68">
        <f>T82+X81</f>
        <v>1512426.1156706924</v>
      </c>
      <c r="Y82" s="68">
        <f>VLOOKUP($O82,$A$4:$J$247,7,FALSE)</f>
        <v>-18553.895744990012</v>
      </c>
      <c r="Z82" s="68">
        <f>VLOOKUP($O82,$A$4:$J$247,8,FALSE)</f>
        <v>5446.1042550099883</v>
      </c>
      <c r="AA82" s="68">
        <f>VLOOKUP($O82,$A$4:$J$247,9,FALSE)</f>
        <v>5446.1042550099883</v>
      </c>
      <c r="AB82" s="68">
        <f>VLOOKUP($O82,$A$4:$J$247,10,FALSE)</f>
        <v>-553.89574499001174</v>
      </c>
    </row>
    <row r="83" spans="1:28">
      <c r="A83" s="23">
        <f>_xlfn.RANK.EQ(' 5-Forecast Cash Flow + Profits'!AP83,' 5-Forecast Cash Flow + Profits'!$AP$4:$AP$247,0)</f>
        <v>99</v>
      </c>
      <c r="B83" s="23" t="str">
        <f>' 5-Forecast Cash Flow + Profits'!A83</f>
        <v>W170</v>
      </c>
      <c r="C83" s="68">
        <f>' 5-Forecast Cash Flow + Profits'!AD83+' 5-Forecast Cash Flow + Profits'!AI83</f>
        <v>-6078.4612038540945</v>
      </c>
      <c r="D83" s="68">
        <f>' 5-Forecast Cash Flow + Profits'!AP83</f>
        <v>-4424.8612038540959</v>
      </c>
      <c r="E83" t="s">
        <v>427</v>
      </c>
      <c r="F83" t="s">
        <v>428</v>
      </c>
      <c r="G83" s="63">
        <f>' 5-Forecast Cash Flow + Profits'!AM83</f>
        <v>-22424.861203854096</v>
      </c>
      <c r="H83" s="63">
        <f>' 5-Forecast Cash Flow + Profits'!AN83</f>
        <v>1575.1387961459041</v>
      </c>
      <c r="I83" s="63">
        <f>' 5-Forecast Cash Flow + Profits'!AO83</f>
        <v>1575.1387961459041</v>
      </c>
      <c r="J83" s="63">
        <f>' 5-Forecast Cash Flow + Profits'!AP83</f>
        <v>-4424.8612038540959</v>
      </c>
      <c r="O83" s="23">
        <v>80</v>
      </c>
      <c r="P83" s="23" t="str">
        <f>VLOOKUP(O83,$A$4:$B$247,2,FALSE)</f>
        <v>W234</v>
      </c>
      <c r="Q83" s="23" t="str">
        <f>VLOOKUP(O83,$A$4:$F$247,5,FALSE)</f>
        <v>Charleston</v>
      </c>
      <c r="R83" s="23" t="str">
        <f>VLOOKUP(O83,$A$4:$F$247,6,FALSE)</f>
        <v>SC</v>
      </c>
      <c r="S83" s="68">
        <f>O83*' 5-Forecast Cash Flow + Profits'!$AG$7</f>
        <v>2400000</v>
      </c>
      <c r="T83" s="68">
        <f>VLOOKUP(O83,$A$4:$C$247,3,FALSE)</f>
        <v>382.60732156091399</v>
      </c>
      <c r="U83" s="68">
        <f>VLOOKUP(O83,$A$4:$D$247,4,FALSE)</f>
        <v>-590.89267843908965</v>
      </c>
      <c r="V83" s="89" t="str">
        <f>IF(S83&lt;$L$6,IF(U83&gt;' 5-Forecast Cash Flow + Profits'!$AG$29,"YES","NO"),"NO")</f>
        <v>NO</v>
      </c>
      <c r="W83" s="89" t="str">
        <f>IF(U83&gt;' 5-Forecast Cash Flow + Profits'!$AG$29, "YES", "NO")</f>
        <v>NO</v>
      </c>
      <c r="X83" s="68">
        <f>T83+X82</f>
        <v>1512808.7229922533</v>
      </c>
      <c r="Y83" s="68">
        <f>VLOOKUP($O83,$A$4:$J$247,7,FALSE)</f>
        <v>-18590.892678439086</v>
      </c>
      <c r="Z83" s="68">
        <f>VLOOKUP($O83,$A$4:$J$247,8,FALSE)</f>
        <v>5409.1073215609103</v>
      </c>
      <c r="AA83" s="68">
        <f>VLOOKUP($O83,$A$4:$J$247,9,FALSE)</f>
        <v>5409.1073215609103</v>
      </c>
      <c r="AB83" s="68">
        <f>VLOOKUP($O83,$A$4:$J$247,10,FALSE)</f>
        <v>-590.89267843908965</v>
      </c>
    </row>
    <row r="84" spans="1:28">
      <c r="A84" s="23">
        <f>_xlfn.RANK.EQ(' 5-Forecast Cash Flow + Profits'!AP84,' 5-Forecast Cash Flow + Profits'!$AP$4:$AP$247,0)</f>
        <v>69</v>
      </c>
      <c r="B84" s="23" t="str">
        <f>' 5-Forecast Cash Flow + Profits'!A84</f>
        <v>W171</v>
      </c>
      <c r="C84" s="68">
        <f>' 5-Forecast Cash Flow + Profits'!AD84+' 5-Forecast Cash Flow + Profits'!AI84</f>
        <v>-1558.1370223568592</v>
      </c>
      <c r="D84" s="68">
        <f>' 5-Forecast Cash Flow + Profits'!AP84</f>
        <v>1263.0629776431415</v>
      </c>
      <c r="E84" t="s">
        <v>427</v>
      </c>
      <c r="F84" t="s">
        <v>428</v>
      </c>
      <c r="G84" s="63">
        <f>' 5-Forecast Cash Flow + Profits'!AM84</f>
        <v>-16736.937022356859</v>
      </c>
      <c r="H84" s="63">
        <f>' 5-Forecast Cash Flow + Profits'!AN84</f>
        <v>7263.0629776431433</v>
      </c>
      <c r="I84" s="63">
        <f>' 5-Forecast Cash Flow + Profits'!AO84</f>
        <v>7263.0629776431433</v>
      </c>
      <c r="J84" s="63">
        <f>' 5-Forecast Cash Flow + Profits'!AP84</f>
        <v>1263.0629776431415</v>
      </c>
      <c r="O84" s="23">
        <v>81</v>
      </c>
      <c r="P84" s="23" t="str">
        <f>VLOOKUP(O84,$A$4:$B$247,2,FALSE)</f>
        <v>W71</v>
      </c>
      <c r="Q84" s="23" t="str">
        <f>VLOOKUP(O84,$A$4:$F$247,5,FALSE)</f>
        <v>Palo Alto</v>
      </c>
      <c r="R84" s="23" t="str">
        <f>VLOOKUP(O84,$A$4:$F$247,6,FALSE)</f>
        <v>CA</v>
      </c>
      <c r="S84" s="68">
        <f>O84*' 5-Forecast Cash Flow + Profits'!$AG$7</f>
        <v>2430000</v>
      </c>
      <c r="T84" s="68">
        <f>VLOOKUP(O84,$A$4:$C$247,3,FALSE)</f>
        <v>33857.688948079027</v>
      </c>
      <c r="U84" s="68">
        <f>VLOOKUP(O84,$A$4:$D$247,4,FALSE)</f>
        <v>-684.31105192096948</v>
      </c>
      <c r="V84" s="89" t="str">
        <f>IF(S84&lt;$L$6,IF(U84&gt;' 5-Forecast Cash Flow + Profits'!$AG$29,"YES","NO"),"NO")</f>
        <v>NO</v>
      </c>
      <c r="W84" s="89" t="str">
        <f>IF(U84&gt;' 5-Forecast Cash Flow + Profits'!$AG$29, "YES", "NO")</f>
        <v>NO</v>
      </c>
      <c r="X84" s="68">
        <f>T84+X83</f>
        <v>1546666.4119403323</v>
      </c>
      <c r="Y84" s="68">
        <f>VLOOKUP($O84,$A$4:$J$247,7,FALSE)</f>
        <v>-18684.311051920973</v>
      </c>
      <c r="Z84" s="68">
        <f>VLOOKUP($O84,$A$4:$J$247,8,FALSE)</f>
        <v>5315.6889480790305</v>
      </c>
      <c r="AA84" s="68">
        <f>VLOOKUP($O84,$A$4:$J$247,9,FALSE)</f>
        <v>5315.6889480790305</v>
      </c>
      <c r="AB84" s="68">
        <f>VLOOKUP($O84,$A$4:$J$247,10,FALSE)</f>
        <v>-684.31105192096948</v>
      </c>
    </row>
    <row r="85" spans="1:28">
      <c r="A85" s="23">
        <f>_xlfn.RANK.EQ(' 5-Forecast Cash Flow + Profits'!AP85,' 5-Forecast Cash Flow + Profits'!$AP$4:$AP$247,0)</f>
        <v>151</v>
      </c>
      <c r="B85" s="23" t="str">
        <f>' 5-Forecast Cash Flow + Profits'!A85</f>
        <v>W172</v>
      </c>
      <c r="C85" s="68">
        <f>' 5-Forecast Cash Flow + Profits'!AD85+' 5-Forecast Cash Flow + Profits'!AI85</f>
        <v>-7582.0045061983183</v>
      </c>
      <c r="D85" s="68">
        <f>' 5-Forecast Cash Flow + Profits'!AP85</f>
        <v>-10598.804506198318</v>
      </c>
      <c r="E85" t="s">
        <v>427</v>
      </c>
      <c r="F85" t="s">
        <v>428</v>
      </c>
      <c r="G85" s="63">
        <f>' 5-Forecast Cash Flow + Profits'!AM85</f>
        <v>-28598.804506198318</v>
      </c>
      <c r="H85" s="63">
        <f>' 5-Forecast Cash Flow + Profits'!AN85</f>
        <v>-4598.8045061983175</v>
      </c>
      <c r="I85" s="63">
        <f>' 5-Forecast Cash Flow + Profits'!AO85</f>
        <v>-4598.8045061983175</v>
      </c>
      <c r="J85" s="63">
        <f>' 5-Forecast Cash Flow + Profits'!AP85</f>
        <v>-10598.804506198318</v>
      </c>
      <c r="O85" s="23">
        <v>82</v>
      </c>
      <c r="P85" s="23" t="str">
        <f>VLOOKUP(O85,$A$4:$B$247,2,FALSE)</f>
        <v>W122</v>
      </c>
      <c r="Q85" s="23" t="str">
        <f>VLOOKUP(O85,$A$4:$F$247,5,FALSE)</f>
        <v>Bentonville</v>
      </c>
      <c r="R85" s="23" t="str">
        <f>VLOOKUP(O85,$A$4:$F$247,6,FALSE)</f>
        <v>AR</v>
      </c>
      <c r="S85" s="68">
        <f>O85*' 5-Forecast Cash Flow + Profits'!$AG$7</f>
        <v>2460000</v>
      </c>
      <c r="T85" s="68">
        <f>VLOOKUP(O85,$A$4:$C$247,3,FALSE)</f>
        <v>-9688.2664355075976</v>
      </c>
      <c r="U85" s="68">
        <f>VLOOKUP(O85,$A$4:$D$247,4,FALSE)</f>
        <v>-1029.0664355076005</v>
      </c>
      <c r="V85" s="89" t="str">
        <f>IF(S85&lt;$L$6,IF(U85&gt;' 5-Forecast Cash Flow + Profits'!$AG$29,"YES","NO"),"NO")</f>
        <v>NO</v>
      </c>
      <c r="W85" s="89" t="str">
        <f>IF(U85&gt;' 5-Forecast Cash Flow + Profits'!$AG$29, "YES", "NO")</f>
        <v>NO</v>
      </c>
      <c r="X85" s="68">
        <f>T85+X84</f>
        <v>1536978.1455048246</v>
      </c>
      <c r="Y85" s="68">
        <f>VLOOKUP($O85,$A$4:$J$247,7,FALSE)</f>
        <v>-19029.066435507597</v>
      </c>
      <c r="Z85" s="68">
        <f>VLOOKUP($O85,$A$4:$J$247,8,FALSE)</f>
        <v>4970.9335644923995</v>
      </c>
      <c r="AA85" s="68">
        <f>VLOOKUP($O85,$A$4:$J$247,9,FALSE)</f>
        <v>4970.9335644923995</v>
      </c>
      <c r="AB85" s="68">
        <f>VLOOKUP($O85,$A$4:$J$247,10,FALSE)</f>
        <v>-1029.0664355076005</v>
      </c>
    </row>
    <row r="86" spans="1:28">
      <c r="A86" s="23">
        <f>_xlfn.RANK.EQ(' 5-Forecast Cash Flow + Profits'!AP86,' 5-Forecast Cash Flow + Profits'!$AP$4:$AP$247,0)</f>
        <v>138</v>
      </c>
      <c r="B86" s="23" t="str">
        <f>' 5-Forecast Cash Flow + Profits'!A86</f>
        <v>W173</v>
      </c>
      <c r="C86" s="68">
        <f>' 5-Forecast Cash Flow + Profits'!AD86+' 5-Forecast Cash Flow + Profits'!AI86</f>
        <v>-18478.825026415117</v>
      </c>
      <c r="D86" s="68">
        <f>' 5-Forecast Cash Flow + Profits'!AP86</f>
        <v>-8652.0250264151218</v>
      </c>
      <c r="E86" t="s">
        <v>427</v>
      </c>
      <c r="F86" t="s">
        <v>428</v>
      </c>
      <c r="G86" s="63">
        <f>' 5-Forecast Cash Flow + Profits'!AM86</f>
        <v>-26652.025026415118</v>
      </c>
      <c r="H86" s="63">
        <f>' 5-Forecast Cash Flow + Profits'!AN86</f>
        <v>-2652.0250264151218</v>
      </c>
      <c r="I86" s="63">
        <f>' 5-Forecast Cash Flow + Profits'!AO86</f>
        <v>-2652.0250264151218</v>
      </c>
      <c r="J86" s="63">
        <f>' 5-Forecast Cash Flow + Profits'!AP86</f>
        <v>-8652.0250264151218</v>
      </c>
      <c r="O86" s="23">
        <v>83</v>
      </c>
      <c r="P86" s="23" t="str">
        <f>VLOOKUP(O86,$A$4:$B$247,2,FALSE)</f>
        <v>W58</v>
      </c>
      <c r="Q86" s="23" t="str">
        <f>VLOOKUP(O86,$A$4:$F$247,5,FALSE)</f>
        <v>New York</v>
      </c>
      <c r="R86" s="23" t="str">
        <f>VLOOKUP(O86,$A$4:$F$247,6,FALSE)</f>
        <v>NY</v>
      </c>
      <c r="S86" s="68">
        <f>O86*' 5-Forecast Cash Flow + Profits'!$AG$7</f>
        <v>2490000</v>
      </c>
      <c r="T86" s="68">
        <f>VLOOKUP(O86,$A$4:$C$247,3,FALSE)</f>
        <v>13644.922005501459</v>
      </c>
      <c r="U86" s="68">
        <f>VLOOKUP(O86,$A$4:$D$247,4,FALSE)</f>
        <v>-1047.8779944985399</v>
      </c>
      <c r="V86" s="89" t="str">
        <f>IF(S86&lt;$L$6,IF(U86&gt;' 5-Forecast Cash Flow + Profits'!$AG$29,"YES","NO"),"NO")</f>
        <v>NO</v>
      </c>
      <c r="W86" s="89" t="str">
        <f>IF(U86&gt;' 5-Forecast Cash Flow + Profits'!$AG$29, "YES", "NO")</f>
        <v>NO</v>
      </c>
      <c r="X86" s="68">
        <f>T86+X85</f>
        <v>1550623.0675103259</v>
      </c>
      <c r="Y86" s="68">
        <f>VLOOKUP($O86,$A$4:$J$247,7,FALSE)</f>
        <v>-19047.87799449854</v>
      </c>
      <c r="Z86" s="68">
        <f>VLOOKUP($O86,$A$4:$J$247,8,FALSE)</f>
        <v>4952.1220055014601</v>
      </c>
      <c r="AA86" s="68">
        <f>VLOOKUP($O86,$A$4:$J$247,9,FALSE)</f>
        <v>4952.1220055014601</v>
      </c>
      <c r="AB86" s="68">
        <f>VLOOKUP($O86,$A$4:$J$247,10,FALSE)</f>
        <v>-1047.8779944985399</v>
      </c>
    </row>
    <row r="87" spans="1:28">
      <c r="A87" s="23">
        <f>_xlfn.RANK.EQ(' 5-Forecast Cash Flow + Profits'!AP87,' 5-Forecast Cash Flow + Profits'!$AP$4:$AP$247,0)</f>
        <v>105</v>
      </c>
      <c r="B87" s="23" t="str">
        <f>' 5-Forecast Cash Flow + Profits'!A87</f>
        <v>W174</v>
      </c>
      <c r="C87" s="68">
        <f>' 5-Forecast Cash Flow + Profits'!AD87+' 5-Forecast Cash Flow + Profits'!AI87</f>
        <v>-12415.896981863047</v>
      </c>
      <c r="D87" s="68">
        <f>' 5-Forecast Cash Flow + Profits'!AP87</f>
        <v>-4924.2969818630445</v>
      </c>
      <c r="E87" t="s">
        <v>427</v>
      </c>
      <c r="F87" t="s">
        <v>428</v>
      </c>
      <c r="G87" s="63">
        <f>' 5-Forecast Cash Flow + Profits'!AM87</f>
        <v>-22924.296981863044</v>
      </c>
      <c r="H87" s="63">
        <f>' 5-Forecast Cash Flow + Profits'!AN87</f>
        <v>1075.7030181369555</v>
      </c>
      <c r="I87" s="63">
        <f>' 5-Forecast Cash Flow + Profits'!AO87</f>
        <v>1075.7030181369555</v>
      </c>
      <c r="J87" s="63">
        <f>' 5-Forecast Cash Flow + Profits'!AP87</f>
        <v>-4924.2969818630445</v>
      </c>
      <c r="O87" s="23">
        <v>84</v>
      </c>
      <c r="P87" s="23" t="str">
        <f>VLOOKUP(O87,$A$4:$B$247,2,FALSE)</f>
        <v>W55</v>
      </c>
      <c r="Q87" s="23" t="str">
        <f>VLOOKUP(O87,$A$4:$F$247,5,FALSE)</f>
        <v>New York</v>
      </c>
      <c r="R87" s="23" t="str">
        <f>VLOOKUP(O87,$A$4:$F$247,6,FALSE)</f>
        <v>NY</v>
      </c>
      <c r="S87" s="68">
        <f>O87*' 5-Forecast Cash Flow + Profits'!$AG$7</f>
        <v>2520000</v>
      </c>
      <c r="T87" s="68">
        <f>VLOOKUP(O87,$A$4:$C$247,3,FALSE)</f>
        <v>15779.822955318232</v>
      </c>
      <c r="U87" s="68">
        <f>VLOOKUP(O87,$A$4:$D$247,4,FALSE)</f>
        <v>-1248.1770446817682</v>
      </c>
      <c r="V87" s="89" t="str">
        <f>IF(S87&lt;$L$6,IF(U87&gt;' 5-Forecast Cash Flow + Profits'!$AG$29,"YES","NO"),"NO")</f>
        <v>NO</v>
      </c>
      <c r="W87" s="89" t="str">
        <f>IF(U87&gt;' 5-Forecast Cash Flow + Profits'!$AG$29, "YES", "NO")</f>
        <v>NO</v>
      </c>
      <c r="X87" s="68">
        <f>T87+X86</f>
        <v>1566402.8904656442</v>
      </c>
      <c r="Y87" s="68">
        <f>VLOOKUP($O87,$A$4:$J$247,7,FALSE)</f>
        <v>-19248.177044681768</v>
      </c>
      <c r="Z87" s="68">
        <f>VLOOKUP($O87,$A$4:$J$247,8,FALSE)</f>
        <v>4751.8229553182318</v>
      </c>
      <c r="AA87" s="68">
        <f>VLOOKUP($O87,$A$4:$J$247,9,FALSE)</f>
        <v>4751.8229553182318</v>
      </c>
      <c r="AB87" s="68">
        <f>VLOOKUP($O87,$A$4:$J$247,10,FALSE)</f>
        <v>-1248.1770446817682</v>
      </c>
    </row>
    <row r="88" spans="1:28">
      <c r="A88" s="23">
        <f>_xlfn.RANK.EQ(' 5-Forecast Cash Flow + Profits'!AP88,' 5-Forecast Cash Flow + Profits'!$AP$4:$AP$247,0)</f>
        <v>43</v>
      </c>
      <c r="B88" s="23" t="str">
        <f>' 5-Forecast Cash Flow + Profits'!A88</f>
        <v>W175</v>
      </c>
      <c r="C88" s="68">
        <f>' 5-Forecast Cash Flow + Profits'!AD88+' 5-Forecast Cash Flow + Profits'!AI88</f>
        <v>-558.03179413316684</v>
      </c>
      <c r="D88" s="68">
        <f>' 5-Forecast Cash Flow + Profits'!AP88</f>
        <v>5765.9682058668368</v>
      </c>
      <c r="E88" t="s">
        <v>427</v>
      </c>
      <c r="F88" t="s">
        <v>428</v>
      </c>
      <c r="G88" s="63">
        <f>' 5-Forecast Cash Flow + Profits'!AM88</f>
        <v>-12234.031794133167</v>
      </c>
      <c r="H88" s="63">
        <f>' 5-Forecast Cash Flow + Profits'!AN88</f>
        <v>11765.968205866837</v>
      </c>
      <c r="I88" s="63">
        <f>' 5-Forecast Cash Flow + Profits'!AO88</f>
        <v>11765.968205866837</v>
      </c>
      <c r="J88" s="63">
        <f>' 5-Forecast Cash Flow + Profits'!AP88</f>
        <v>5765.9682058668368</v>
      </c>
      <c r="O88" s="23">
        <v>85</v>
      </c>
      <c r="P88" s="23" t="str">
        <f>VLOOKUP(O88,$A$4:$B$247,2,FALSE)</f>
        <v>W42</v>
      </c>
      <c r="Q88" s="23" t="str">
        <f>VLOOKUP(O88,$A$4:$F$247,5,FALSE)</f>
        <v>New York</v>
      </c>
      <c r="R88" s="23" t="str">
        <f>VLOOKUP(O88,$A$4:$F$247,6,FALSE)</f>
        <v>NY</v>
      </c>
      <c r="S88" s="68">
        <f>O88*' 5-Forecast Cash Flow + Profits'!$AG$7</f>
        <v>2550000</v>
      </c>
      <c r="T88" s="68">
        <f>VLOOKUP(O88,$A$4:$C$247,3,FALSE)</f>
        <v>21417.195736925467</v>
      </c>
      <c r="U88" s="68">
        <f>VLOOKUP(O88,$A$4:$D$247,4,FALSE)</f>
        <v>-1448.8042630745294</v>
      </c>
      <c r="V88" s="89" t="str">
        <f>IF(S88&lt;$L$6,IF(U88&gt;' 5-Forecast Cash Flow + Profits'!$AG$29,"YES","NO"),"NO")</f>
        <v>NO</v>
      </c>
      <c r="W88" s="89" t="str">
        <f>IF(U88&gt;' 5-Forecast Cash Flow + Profits'!$AG$29, "YES", "NO")</f>
        <v>NO</v>
      </c>
      <c r="X88" s="68">
        <f>T88+X87</f>
        <v>1587820.0862025698</v>
      </c>
      <c r="Y88" s="68">
        <f>VLOOKUP($O88,$A$4:$J$247,7,FALSE)</f>
        <v>-19448.804263074533</v>
      </c>
      <c r="Z88" s="68">
        <f>VLOOKUP($O88,$A$4:$J$247,8,FALSE)</f>
        <v>4551.1957369254706</v>
      </c>
      <c r="AA88" s="68">
        <f>VLOOKUP($O88,$A$4:$J$247,9,FALSE)</f>
        <v>4551.1957369254706</v>
      </c>
      <c r="AB88" s="68">
        <f>VLOOKUP($O88,$A$4:$J$247,10,FALSE)</f>
        <v>-1448.8042630745294</v>
      </c>
    </row>
    <row r="89" spans="1:28">
      <c r="A89" s="23">
        <f>_xlfn.RANK.EQ(' 5-Forecast Cash Flow + Profits'!AP89,' 5-Forecast Cash Flow + Profits'!$AP$4:$AP$247,0)</f>
        <v>60</v>
      </c>
      <c r="B89" s="23" t="str">
        <f>' 5-Forecast Cash Flow + Profits'!A89</f>
        <v>W176</v>
      </c>
      <c r="C89" s="68">
        <f>' 5-Forecast Cash Flow + Profits'!AD89+' 5-Forecast Cash Flow + Profits'!AI89</f>
        <v>-1300.7130802150787</v>
      </c>
      <c r="D89" s="68">
        <f>' 5-Forecast Cash Flow + Profits'!AP89</f>
        <v>2688.0869197849242</v>
      </c>
      <c r="E89" t="s">
        <v>427</v>
      </c>
      <c r="F89" t="s">
        <v>428</v>
      </c>
      <c r="G89" s="63">
        <f>' 5-Forecast Cash Flow + Profits'!AM89</f>
        <v>-15311.913080215076</v>
      </c>
      <c r="H89" s="63">
        <f>' 5-Forecast Cash Flow + Profits'!AN89</f>
        <v>8688.0869197849242</v>
      </c>
      <c r="I89" s="63">
        <f>' 5-Forecast Cash Flow + Profits'!AO89</f>
        <v>8688.0869197849242</v>
      </c>
      <c r="J89" s="63">
        <f>' 5-Forecast Cash Flow + Profits'!AP89</f>
        <v>2688.0869197849242</v>
      </c>
      <c r="O89" s="23">
        <v>86</v>
      </c>
      <c r="P89" s="23" t="str">
        <f>VLOOKUP(O89,$A$4:$B$247,2,FALSE)</f>
        <v>W201</v>
      </c>
      <c r="Q89" s="23" t="str">
        <f>VLOOKUP(O89,$A$4:$F$247,5,FALSE)</f>
        <v>San Diego</v>
      </c>
      <c r="R89" s="23" t="str">
        <f>VLOOKUP(O89,$A$4:$F$247,6,FALSE)</f>
        <v>CA</v>
      </c>
      <c r="S89" s="68">
        <f>O89*' 5-Forecast Cash Flow + Profits'!$AG$7</f>
        <v>2580000</v>
      </c>
      <c r="T89" s="68">
        <f>VLOOKUP(O89,$A$4:$C$247,3,FALSE)</f>
        <v>-5461.8555978428267</v>
      </c>
      <c r="U89" s="68">
        <f>VLOOKUP(O89,$A$4:$D$247,4,FALSE)</f>
        <v>-1473.0555978428238</v>
      </c>
      <c r="V89" s="89" t="str">
        <f>IF(S89&lt;$L$6,IF(U89&gt;' 5-Forecast Cash Flow + Profits'!$AG$29,"YES","NO"),"NO")</f>
        <v>NO</v>
      </c>
      <c r="W89" s="89" t="str">
        <f>IF(U89&gt;' 5-Forecast Cash Flow + Profits'!$AG$29, "YES", "NO")</f>
        <v>NO</v>
      </c>
      <c r="X89" s="68">
        <f>T89+X88</f>
        <v>1582358.2306047271</v>
      </c>
      <c r="Y89" s="68">
        <f>VLOOKUP($O89,$A$4:$J$247,7,FALSE)</f>
        <v>-19473.055597842824</v>
      </c>
      <c r="Z89" s="68">
        <f>VLOOKUP($O89,$A$4:$J$247,8,FALSE)</f>
        <v>4526.9444021571762</v>
      </c>
      <c r="AA89" s="68">
        <f>VLOOKUP($O89,$A$4:$J$247,9,FALSE)</f>
        <v>4526.9444021571762</v>
      </c>
      <c r="AB89" s="68">
        <f>VLOOKUP($O89,$A$4:$J$247,10,FALSE)</f>
        <v>-1473.0555978428238</v>
      </c>
    </row>
    <row r="90" spans="1:28">
      <c r="A90" s="23">
        <f>_xlfn.RANK.EQ(' 5-Forecast Cash Flow + Profits'!AP90,' 5-Forecast Cash Flow + Profits'!$AP$4:$AP$247,0)</f>
        <v>48</v>
      </c>
      <c r="B90" s="23" t="str">
        <f>' 5-Forecast Cash Flow + Profits'!A90</f>
        <v>W177</v>
      </c>
      <c r="C90" s="68">
        <f>' 5-Forecast Cash Flow + Profits'!AD90+' 5-Forecast Cash Flow + Profits'!AI90</f>
        <v>-5137.2195030462099</v>
      </c>
      <c r="D90" s="68">
        <f>' 5-Forecast Cash Flow + Profits'!AP90</f>
        <v>4689.5804969537858</v>
      </c>
      <c r="E90" t="s">
        <v>427</v>
      </c>
      <c r="F90" t="s">
        <v>428</v>
      </c>
      <c r="G90" s="63">
        <f>' 5-Forecast Cash Flow + Profits'!AM90</f>
        <v>-13310.419503046211</v>
      </c>
      <c r="H90" s="63">
        <f>' 5-Forecast Cash Flow + Profits'!AN90</f>
        <v>10689.580496953786</v>
      </c>
      <c r="I90" s="63">
        <f>' 5-Forecast Cash Flow + Profits'!AO90</f>
        <v>10689.580496953786</v>
      </c>
      <c r="J90" s="63">
        <f>' 5-Forecast Cash Flow + Profits'!AP90</f>
        <v>4689.5804969537858</v>
      </c>
      <c r="O90" s="23">
        <v>87</v>
      </c>
      <c r="P90" s="23" t="str">
        <f>VLOOKUP(O90,$A$4:$B$247,2,FALSE)</f>
        <v>W129</v>
      </c>
      <c r="Q90" s="23" t="str">
        <f>VLOOKUP(O90,$A$4:$F$247,5,FALSE)</f>
        <v>Denver</v>
      </c>
      <c r="R90" s="23" t="str">
        <f>VLOOKUP(O90,$A$4:$F$247,6,FALSE)</f>
        <v>CO</v>
      </c>
      <c r="S90" s="68">
        <f>O90*' 5-Forecast Cash Flow + Profits'!$AG$7</f>
        <v>2610000</v>
      </c>
      <c r="T90" s="68">
        <f>VLOOKUP(O90,$A$4:$C$247,3,FALSE)</f>
        <v>-5640.9777616437714</v>
      </c>
      <c r="U90" s="68">
        <f>VLOOKUP(O90,$A$4:$D$247,4,FALSE)</f>
        <v>-1652.1777616437648</v>
      </c>
      <c r="V90" s="89" t="str">
        <f>IF(S90&lt;$L$6,IF(U90&gt;' 5-Forecast Cash Flow + Profits'!$AG$29,"YES","NO"),"NO")</f>
        <v>NO</v>
      </c>
      <c r="W90" s="89" t="str">
        <f>IF(U90&gt;' 5-Forecast Cash Flow + Profits'!$AG$29, "YES", "NO")</f>
        <v>NO</v>
      </c>
      <c r="X90" s="68">
        <f>T90+X89</f>
        <v>1576717.2528430833</v>
      </c>
      <c r="Y90" s="68">
        <f>VLOOKUP($O90,$A$4:$J$247,7,FALSE)</f>
        <v>-19652.177761643768</v>
      </c>
      <c r="Z90" s="68">
        <f>VLOOKUP($O90,$A$4:$J$247,8,FALSE)</f>
        <v>4347.8222383562352</v>
      </c>
      <c r="AA90" s="68">
        <f>VLOOKUP($O90,$A$4:$J$247,9,FALSE)</f>
        <v>4347.8222383562352</v>
      </c>
      <c r="AB90" s="68">
        <f>VLOOKUP($O90,$A$4:$J$247,10,FALSE)</f>
        <v>-1652.1777616437648</v>
      </c>
    </row>
    <row r="91" spans="1:28">
      <c r="A91" s="23">
        <f>_xlfn.RANK.EQ(' 5-Forecast Cash Flow + Profits'!AP91,' 5-Forecast Cash Flow + Profits'!$AP$4:$AP$247,0)</f>
        <v>68</v>
      </c>
      <c r="B91" s="23" t="str">
        <f>' 5-Forecast Cash Flow + Profits'!A91</f>
        <v>W178</v>
      </c>
      <c r="C91" s="68">
        <f>' 5-Forecast Cash Flow + Profits'!AD91+' 5-Forecast Cash Flow + Profits'!AI91</f>
        <v>-4907.3446692141661</v>
      </c>
      <c r="D91" s="68">
        <f>' 5-Forecast Cash Flow + Profits'!AP91</f>
        <v>1416.6553307858339</v>
      </c>
      <c r="E91" t="s">
        <v>427</v>
      </c>
      <c r="F91" t="s">
        <v>428</v>
      </c>
      <c r="G91" s="63">
        <f>' 5-Forecast Cash Flow + Profits'!AM91</f>
        <v>-16583.344669214166</v>
      </c>
      <c r="H91" s="63">
        <f>' 5-Forecast Cash Flow + Profits'!AN91</f>
        <v>7416.6553307858339</v>
      </c>
      <c r="I91" s="63">
        <f>' 5-Forecast Cash Flow + Profits'!AO91</f>
        <v>7416.6553307858339</v>
      </c>
      <c r="J91" s="63">
        <f>' 5-Forecast Cash Flow + Profits'!AP91</f>
        <v>1416.6553307858339</v>
      </c>
      <c r="O91" s="23">
        <v>88</v>
      </c>
      <c r="P91" s="23" t="str">
        <f>VLOOKUP(O91,$A$4:$B$247,2,FALSE)</f>
        <v>W51</v>
      </c>
      <c r="Q91" s="23" t="str">
        <f>VLOOKUP(O91,$A$4:$F$247,5,FALSE)</f>
        <v>New York</v>
      </c>
      <c r="R91" s="23" t="str">
        <f>VLOOKUP(O91,$A$4:$F$247,6,FALSE)</f>
        <v>NY</v>
      </c>
      <c r="S91" s="68">
        <f>O91*' 5-Forecast Cash Flow + Profits'!$AG$7</f>
        <v>2640000</v>
      </c>
      <c r="T91" s="68">
        <f>VLOOKUP(O91,$A$4:$C$247,3,FALSE)</f>
        <v>25850.009824458619</v>
      </c>
      <c r="U91" s="68">
        <f>VLOOKUP(O91,$A$4:$D$247,4,FALSE)</f>
        <v>-1686.390175541379</v>
      </c>
      <c r="V91" s="89" t="str">
        <f>IF(S91&lt;$L$6,IF(U91&gt;' 5-Forecast Cash Flow + Profits'!$AG$29,"YES","NO"),"NO")</f>
        <v>NO</v>
      </c>
      <c r="W91" s="89" t="str">
        <f>IF(U91&gt;' 5-Forecast Cash Flow + Profits'!$AG$29, "YES", "NO")</f>
        <v>NO</v>
      </c>
      <c r="X91" s="68">
        <f>T91+X90</f>
        <v>1602567.2626675419</v>
      </c>
      <c r="Y91" s="68">
        <f>VLOOKUP($O91,$A$4:$J$247,7,FALSE)</f>
        <v>-19686.390175541383</v>
      </c>
      <c r="Z91" s="68">
        <f>VLOOKUP($O91,$A$4:$J$247,8,FALSE)</f>
        <v>4313.609824458621</v>
      </c>
      <c r="AA91" s="68">
        <f>VLOOKUP($O91,$A$4:$J$247,9,FALSE)</f>
        <v>4313.609824458621</v>
      </c>
      <c r="AB91" s="68">
        <f>VLOOKUP($O91,$A$4:$J$247,10,FALSE)</f>
        <v>-1686.390175541379</v>
      </c>
    </row>
    <row r="92" spans="1:28">
      <c r="A92" s="23">
        <f>_xlfn.RANK.EQ(' 5-Forecast Cash Flow + Profits'!AP92,' 5-Forecast Cash Flow + Profits'!$AP$4:$AP$247,0)</f>
        <v>36</v>
      </c>
      <c r="B92" s="23" t="str">
        <f>' 5-Forecast Cash Flow + Profits'!A92</f>
        <v>W179</v>
      </c>
      <c r="C92" s="68">
        <f>' 5-Forecast Cash Flow + Profits'!AD92+' 5-Forecast Cash Flow + Profits'!AI92</f>
        <v>-762.10522245914035</v>
      </c>
      <c r="D92" s="68">
        <f>' 5-Forecast Cash Flow + Profits'!AP92</f>
        <v>7897.0947775408604</v>
      </c>
      <c r="E92" t="s">
        <v>427</v>
      </c>
      <c r="F92" t="s">
        <v>428</v>
      </c>
      <c r="G92" s="63">
        <f>' 5-Forecast Cash Flow + Profits'!AM92</f>
        <v>-10102.90522245914</v>
      </c>
      <c r="H92" s="63">
        <f>' 5-Forecast Cash Flow + Profits'!AN92</f>
        <v>13897.09477754086</v>
      </c>
      <c r="I92" s="63">
        <f>' 5-Forecast Cash Flow + Profits'!AO92</f>
        <v>13897.09477754086</v>
      </c>
      <c r="J92" s="63">
        <f>' 5-Forecast Cash Flow + Profits'!AP92</f>
        <v>7897.0947775408604</v>
      </c>
      <c r="O92" s="23">
        <v>89</v>
      </c>
      <c r="P92" s="23" t="str">
        <f>VLOOKUP(O92,$A$4:$B$247,2,FALSE)</f>
        <v>W80</v>
      </c>
      <c r="Q92" s="23" t="str">
        <f>VLOOKUP(O92,$A$4:$F$247,5,FALSE)</f>
        <v>Palo Alto</v>
      </c>
      <c r="R92" s="23" t="str">
        <f>VLOOKUP(O92,$A$4:$F$247,6,FALSE)</f>
        <v>CA</v>
      </c>
      <c r="S92" s="68">
        <f>O92*' 5-Forecast Cash Flow + Profits'!$AG$7</f>
        <v>2670000</v>
      </c>
      <c r="T92" s="68">
        <f>VLOOKUP(O92,$A$4:$C$247,3,FALSE)</f>
        <v>28749.519417047348</v>
      </c>
      <c r="U92" s="68">
        <f>VLOOKUP(O92,$A$4:$D$247,4,FALSE)</f>
        <v>-2289.6805829526493</v>
      </c>
      <c r="V92" s="89" t="str">
        <f>IF(S92&lt;$L$6,IF(U92&gt;' 5-Forecast Cash Flow + Profits'!$AG$29,"YES","NO"),"NO")</f>
        <v>NO</v>
      </c>
      <c r="W92" s="89" t="str">
        <f>IF(U92&gt;' 5-Forecast Cash Flow + Profits'!$AG$29, "YES", "NO")</f>
        <v>NO</v>
      </c>
      <c r="X92" s="68">
        <f>T92+X91</f>
        <v>1631316.7820845891</v>
      </c>
      <c r="Y92" s="68">
        <f>VLOOKUP($O92,$A$4:$J$247,7,FALSE)</f>
        <v>-20289.680582952649</v>
      </c>
      <c r="Z92" s="68">
        <f>VLOOKUP($O92,$A$4:$J$247,8,FALSE)</f>
        <v>3710.3194170473507</v>
      </c>
      <c r="AA92" s="68">
        <f>VLOOKUP($O92,$A$4:$J$247,9,FALSE)</f>
        <v>3710.3194170473507</v>
      </c>
      <c r="AB92" s="68">
        <f>VLOOKUP($O92,$A$4:$J$247,10,FALSE)</f>
        <v>-2289.6805829526493</v>
      </c>
    </row>
    <row r="93" spans="1:28">
      <c r="A93" s="23">
        <f>_xlfn.RANK.EQ(' 5-Forecast Cash Flow + Profits'!AP93,' 5-Forecast Cash Flow + Profits'!$AP$4:$AP$247,0)</f>
        <v>106</v>
      </c>
      <c r="B93" s="23" t="str">
        <f>' 5-Forecast Cash Flow + Profits'!A93</f>
        <v>W18</v>
      </c>
      <c r="C93" s="68">
        <f>' 5-Forecast Cash Flow + Profits'!AD93+' 5-Forecast Cash Flow + Profits'!AI93</f>
        <v>6086.6907783784627</v>
      </c>
      <c r="D93" s="68">
        <f>' 5-Forecast Cash Flow + Profits'!AP93</f>
        <v>-5103.3092216215373</v>
      </c>
      <c r="E93" t="s">
        <v>429</v>
      </c>
      <c r="F93" t="s">
        <v>430</v>
      </c>
      <c r="G93" s="63">
        <f>' 5-Forecast Cash Flow + Profits'!AM93</f>
        <v>-23103.309221621537</v>
      </c>
      <c r="H93" s="63">
        <f>' 5-Forecast Cash Flow + Profits'!AN93</f>
        <v>896.69077837846089</v>
      </c>
      <c r="I93" s="63">
        <f>' 5-Forecast Cash Flow + Profits'!AO93</f>
        <v>896.69077837846089</v>
      </c>
      <c r="J93" s="63">
        <f>' 5-Forecast Cash Flow + Profits'!AP93</f>
        <v>-5103.3092216215373</v>
      </c>
      <c r="O93" s="23">
        <v>90</v>
      </c>
      <c r="P93" s="23" t="str">
        <f>VLOOKUP(O93,$A$4:$B$247,2,FALSE)</f>
        <v>W61</v>
      </c>
      <c r="Q93" s="23" t="str">
        <f>VLOOKUP(O93,$A$4:$F$247,5,FALSE)</f>
        <v>Palo Alto</v>
      </c>
      <c r="R93" s="23" t="str">
        <f>VLOOKUP(O93,$A$4:$F$247,6,FALSE)</f>
        <v>CA</v>
      </c>
      <c r="S93" s="68">
        <f>O93*' 5-Forecast Cash Flow + Profits'!$AG$7</f>
        <v>2700000</v>
      </c>
      <c r="T93" s="68">
        <f>VLOOKUP(O93,$A$4:$C$247,3,FALSE)</f>
        <v>10742.540045247777</v>
      </c>
      <c r="U93" s="68">
        <f>VLOOKUP(O93,$A$4:$D$247,4,FALSE)</f>
        <v>-2724.2799547522227</v>
      </c>
      <c r="V93" s="89" t="str">
        <f>IF(S93&lt;$L$6,IF(U93&gt;' 5-Forecast Cash Flow + Profits'!$AG$29,"YES","NO"),"NO")</f>
        <v>NO</v>
      </c>
      <c r="W93" s="89" t="str">
        <f>IF(U93&gt;' 5-Forecast Cash Flow + Profits'!$AG$29, "YES", "NO")</f>
        <v>NO</v>
      </c>
      <c r="X93" s="68">
        <f>T93+X92</f>
        <v>1642059.322129837</v>
      </c>
      <c r="Y93" s="68">
        <f>VLOOKUP($O93,$A$4:$J$247,7,FALSE)</f>
        <v>-20724.279954752223</v>
      </c>
      <c r="Z93" s="68">
        <f>VLOOKUP($O93,$A$4:$J$247,8,FALSE)</f>
        <v>3275.7200452477773</v>
      </c>
      <c r="AA93" s="68">
        <f>VLOOKUP($O93,$A$4:$J$247,9,FALSE)</f>
        <v>3275.7200452477773</v>
      </c>
      <c r="AB93" s="68">
        <f>VLOOKUP($O93,$A$4:$J$247,10,FALSE)</f>
        <v>-2724.2799547522227</v>
      </c>
    </row>
    <row r="94" spans="1:28">
      <c r="A94" s="23">
        <f>_xlfn.RANK.EQ(' 5-Forecast Cash Flow + Profits'!AP94,' 5-Forecast Cash Flow + Profits'!$AP$4:$AP$247,0)</f>
        <v>44</v>
      </c>
      <c r="B94" s="23" t="str">
        <f>' 5-Forecast Cash Flow + Profits'!A94</f>
        <v>W180</v>
      </c>
      <c r="C94" s="68">
        <f>' 5-Forecast Cash Flow + Profits'!AD94+' 5-Forecast Cash Flow + Profits'!AI94</f>
        <v>-1785.8960738204551</v>
      </c>
      <c r="D94" s="68">
        <f>' 5-Forecast Cash Flow + Profits'!AP94</f>
        <v>5705.7039261795398</v>
      </c>
      <c r="E94" t="s">
        <v>427</v>
      </c>
      <c r="F94" t="s">
        <v>428</v>
      </c>
      <c r="G94" s="63">
        <f>' 5-Forecast Cash Flow + Profits'!AM94</f>
        <v>-12294.296073820457</v>
      </c>
      <c r="H94" s="63">
        <f>' 5-Forecast Cash Flow + Profits'!AN94</f>
        <v>11705.70392617954</v>
      </c>
      <c r="I94" s="63">
        <f>' 5-Forecast Cash Flow + Profits'!AO94</f>
        <v>11705.70392617954</v>
      </c>
      <c r="J94" s="63">
        <f>' 5-Forecast Cash Flow + Profits'!AP94</f>
        <v>5705.7039261795398</v>
      </c>
      <c r="O94" s="23">
        <v>91</v>
      </c>
      <c r="P94" s="23" t="str">
        <f>VLOOKUP(O94,$A$4:$B$247,2,FALSE)</f>
        <v>W63</v>
      </c>
      <c r="Q94" s="23" t="str">
        <f>VLOOKUP(O94,$A$4:$F$247,5,FALSE)</f>
        <v>Palo Alto</v>
      </c>
      <c r="R94" s="23" t="str">
        <f>VLOOKUP(O94,$A$4:$F$247,6,FALSE)</f>
        <v>CA</v>
      </c>
      <c r="S94" s="68">
        <f>O94*' 5-Forecast Cash Flow + Profits'!$AG$7</f>
        <v>2730000</v>
      </c>
      <c r="T94" s="68">
        <f>VLOOKUP(O94,$A$4:$C$247,3,FALSE)</f>
        <v>25878.205549972074</v>
      </c>
      <c r="U94" s="68">
        <f>VLOOKUP(O94,$A$4:$D$247,4,FALSE)</f>
        <v>-2825.7944500279264</v>
      </c>
      <c r="V94" s="89" t="str">
        <f>IF(S94&lt;$L$6,IF(U94&gt;' 5-Forecast Cash Flow + Profits'!$AG$29,"YES","NO"),"NO")</f>
        <v>NO</v>
      </c>
      <c r="W94" s="89" t="str">
        <f>IF(U94&gt;' 5-Forecast Cash Flow + Profits'!$AG$29, "YES", "NO")</f>
        <v>NO</v>
      </c>
      <c r="X94" s="68">
        <f>T94+X93</f>
        <v>1667937.5276798091</v>
      </c>
      <c r="Y94" s="68">
        <f>VLOOKUP($O94,$A$4:$J$247,7,FALSE)</f>
        <v>-20825.794450027926</v>
      </c>
      <c r="Z94" s="68">
        <f>VLOOKUP($O94,$A$4:$J$247,8,FALSE)</f>
        <v>3174.2055499720736</v>
      </c>
      <c r="AA94" s="68">
        <f>VLOOKUP($O94,$A$4:$J$247,9,FALSE)</f>
        <v>3174.2055499720736</v>
      </c>
      <c r="AB94" s="68">
        <f>VLOOKUP($O94,$A$4:$J$247,10,FALSE)</f>
        <v>-2825.7944500279264</v>
      </c>
    </row>
    <row r="95" spans="1:28">
      <c r="A95" s="23">
        <f>_xlfn.RANK.EQ(' 5-Forecast Cash Flow + Profits'!AP95,' 5-Forecast Cash Flow + Profits'!$AP$4:$AP$247,0)</f>
        <v>165</v>
      </c>
      <c r="B95" s="23" t="str">
        <f>' 5-Forecast Cash Flow + Profits'!A95</f>
        <v>W181</v>
      </c>
      <c r="C95" s="68">
        <f>' 5-Forecast Cash Flow + Profits'!AD95+' 5-Forecast Cash Flow + Profits'!AI95</f>
        <v>-21977.219034697777</v>
      </c>
      <c r="D95" s="68">
        <f>' 5-Forecast Cash Flow + Profits'!AP95</f>
        <v>-12150.419034697778</v>
      </c>
      <c r="E95" t="s">
        <v>427</v>
      </c>
      <c r="F95" t="s">
        <v>428</v>
      </c>
      <c r="G95" s="63">
        <f>' 5-Forecast Cash Flow + Profits'!AM95</f>
        <v>-30150.419034697778</v>
      </c>
      <c r="H95" s="63">
        <f>' 5-Forecast Cash Flow + Profits'!AN95</f>
        <v>-6150.4190346977757</v>
      </c>
      <c r="I95" s="63">
        <f>' 5-Forecast Cash Flow + Profits'!AO95</f>
        <v>-6150.4190346977757</v>
      </c>
      <c r="J95" s="63">
        <f>' 5-Forecast Cash Flow + Profits'!AP95</f>
        <v>-12150.419034697778</v>
      </c>
      <c r="O95" s="23">
        <v>92</v>
      </c>
      <c r="P95" s="23" t="str">
        <f>VLOOKUP(O95,$A$4:$B$247,2,FALSE)</f>
        <v>W148</v>
      </c>
      <c r="Q95" s="23" t="str">
        <f>VLOOKUP(O95,$A$4:$F$247,5,FALSE)</f>
        <v>Denver</v>
      </c>
      <c r="R95" s="23" t="str">
        <f>VLOOKUP(O95,$A$4:$F$247,6,FALSE)</f>
        <v>CO</v>
      </c>
      <c r="S95" s="68">
        <f>O95*' 5-Forecast Cash Flow + Profits'!$AG$7</f>
        <v>2760000</v>
      </c>
      <c r="T95" s="68">
        <f>VLOOKUP(O95,$A$4:$C$247,3,FALSE)</f>
        <v>-1392.6179021020944</v>
      </c>
      <c r="U95" s="68">
        <f>VLOOKUP(O95,$A$4:$D$247,4,FALSE)</f>
        <v>-3241.8179021020951</v>
      </c>
      <c r="V95" s="89" t="str">
        <f>IF(S95&lt;$L$6,IF(U95&gt;' 5-Forecast Cash Flow + Profits'!$AG$29,"YES","NO"),"NO")</f>
        <v>NO</v>
      </c>
      <c r="W95" s="89" t="str">
        <f>IF(U95&gt;' 5-Forecast Cash Flow + Profits'!$AG$29, "YES", "NO")</f>
        <v>NO</v>
      </c>
      <c r="X95" s="68">
        <f>T95+X94</f>
        <v>1666544.909777707</v>
      </c>
      <c r="Y95" s="68">
        <f>VLOOKUP($O95,$A$4:$J$247,7,FALSE)</f>
        <v>-21241.817902102095</v>
      </c>
      <c r="Z95" s="68">
        <f>VLOOKUP($O95,$A$4:$J$247,8,FALSE)</f>
        <v>2758.1820978979049</v>
      </c>
      <c r="AA95" s="68">
        <f>VLOOKUP($O95,$A$4:$J$247,9,FALSE)</f>
        <v>2758.1820978979049</v>
      </c>
      <c r="AB95" s="68">
        <f>VLOOKUP($O95,$A$4:$J$247,10,FALSE)</f>
        <v>-3241.8179021020951</v>
      </c>
    </row>
    <row r="96" spans="1:28">
      <c r="A96" s="23">
        <f>_xlfn.RANK.EQ(' 5-Forecast Cash Flow + Profits'!AP96,' 5-Forecast Cash Flow + Profits'!$AP$4:$AP$247,0)</f>
        <v>55</v>
      </c>
      <c r="B96" s="23" t="str">
        <f>' 5-Forecast Cash Flow + Profits'!A96</f>
        <v>W182</v>
      </c>
      <c r="C96" s="68">
        <f>' 5-Forecast Cash Flow + Profits'!AD96+' 5-Forecast Cash Flow + Profits'!AI96</f>
        <v>-2803.6287165647154</v>
      </c>
      <c r="D96" s="68">
        <f>' 5-Forecast Cash Flow + Profits'!AP96</f>
        <v>3520.3712834352809</v>
      </c>
      <c r="E96" t="s">
        <v>427</v>
      </c>
      <c r="F96" t="s">
        <v>428</v>
      </c>
      <c r="G96" s="63">
        <f>' 5-Forecast Cash Flow + Profits'!AM96</f>
        <v>-14479.628716564715</v>
      </c>
      <c r="H96" s="63">
        <f>' 5-Forecast Cash Flow + Profits'!AN96</f>
        <v>9520.3712834352809</v>
      </c>
      <c r="I96" s="63">
        <f>' 5-Forecast Cash Flow + Profits'!AO96</f>
        <v>9520.3712834352809</v>
      </c>
      <c r="J96" s="63">
        <f>' 5-Forecast Cash Flow + Profits'!AP96</f>
        <v>3520.3712834352809</v>
      </c>
      <c r="O96" s="23">
        <v>93</v>
      </c>
      <c r="P96" s="23" t="str">
        <f>VLOOKUP(O96,$A$4:$B$247,2,FALSE)</f>
        <v>W215</v>
      </c>
      <c r="Q96" s="23" t="str">
        <f>VLOOKUP(O96,$A$4:$F$247,5,FALSE)</f>
        <v>Columbus</v>
      </c>
      <c r="R96" s="23" t="str">
        <f>VLOOKUP(O96,$A$4:$F$247,6,FALSE)</f>
        <v>OH</v>
      </c>
      <c r="S96" s="68">
        <f>O96*' 5-Forecast Cash Flow + Profits'!$AG$7</f>
        <v>2790000</v>
      </c>
      <c r="T96" s="68">
        <f>VLOOKUP(O96,$A$4:$C$247,3,FALSE)</f>
        <v>-11161.875973033548</v>
      </c>
      <c r="U96" s="68">
        <f>VLOOKUP(O96,$A$4:$D$247,4,FALSE)</f>
        <v>-3436.7559730335524</v>
      </c>
      <c r="V96" s="89" t="str">
        <f>IF(S96&lt;$L$6,IF(U96&gt;' 5-Forecast Cash Flow + Profits'!$AG$29,"YES","NO"),"NO")</f>
        <v>NO</v>
      </c>
      <c r="W96" s="89" t="str">
        <f>IF(U96&gt;' 5-Forecast Cash Flow + Profits'!$AG$29, "YES", "NO")</f>
        <v>NO</v>
      </c>
      <c r="X96" s="68">
        <f>T96+X95</f>
        <v>1655383.0338046735</v>
      </c>
      <c r="Y96" s="68">
        <f>VLOOKUP($O96,$A$4:$J$247,7,FALSE)</f>
        <v>-21436.755973033549</v>
      </c>
      <c r="Z96" s="68">
        <f>VLOOKUP($O96,$A$4:$J$247,8,FALSE)</f>
        <v>2563.2440269664476</v>
      </c>
      <c r="AA96" s="68">
        <f>VLOOKUP($O96,$A$4:$J$247,9,FALSE)</f>
        <v>2563.2440269664476</v>
      </c>
      <c r="AB96" s="68">
        <f>VLOOKUP($O96,$A$4:$J$247,10,FALSE)</f>
        <v>-3436.7559730335524</v>
      </c>
    </row>
    <row r="97" spans="1:28">
      <c r="A97" s="23">
        <f>_xlfn.RANK.EQ(' 5-Forecast Cash Flow + Profits'!AP97,' 5-Forecast Cash Flow + Profits'!$AP$4:$AP$247,0)</f>
        <v>66</v>
      </c>
      <c r="B97" s="23" t="str">
        <f>' 5-Forecast Cash Flow + Profits'!A97</f>
        <v>W183</v>
      </c>
      <c r="C97" s="68">
        <f>' 5-Forecast Cash Flow + Profits'!AD97+' 5-Forecast Cash Flow + Profits'!AI97</f>
        <v>-5762.5963842768615</v>
      </c>
      <c r="D97" s="68">
        <f>' 5-Forecast Cash Flow + Profits'!AP97</f>
        <v>1729.0036157231334</v>
      </c>
      <c r="E97" t="s">
        <v>427</v>
      </c>
      <c r="F97" t="s">
        <v>428</v>
      </c>
      <c r="G97" s="63">
        <f>' 5-Forecast Cash Flow + Profits'!AM97</f>
        <v>-16270.996384276863</v>
      </c>
      <c r="H97" s="63">
        <f>' 5-Forecast Cash Flow + Profits'!AN97</f>
        <v>7729.0036157231334</v>
      </c>
      <c r="I97" s="63">
        <f>' 5-Forecast Cash Flow + Profits'!AO97</f>
        <v>7729.0036157231334</v>
      </c>
      <c r="J97" s="63">
        <f>' 5-Forecast Cash Flow + Profits'!AP97</f>
        <v>1729.0036157231334</v>
      </c>
      <c r="O97" s="23">
        <v>94</v>
      </c>
      <c r="P97" s="23" t="str">
        <f>VLOOKUP(O97,$A$4:$B$247,2,FALSE)</f>
        <v>W125</v>
      </c>
      <c r="Q97" s="23" t="str">
        <f>VLOOKUP(O97,$A$4:$F$247,5,FALSE)</f>
        <v>Bentonville</v>
      </c>
      <c r="R97" s="23" t="str">
        <f>VLOOKUP(O97,$A$4:$F$247,6,FALSE)</f>
        <v>AR</v>
      </c>
      <c r="S97" s="68">
        <f>O97*' 5-Forecast Cash Flow + Profits'!$AG$7</f>
        <v>2820000</v>
      </c>
      <c r="T97" s="68">
        <f>VLOOKUP(O97,$A$4:$C$247,3,FALSE)</f>
        <v>-13317.013781498943</v>
      </c>
      <c r="U97" s="68">
        <f>VLOOKUP(O97,$A$4:$D$247,4,FALSE)</f>
        <v>-3490.2137814989437</v>
      </c>
      <c r="V97" s="89" t="str">
        <f>IF(S97&lt;$L$6,IF(U97&gt;' 5-Forecast Cash Flow + Profits'!$AG$29,"YES","NO"),"NO")</f>
        <v>NO</v>
      </c>
      <c r="W97" s="89" t="str">
        <f>IF(U97&gt;' 5-Forecast Cash Flow + Profits'!$AG$29, "YES", "NO")</f>
        <v>NO</v>
      </c>
      <c r="X97" s="68">
        <f>T97+X96</f>
        <v>1642066.0200231746</v>
      </c>
      <c r="Y97" s="68">
        <f>VLOOKUP($O97,$A$4:$J$247,7,FALSE)</f>
        <v>-21490.213781498944</v>
      </c>
      <c r="Z97" s="68">
        <f>VLOOKUP($O97,$A$4:$J$247,8,FALSE)</f>
        <v>2509.7862185010545</v>
      </c>
      <c r="AA97" s="68">
        <f>VLOOKUP($O97,$A$4:$J$247,9,FALSE)</f>
        <v>2509.7862185010545</v>
      </c>
      <c r="AB97" s="68">
        <f>VLOOKUP($O97,$A$4:$J$247,10,FALSE)</f>
        <v>-3490.2137814989437</v>
      </c>
    </row>
    <row r="98" spans="1:28">
      <c r="A98" s="23">
        <f>_xlfn.RANK.EQ(' 5-Forecast Cash Flow + Profits'!AP98,' 5-Forecast Cash Flow + Profits'!$AP$4:$AP$247,0)</f>
        <v>64</v>
      </c>
      <c r="B98" s="23" t="str">
        <f>' 5-Forecast Cash Flow + Profits'!A98</f>
        <v>W184</v>
      </c>
      <c r="C98" s="68">
        <f>' 5-Forecast Cash Flow + Profits'!AD98+' 5-Forecast Cash Flow + Profits'!AI98</f>
        <v>-1802.716385070722</v>
      </c>
      <c r="D98" s="68">
        <f>' 5-Forecast Cash Flow + Profits'!AP98</f>
        <v>2186.0836149292809</v>
      </c>
      <c r="E98" t="s">
        <v>427</v>
      </c>
      <c r="F98" t="s">
        <v>428</v>
      </c>
      <c r="G98" s="63">
        <f>' 5-Forecast Cash Flow + Profits'!AM98</f>
        <v>-15813.916385070719</v>
      </c>
      <c r="H98" s="63">
        <f>' 5-Forecast Cash Flow + Profits'!AN98</f>
        <v>8186.0836149292827</v>
      </c>
      <c r="I98" s="63">
        <f>' 5-Forecast Cash Flow + Profits'!AO98</f>
        <v>8186.0836149292827</v>
      </c>
      <c r="J98" s="63">
        <f>' 5-Forecast Cash Flow + Profits'!AP98</f>
        <v>2186.0836149292809</v>
      </c>
      <c r="O98" s="23">
        <v>95</v>
      </c>
      <c r="P98" s="23" t="str">
        <f>VLOOKUP(O98,$A$4:$B$247,2,FALSE)</f>
        <v>W138</v>
      </c>
      <c r="Q98" s="23" t="str">
        <f>VLOOKUP(O98,$A$4:$F$247,5,FALSE)</f>
        <v>Denver</v>
      </c>
      <c r="R98" s="23" t="str">
        <f>VLOOKUP(O98,$A$4:$F$247,6,FALSE)</f>
        <v>CO</v>
      </c>
      <c r="S98" s="68">
        <f>O98*' 5-Forecast Cash Flow + Profits'!$AG$7</f>
        <v>2850000</v>
      </c>
      <c r="T98" s="68">
        <f>VLOOKUP(O98,$A$4:$C$247,3,FALSE)</f>
        <v>-4049.210003939028</v>
      </c>
      <c r="U98" s="68">
        <f>VLOOKUP(O98,$A$4:$D$247,4,FALSE)</f>
        <v>-3563.210003939028</v>
      </c>
      <c r="V98" s="89" t="str">
        <f>IF(S98&lt;$L$6,IF(U98&gt;' 5-Forecast Cash Flow + Profits'!$AG$29,"YES","NO"),"NO")</f>
        <v>NO</v>
      </c>
      <c r="W98" s="89" t="str">
        <f>IF(U98&gt;' 5-Forecast Cash Flow + Profits'!$AG$29, "YES", "NO")</f>
        <v>NO</v>
      </c>
      <c r="X98" s="68">
        <f>T98+X97</f>
        <v>1638016.8100192356</v>
      </c>
      <c r="Y98" s="68">
        <f>VLOOKUP($O98,$A$4:$J$247,7,FALSE)</f>
        <v>-21563.210003939028</v>
      </c>
      <c r="Z98" s="68">
        <f>VLOOKUP($O98,$A$4:$J$247,8,FALSE)</f>
        <v>2436.7899960609739</v>
      </c>
      <c r="AA98" s="68">
        <f>VLOOKUP($O98,$A$4:$J$247,9,FALSE)</f>
        <v>2436.7899960609739</v>
      </c>
      <c r="AB98" s="68">
        <f>VLOOKUP($O98,$A$4:$J$247,10,FALSE)</f>
        <v>-3563.210003939028</v>
      </c>
    </row>
    <row r="99" spans="1:28">
      <c r="A99" s="23">
        <f>_xlfn.RANK.EQ(' 5-Forecast Cash Flow + Profits'!AP99,' 5-Forecast Cash Flow + Profits'!$AP$4:$AP$247,0)</f>
        <v>164</v>
      </c>
      <c r="B99" s="23" t="str">
        <f>' 5-Forecast Cash Flow + Profits'!A99</f>
        <v>W185</v>
      </c>
      <c r="C99" s="68">
        <f>' 5-Forecast Cash Flow + Profits'!AD99+' 5-Forecast Cash Flow + Profits'!AI99</f>
        <v>-17162.31969021049</v>
      </c>
      <c r="D99" s="68">
        <f>' 5-Forecast Cash Flow + Profits'!AP99</f>
        <v>-12005.91969021049</v>
      </c>
      <c r="E99" t="s">
        <v>431</v>
      </c>
      <c r="F99" t="s">
        <v>418</v>
      </c>
      <c r="G99" s="63">
        <f>' 5-Forecast Cash Flow + Profits'!AM99</f>
        <v>-30005.919690210489</v>
      </c>
      <c r="H99" s="63">
        <f>' 5-Forecast Cash Flow + Profits'!AN99</f>
        <v>-6005.9196902104904</v>
      </c>
      <c r="I99" s="63">
        <f>' 5-Forecast Cash Flow + Profits'!AO99</f>
        <v>-6005.9196902104904</v>
      </c>
      <c r="J99" s="63">
        <f>' 5-Forecast Cash Flow + Profits'!AP99</f>
        <v>-12005.91969021049</v>
      </c>
      <c r="O99" s="23">
        <v>96</v>
      </c>
      <c r="P99" s="23" t="str">
        <f>VLOOKUP(O99,$A$4:$B$247,2,FALSE)</f>
        <v>W197</v>
      </c>
      <c r="Q99" s="23" t="str">
        <f>VLOOKUP(O99,$A$4:$F$247,5,FALSE)</f>
        <v>San Diego</v>
      </c>
      <c r="R99" s="23" t="str">
        <f>VLOOKUP(O99,$A$4:$F$247,6,FALSE)</f>
        <v>CA</v>
      </c>
      <c r="S99" s="68">
        <f>O99*' 5-Forecast Cash Flow + Profits'!$AG$7</f>
        <v>2880000</v>
      </c>
      <c r="T99" s="68">
        <f>VLOOKUP(O99,$A$4:$C$247,3,FALSE)</f>
        <v>-1104.9492720840135</v>
      </c>
      <c r="U99" s="68">
        <f>VLOOKUP(O99,$A$4:$D$247,4,FALSE)</f>
        <v>-4121.7492720840128</v>
      </c>
      <c r="V99" s="89" t="str">
        <f>IF(S99&lt;$L$6,IF(U99&gt;' 5-Forecast Cash Flow + Profits'!$AG$29,"YES","NO"),"NO")</f>
        <v>NO</v>
      </c>
      <c r="W99" s="89" t="str">
        <f>IF(U99&gt;' 5-Forecast Cash Flow + Profits'!$AG$29, "YES", "NO")</f>
        <v>NO</v>
      </c>
      <c r="X99" s="68">
        <f>T99+X98</f>
        <v>1636911.8607471515</v>
      </c>
      <c r="Y99" s="68">
        <f>VLOOKUP($O99,$A$4:$J$247,7,FALSE)</f>
        <v>-22121.749272084013</v>
      </c>
      <c r="Z99" s="68">
        <f>VLOOKUP($O99,$A$4:$J$247,8,FALSE)</f>
        <v>1878.2507279159872</v>
      </c>
      <c r="AA99" s="68">
        <f>VLOOKUP($O99,$A$4:$J$247,9,FALSE)</f>
        <v>1878.2507279159872</v>
      </c>
      <c r="AB99" s="68">
        <f>VLOOKUP($O99,$A$4:$J$247,10,FALSE)</f>
        <v>-4121.7492720840128</v>
      </c>
    </row>
    <row r="100" spans="1:28">
      <c r="A100" s="23">
        <f>_xlfn.RANK.EQ(' 5-Forecast Cash Flow + Profits'!AP100,' 5-Forecast Cash Flow + Profits'!$AP$4:$AP$247,0)</f>
        <v>59</v>
      </c>
      <c r="B100" s="23" t="str">
        <f>' 5-Forecast Cash Flow + Profits'!A100</f>
        <v>W186</v>
      </c>
      <c r="C100" s="68">
        <f>' 5-Forecast Cash Flow + Profits'!AD100+' 5-Forecast Cash Flow + Profits'!AI100</f>
        <v>1453.9769083919891</v>
      </c>
      <c r="D100" s="68">
        <f>' 5-Forecast Cash Flow + Profits'!AP100</f>
        <v>3107.5769083919913</v>
      </c>
      <c r="E100" t="s">
        <v>431</v>
      </c>
      <c r="F100" t="s">
        <v>418</v>
      </c>
      <c r="G100" s="63">
        <f>' 5-Forecast Cash Flow + Profits'!AM100</f>
        <v>-14892.423091608012</v>
      </c>
      <c r="H100" s="63">
        <f>' 5-Forecast Cash Flow + Profits'!AN100</f>
        <v>9107.5769083919913</v>
      </c>
      <c r="I100" s="63">
        <f>' 5-Forecast Cash Flow + Profits'!AO100</f>
        <v>9107.5769083919913</v>
      </c>
      <c r="J100" s="63">
        <f>' 5-Forecast Cash Flow + Profits'!AP100</f>
        <v>3107.5769083919913</v>
      </c>
      <c r="O100" s="23">
        <v>97</v>
      </c>
      <c r="P100" s="23" t="str">
        <f>VLOOKUP(O100,$A$4:$B$247,2,FALSE)</f>
        <v>W236</v>
      </c>
      <c r="Q100" s="23" t="str">
        <f>VLOOKUP(O100,$A$4:$F$247,5,FALSE)</f>
        <v>Charleston</v>
      </c>
      <c r="R100" s="23" t="str">
        <f>VLOOKUP(O100,$A$4:$F$247,6,FALSE)</f>
        <v>SC</v>
      </c>
      <c r="S100" s="68">
        <f>O100*' 5-Forecast Cash Flow + Profits'!$AG$7</f>
        <v>2910000</v>
      </c>
      <c r="T100" s="68">
        <f>VLOOKUP(O100,$A$4:$C$247,3,FALSE)</f>
        <v>1171.1540107905093</v>
      </c>
      <c r="U100" s="68">
        <f>VLOOKUP(O100,$A$4:$D$247,4,FALSE)</f>
        <v>-4122.4659892094933</v>
      </c>
      <c r="V100" s="89" t="str">
        <f>IF(S100&lt;$L$6,IF(U100&gt;' 5-Forecast Cash Flow + Profits'!$AG$29,"YES","NO"),"NO")</f>
        <v>NO</v>
      </c>
      <c r="W100" s="89" t="str">
        <f>IF(U100&gt;' 5-Forecast Cash Flow + Profits'!$AG$29, "YES", "NO")</f>
        <v>NO</v>
      </c>
      <c r="X100" s="68">
        <f>T100+X99</f>
        <v>1638083.0147579419</v>
      </c>
      <c r="Y100" s="68">
        <f>VLOOKUP($O100,$A$4:$J$247,7,FALSE)</f>
        <v>-22122.46598920949</v>
      </c>
      <c r="Z100" s="68">
        <f>VLOOKUP($O100,$A$4:$J$247,8,FALSE)</f>
        <v>1877.5340107905067</v>
      </c>
      <c r="AA100" s="68">
        <f>VLOOKUP($O100,$A$4:$J$247,9,FALSE)</f>
        <v>1877.5340107905067</v>
      </c>
      <c r="AB100" s="68">
        <f>VLOOKUP($O100,$A$4:$J$247,10,FALSE)</f>
        <v>-4122.4659892094933</v>
      </c>
    </row>
    <row r="101" spans="1:28">
      <c r="A101" s="23">
        <f>_xlfn.RANK.EQ(' 5-Forecast Cash Flow + Profits'!AP101,' 5-Forecast Cash Flow + Profits'!$AP$4:$AP$247,0)</f>
        <v>42</v>
      </c>
      <c r="B101" s="23" t="str">
        <f>' 5-Forecast Cash Flow + Profits'!A101</f>
        <v>W187</v>
      </c>
      <c r="C101" s="68">
        <f>' 5-Forecast Cash Flow + Profits'!AD101+' 5-Forecast Cash Flow + Profits'!AI101</f>
        <v>2948.050516860756</v>
      </c>
      <c r="D101" s="68">
        <f>' 5-Forecast Cash Flow + Profits'!AP101</f>
        <v>5769.2505168607568</v>
      </c>
      <c r="E101" t="s">
        <v>431</v>
      </c>
      <c r="F101" t="s">
        <v>418</v>
      </c>
      <c r="G101" s="63">
        <f>' 5-Forecast Cash Flow + Profits'!AM101</f>
        <v>-12230.749483139243</v>
      </c>
      <c r="H101" s="63">
        <f>' 5-Forecast Cash Flow + Profits'!AN101</f>
        <v>11769.250516860757</v>
      </c>
      <c r="I101" s="63">
        <f>' 5-Forecast Cash Flow + Profits'!AO101</f>
        <v>11769.250516860757</v>
      </c>
      <c r="J101" s="63">
        <f>' 5-Forecast Cash Flow + Profits'!AP101</f>
        <v>5769.2505168607568</v>
      </c>
      <c r="O101" s="23">
        <v>98</v>
      </c>
      <c r="P101" s="23" t="str">
        <f>VLOOKUP(O101,$A$4:$B$247,2,FALSE)</f>
        <v>W22</v>
      </c>
      <c r="Q101" s="23" t="str">
        <f>VLOOKUP(O101,$A$4:$F$247,5,FALSE)</f>
        <v>Chicago</v>
      </c>
      <c r="R101" s="23" t="str">
        <f>VLOOKUP(O101,$A$4:$F$247,6,FALSE)</f>
        <v>IL</v>
      </c>
      <c r="S101" s="68">
        <f>O101*' 5-Forecast Cash Flow + Profits'!$AG$7</f>
        <v>2940000</v>
      </c>
      <c r="T101" s="68">
        <f>VLOOKUP(O101,$A$4:$C$247,3,FALSE)</f>
        <v>9295.5452402418232</v>
      </c>
      <c r="U101" s="68">
        <f>VLOOKUP(O101,$A$4:$D$247,4,FALSE)</f>
        <v>-4229.6547597581812</v>
      </c>
      <c r="V101" s="89" t="str">
        <f>IF(S101&lt;$L$6,IF(U101&gt;' 5-Forecast Cash Flow + Profits'!$AG$29,"YES","NO"),"NO")</f>
        <v>NO</v>
      </c>
      <c r="W101" s="89" t="str">
        <f>IF(U101&gt;' 5-Forecast Cash Flow + Profits'!$AG$29, "YES", "NO")</f>
        <v>NO</v>
      </c>
      <c r="X101" s="68">
        <f>T101+X100</f>
        <v>1647378.5599981837</v>
      </c>
      <c r="Y101" s="68">
        <f>VLOOKUP($O101,$A$4:$J$247,7,FALSE)</f>
        <v>-22229.654759758178</v>
      </c>
      <c r="Z101" s="68">
        <f>VLOOKUP($O101,$A$4:$J$247,8,FALSE)</f>
        <v>1770.3452402418188</v>
      </c>
      <c r="AA101" s="68">
        <f>VLOOKUP($O101,$A$4:$J$247,9,FALSE)</f>
        <v>1770.3452402418188</v>
      </c>
      <c r="AB101" s="68">
        <f>VLOOKUP($O101,$A$4:$J$247,10,FALSE)</f>
        <v>-4229.6547597581812</v>
      </c>
    </row>
    <row r="102" spans="1:28">
      <c r="A102" s="23">
        <f>_xlfn.RANK.EQ(' 5-Forecast Cash Flow + Profits'!AP102,' 5-Forecast Cash Flow + Profits'!$AP$4:$AP$247,0)</f>
        <v>20</v>
      </c>
      <c r="B102" s="23" t="str">
        <f>' 5-Forecast Cash Flow + Profits'!A102</f>
        <v>W188</v>
      </c>
      <c r="C102" s="68">
        <f>' 5-Forecast Cash Flow + Profits'!AD102+' 5-Forecast Cash Flow + Profits'!AI102</f>
        <v>24052.385604422678</v>
      </c>
      <c r="D102" s="68">
        <f>' 5-Forecast Cash Flow + Profits'!AP102</f>
        <v>19867.985604422684</v>
      </c>
      <c r="E102" t="s">
        <v>431</v>
      </c>
      <c r="F102" t="s">
        <v>418</v>
      </c>
      <c r="G102" s="63">
        <f>' 5-Forecast Cash Flow + Profits'!AM102</f>
        <v>1867.9856044226835</v>
      </c>
      <c r="H102" s="63">
        <f>' 5-Forecast Cash Flow + Profits'!AN102</f>
        <v>25867.985604422684</v>
      </c>
      <c r="I102" s="63">
        <f>' 5-Forecast Cash Flow + Profits'!AO102</f>
        <v>25867.985604422684</v>
      </c>
      <c r="J102" s="63">
        <f>' 5-Forecast Cash Flow + Profits'!AP102</f>
        <v>19867.985604422684</v>
      </c>
      <c r="O102" s="23">
        <v>99</v>
      </c>
      <c r="P102" s="23" t="str">
        <f>VLOOKUP(O102,$A$4:$B$247,2,FALSE)</f>
        <v>W170</v>
      </c>
      <c r="Q102" s="23" t="str">
        <f>VLOOKUP(O102,$A$4:$F$247,5,FALSE)</f>
        <v>Omaha</v>
      </c>
      <c r="R102" s="23" t="str">
        <f>VLOOKUP(O102,$A$4:$F$247,6,FALSE)</f>
        <v>NE</v>
      </c>
      <c r="S102" s="68">
        <f>O102*' 5-Forecast Cash Flow + Profits'!$AG$7</f>
        <v>2970000</v>
      </c>
      <c r="T102" s="68">
        <f>VLOOKUP(O102,$A$4:$C$247,3,FALSE)</f>
        <v>-6078.4612038540945</v>
      </c>
      <c r="U102" s="68">
        <f>VLOOKUP(O102,$A$4:$D$247,4,FALSE)</f>
        <v>-4424.8612038540959</v>
      </c>
      <c r="V102" s="89" t="str">
        <f>IF(S102&lt;$L$6,IF(U102&gt;' 5-Forecast Cash Flow + Profits'!$AG$29,"YES","NO"),"NO")</f>
        <v>NO</v>
      </c>
      <c r="W102" s="89" t="str">
        <f>IF(U102&gt;' 5-Forecast Cash Flow + Profits'!$AG$29, "YES", "NO")</f>
        <v>NO</v>
      </c>
      <c r="X102" s="68">
        <f>T102+X101</f>
        <v>1641300.0987943297</v>
      </c>
      <c r="Y102" s="68">
        <f>VLOOKUP($O102,$A$4:$J$247,7,FALSE)</f>
        <v>-22424.861203854096</v>
      </c>
      <c r="Z102" s="68">
        <f>VLOOKUP($O102,$A$4:$J$247,8,FALSE)</f>
        <v>1575.1387961459041</v>
      </c>
      <c r="AA102" s="68">
        <f>VLOOKUP($O102,$A$4:$J$247,9,FALSE)</f>
        <v>1575.1387961459041</v>
      </c>
      <c r="AB102" s="68">
        <f>VLOOKUP($O102,$A$4:$J$247,10,FALSE)</f>
        <v>-4424.8612038540959</v>
      </c>
    </row>
    <row r="103" spans="1:28">
      <c r="A103" s="23">
        <f>_xlfn.RANK.EQ(' 5-Forecast Cash Flow + Profits'!AP103,' 5-Forecast Cash Flow + Profits'!$AP$4:$AP$247,0)</f>
        <v>50</v>
      </c>
      <c r="B103" s="23" t="str">
        <f>' 5-Forecast Cash Flow + Profits'!A103</f>
        <v>W189</v>
      </c>
      <c r="C103" s="68">
        <f>' 5-Forecast Cash Flow + Profits'!AD103+' 5-Forecast Cash Flow + Profits'!AI103</f>
        <v>-2918.0410629789403</v>
      </c>
      <c r="D103" s="68">
        <f>' 5-Forecast Cash Flow + Profits'!AP103</f>
        <v>4573.5589370210582</v>
      </c>
      <c r="E103" t="s">
        <v>431</v>
      </c>
      <c r="F103" t="s">
        <v>418</v>
      </c>
      <c r="G103" s="63">
        <f>' 5-Forecast Cash Flow + Profits'!AM103</f>
        <v>-13426.441062978942</v>
      </c>
      <c r="H103" s="63">
        <f>' 5-Forecast Cash Flow + Profits'!AN103</f>
        <v>10573.558937021058</v>
      </c>
      <c r="I103" s="63">
        <f>' 5-Forecast Cash Flow + Profits'!AO103</f>
        <v>10573.558937021058</v>
      </c>
      <c r="J103" s="63">
        <f>' 5-Forecast Cash Flow + Profits'!AP103</f>
        <v>4573.5589370210582</v>
      </c>
      <c r="O103" s="23">
        <v>100</v>
      </c>
      <c r="P103" s="23" t="str">
        <f>VLOOKUP(O103,$A$4:$B$247,2,FALSE)</f>
        <v>W139</v>
      </c>
      <c r="Q103" s="23" t="str">
        <f>VLOOKUP(O103,$A$4:$F$247,5,FALSE)</f>
        <v>Denver</v>
      </c>
      <c r="R103" s="23" t="str">
        <f>VLOOKUP(O103,$A$4:$F$247,6,FALSE)</f>
        <v>CO</v>
      </c>
      <c r="S103" s="68">
        <f>O103*' 5-Forecast Cash Flow + Profits'!$AG$7</f>
        <v>3000000</v>
      </c>
      <c r="T103" s="68">
        <f>VLOOKUP(O103,$A$4:$C$247,3,FALSE)</f>
        <v>-7305.7228984275862</v>
      </c>
      <c r="U103" s="68">
        <f>VLOOKUP(O103,$A$4:$D$247,4,FALSE)</f>
        <v>-4484.5228984275891</v>
      </c>
      <c r="V103" s="89" t="str">
        <f>IF(S103&lt;$L$6,IF(U103&gt;' 5-Forecast Cash Flow + Profits'!$AG$29,"YES","NO"),"NO")</f>
        <v>NO</v>
      </c>
      <c r="W103" s="89" t="str">
        <f>IF(U103&gt;' 5-Forecast Cash Flow + Profits'!$AG$29, "YES", "NO")</f>
        <v>NO</v>
      </c>
      <c r="X103" s="68">
        <f>T103+X102</f>
        <v>1633994.375895902</v>
      </c>
      <c r="Y103" s="68">
        <f>VLOOKUP($O103,$A$4:$J$247,7,FALSE)</f>
        <v>-22484.522898427585</v>
      </c>
      <c r="Z103" s="68">
        <f>VLOOKUP($O103,$A$4:$J$247,8,FALSE)</f>
        <v>1515.4771015724109</v>
      </c>
      <c r="AA103" s="68">
        <f>VLOOKUP($O103,$A$4:$J$247,9,FALSE)</f>
        <v>1515.4771015724109</v>
      </c>
      <c r="AB103" s="68">
        <f>VLOOKUP($O103,$A$4:$J$247,10,FALSE)</f>
        <v>-4484.5228984275891</v>
      </c>
    </row>
    <row r="104" spans="1:28">
      <c r="A104" s="23">
        <f>_xlfn.RANK.EQ(' 5-Forecast Cash Flow + Profits'!AP104,' 5-Forecast Cash Flow + Profits'!$AP$4:$AP$247,0)</f>
        <v>46</v>
      </c>
      <c r="B104" s="23" t="str">
        <f>' 5-Forecast Cash Flow + Profits'!A104</f>
        <v>W19</v>
      </c>
      <c r="C104" s="68">
        <f>' 5-Forecast Cash Flow + Profits'!AD104+' 5-Forecast Cash Flow + Profits'!AI104</f>
        <v>19820.636260008912</v>
      </c>
      <c r="D104" s="68">
        <f>' 5-Forecast Cash Flow + Profits'!AP104</f>
        <v>5127.8362600089167</v>
      </c>
      <c r="E104" t="s">
        <v>429</v>
      </c>
      <c r="F104" t="s">
        <v>430</v>
      </c>
      <c r="G104" s="63">
        <f>' 5-Forecast Cash Flow + Profits'!AM104</f>
        <v>-12872.163739991087</v>
      </c>
      <c r="H104" s="63">
        <f>' 5-Forecast Cash Flow + Profits'!AN104</f>
        <v>11127.836260008917</v>
      </c>
      <c r="I104" s="63">
        <f>' 5-Forecast Cash Flow + Profits'!AO104</f>
        <v>11127.836260008917</v>
      </c>
      <c r="J104" s="63">
        <f>' 5-Forecast Cash Flow + Profits'!AP104</f>
        <v>5127.8362600089167</v>
      </c>
      <c r="O104" s="23">
        <v>101</v>
      </c>
      <c r="P104" s="23" t="str">
        <f>VLOOKUP(O104,$A$4:$B$247,2,FALSE)</f>
        <v>W106</v>
      </c>
      <c r="Q104" s="23" t="str">
        <f>VLOOKUP(O104,$A$4:$F$247,5,FALSE)</f>
        <v>Austin</v>
      </c>
      <c r="R104" s="23" t="str">
        <f>VLOOKUP(O104,$A$4:$F$247,6,FALSE)</f>
        <v>TX</v>
      </c>
      <c r="S104" s="68">
        <f>O104*' 5-Forecast Cash Flow + Profits'!$AG$7</f>
        <v>3030000</v>
      </c>
      <c r="T104" s="68">
        <f>VLOOKUP(O104,$A$4:$C$247,3,FALSE)</f>
        <v>-308.52971715632884</v>
      </c>
      <c r="U104" s="68">
        <f>VLOOKUP(O104,$A$4:$D$247,4,FALSE)</f>
        <v>-4492.929717156323</v>
      </c>
      <c r="V104" s="89" t="str">
        <f>IF(S104&lt;$L$6,IF(U104&gt;' 5-Forecast Cash Flow + Profits'!$AG$29,"YES","NO"),"NO")</f>
        <v>NO</v>
      </c>
      <c r="W104" s="89" t="str">
        <f>IF(U104&gt;' 5-Forecast Cash Flow + Profits'!$AG$29, "YES", "NO")</f>
        <v>NO</v>
      </c>
      <c r="X104" s="68">
        <f>T104+X103</f>
        <v>1633685.8461787456</v>
      </c>
      <c r="Y104" s="68">
        <f>VLOOKUP($O104,$A$4:$J$247,7,FALSE)</f>
        <v>-22492.929717156327</v>
      </c>
      <c r="Z104" s="68">
        <f>VLOOKUP($O104,$A$4:$J$247,8,FALSE)</f>
        <v>1507.070282843677</v>
      </c>
      <c r="AA104" s="68">
        <f>VLOOKUP($O104,$A$4:$J$247,9,FALSE)</f>
        <v>1507.070282843677</v>
      </c>
      <c r="AB104" s="68">
        <f>VLOOKUP($O104,$A$4:$J$247,10,FALSE)</f>
        <v>-4492.929717156323</v>
      </c>
    </row>
    <row r="105" spans="1:28">
      <c r="A105" s="23">
        <f>_xlfn.RANK.EQ(' 5-Forecast Cash Flow + Profits'!AP105,' 5-Forecast Cash Flow + Profits'!$AP$4:$AP$247,0)</f>
        <v>9</v>
      </c>
      <c r="B105" s="23" t="str">
        <f>' 5-Forecast Cash Flow + Profits'!A105</f>
        <v>W190</v>
      </c>
      <c r="C105" s="68">
        <f>' 5-Forecast Cash Flow + Profits'!AD105+' 5-Forecast Cash Flow + Profits'!AI105</f>
        <v>33854.645421529851</v>
      </c>
      <c r="D105" s="68">
        <f>' 5-Forecast Cash Flow + Profits'!AP105</f>
        <v>39011.045421529852</v>
      </c>
      <c r="E105" t="s">
        <v>431</v>
      </c>
      <c r="F105" t="s">
        <v>418</v>
      </c>
      <c r="G105" s="63">
        <f>' 5-Forecast Cash Flow + Profits'!AM105</f>
        <v>21011.045421529852</v>
      </c>
      <c r="H105" s="63">
        <f>' 5-Forecast Cash Flow + Profits'!AN105</f>
        <v>45011.045421529852</v>
      </c>
      <c r="I105" s="63">
        <f>' 5-Forecast Cash Flow + Profits'!AO105</f>
        <v>45011.045421529852</v>
      </c>
      <c r="J105" s="63">
        <f>' 5-Forecast Cash Flow + Profits'!AP105</f>
        <v>39011.045421529852</v>
      </c>
      <c r="O105" s="23">
        <v>102</v>
      </c>
      <c r="P105" s="23" t="str">
        <f>VLOOKUP(O105,$A$4:$B$247,2,FALSE)</f>
        <v>W207</v>
      </c>
      <c r="Q105" s="23" t="str">
        <f>VLOOKUP(O105,$A$4:$F$247,5,FALSE)</f>
        <v>Columbus</v>
      </c>
      <c r="R105" s="23" t="str">
        <f>VLOOKUP(O105,$A$4:$F$247,6,FALSE)</f>
        <v>OH</v>
      </c>
      <c r="S105" s="68">
        <f>O105*' 5-Forecast Cash Flow + Profits'!$AG$7</f>
        <v>3060000</v>
      </c>
      <c r="T105" s="68">
        <f>VLOOKUP(O105,$A$4:$C$247,3,FALSE)</f>
        <v>-12067.551736980055</v>
      </c>
      <c r="U105" s="68">
        <f>VLOOKUP(O105,$A$4:$D$247,4,FALSE)</f>
        <v>-4575.9517369800524</v>
      </c>
      <c r="V105" s="89" t="str">
        <f>IF(S105&lt;$L$6,IF(U105&gt;' 5-Forecast Cash Flow + Profits'!$AG$29,"YES","NO"),"NO")</f>
        <v>NO</v>
      </c>
      <c r="W105" s="89" t="str">
        <f>IF(U105&gt;' 5-Forecast Cash Flow + Profits'!$AG$29, "YES", "NO")</f>
        <v>NO</v>
      </c>
      <c r="X105" s="68">
        <f>T105+X104</f>
        <v>1621618.2944417656</v>
      </c>
      <c r="Y105" s="68">
        <f>VLOOKUP($O105,$A$4:$J$247,7,FALSE)</f>
        <v>-22575.951736980052</v>
      </c>
      <c r="Z105" s="68">
        <f>VLOOKUP($O105,$A$4:$J$247,8,FALSE)</f>
        <v>1424.0482630199476</v>
      </c>
      <c r="AA105" s="68">
        <f>VLOOKUP($O105,$A$4:$J$247,9,FALSE)</f>
        <v>1424.0482630199476</v>
      </c>
      <c r="AB105" s="68">
        <f>VLOOKUP($O105,$A$4:$J$247,10,FALSE)</f>
        <v>-4575.9517369800524</v>
      </c>
    </row>
    <row r="106" spans="1:28">
      <c r="A106" s="23">
        <f>_xlfn.RANK.EQ(' 5-Forecast Cash Flow + Profits'!AP106,' 5-Forecast Cash Flow + Profits'!$AP$4:$AP$247,0)</f>
        <v>75</v>
      </c>
      <c r="B106" s="23" t="str">
        <f>' 5-Forecast Cash Flow + Profits'!A106</f>
        <v>W191</v>
      </c>
      <c r="C106" s="68">
        <f>' 5-Forecast Cash Flow + Profits'!AD106+' 5-Forecast Cash Flow + Profits'!AI106</f>
        <v>-2718.0070331266688</v>
      </c>
      <c r="D106" s="68">
        <f>' 5-Forecast Cash Flow + Profits'!AP106</f>
        <v>103.1929668733319</v>
      </c>
      <c r="E106" t="s">
        <v>431</v>
      </c>
      <c r="F106" t="s">
        <v>418</v>
      </c>
      <c r="G106" s="63">
        <f>' 5-Forecast Cash Flow + Profits'!AM106</f>
        <v>-17896.807033126668</v>
      </c>
      <c r="H106" s="63">
        <f>' 5-Forecast Cash Flow + Profits'!AN106</f>
        <v>6103.1929668733301</v>
      </c>
      <c r="I106" s="63">
        <f>' 5-Forecast Cash Flow + Profits'!AO106</f>
        <v>6103.1929668733301</v>
      </c>
      <c r="J106" s="63">
        <f>' 5-Forecast Cash Flow + Profits'!AP106</f>
        <v>103.1929668733319</v>
      </c>
      <c r="O106" s="23">
        <v>103</v>
      </c>
      <c r="P106" s="23" t="str">
        <f>VLOOKUP(O106,$A$4:$B$247,2,FALSE)</f>
        <v>W158</v>
      </c>
      <c r="Q106" s="23" t="str">
        <f>VLOOKUP(O106,$A$4:$F$247,5,FALSE)</f>
        <v>Miami</v>
      </c>
      <c r="R106" s="23" t="str">
        <f>VLOOKUP(O106,$A$4:$F$247,6,FALSE)</f>
        <v>FL</v>
      </c>
      <c r="S106" s="68">
        <f>O106*' 5-Forecast Cash Flow + Profits'!$AG$7</f>
        <v>3090000</v>
      </c>
      <c r="T106" s="68">
        <f>VLOOKUP(O106,$A$4:$C$247,3,FALSE)</f>
        <v>-2968.7161076648408</v>
      </c>
      <c r="U106" s="68">
        <f>VLOOKUP(O106,$A$4:$D$247,4,FALSE)</f>
        <v>-4817.9161076648452</v>
      </c>
      <c r="V106" s="89" t="str">
        <f>IF(S106&lt;$L$6,IF(U106&gt;' 5-Forecast Cash Flow + Profits'!$AG$29,"YES","NO"),"NO")</f>
        <v>NO</v>
      </c>
      <c r="W106" s="89" t="str">
        <f>IF(U106&gt;' 5-Forecast Cash Flow + Profits'!$AG$29, "YES", "NO")</f>
        <v>NO</v>
      </c>
      <c r="X106" s="68">
        <f>T106+X105</f>
        <v>1618649.5783341008</v>
      </c>
      <c r="Y106" s="68">
        <f>VLOOKUP($O106,$A$4:$J$247,7,FALSE)</f>
        <v>-22817.916107664842</v>
      </c>
      <c r="Z106" s="68">
        <f>VLOOKUP($O106,$A$4:$J$247,8,FALSE)</f>
        <v>1182.0838923351548</v>
      </c>
      <c r="AA106" s="68">
        <f>VLOOKUP($O106,$A$4:$J$247,9,FALSE)</f>
        <v>1182.0838923351548</v>
      </c>
      <c r="AB106" s="68">
        <f>VLOOKUP($O106,$A$4:$J$247,10,FALSE)</f>
        <v>-4817.9161076648452</v>
      </c>
    </row>
    <row r="107" spans="1:28">
      <c r="A107" s="23">
        <f>_xlfn.RANK.EQ(' 5-Forecast Cash Flow + Profits'!AP107,' 5-Forecast Cash Flow + Profits'!$AP$4:$AP$247,0)</f>
        <v>15</v>
      </c>
      <c r="B107" s="23" t="str">
        <f>' 5-Forecast Cash Flow + Profits'!A107</f>
        <v>W192</v>
      </c>
      <c r="C107" s="68">
        <f>' 5-Forecast Cash Flow + Profits'!AD107+' 5-Forecast Cash Flow + Profits'!AI107</f>
        <v>27197.537580274555</v>
      </c>
      <c r="D107" s="68">
        <f>' 5-Forecast Cash Flow + Profits'!AP107</f>
        <v>26515.937580274556</v>
      </c>
      <c r="E107" t="s">
        <v>431</v>
      </c>
      <c r="F107" t="s">
        <v>418</v>
      </c>
      <c r="G107" s="63">
        <f>' 5-Forecast Cash Flow + Profits'!AM107</f>
        <v>8515.9375802745562</v>
      </c>
      <c r="H107" s="63">
        <f>' 5-Forecast Cash Flow + Profits'!AN107</f>
        <v>32515.937580274556</v>
      </c>
      <c r="I107" s="63">
        <f>' 5-Forecast Cash Flow + Profits'!AO107</f>
        <v>32515.937580274556</v>
      </c>
      <c r="J107" s="63">
        <f>' 5-Forecast Cash Flow + Profits'!AP107</f>
        <v>26515.937580274556</v>
      </c>
      <c r="O107" s="23">
        <v>104</v>
      </c>
      <c r="P107" s="23" t="str">
        <f>VLOOKUP(O107,$A$4:$B$247,2,FALSE)</f>
        <v>W208</v>
      </c>
      <c r="Q107" s="23" t="str">
        <f>VLOOKUP(O107,$A$4:$F$247,5,FALSE)</f>
        <v>Columbus</v>
      </c>
      <c r="R107" s="23" t="str">
        <f>VLOOKUP(O107,$A$4:$F$247,6,FALSE)</f>
        <v>OH</v>
      </c>
      <c r="S107" s="68">
        <f>O107*' 5-Forecast Cash Flow + Profits'!$AG$7</f>
        <v>3120000</v>
      </c>
      <c r="T107" s="68">
        <f>VLOOKUP(O107,$A$4:$C$247,3,FALSE)</f>
        <v>-6531.3816563035143</v>
      </c>
      <c r="U107" s="68">
        <f>VLOOKUP(O107,$A$4:$D$247,4,FALSE)</f>
        <v>-4877.7816563035158</v>
      </c>
      <c r="V107" s="89" t="str">
        <f>IF(S107&lt;$L$6,IF(U107&gt;' 5-Forecast Cash Flow + Profits'!$AG$29,"YES","NO"),"NO")</f>
        <v>NO</v>
      </c>
      <c r="W107" s="89" t="str">
        <f>IF(U107&gt;' 5-Forecast Cash Flow + Profits'!$AG$29, "YES", "NO")</f>
        <v>NO</v>
      </c>
      <c r="X107" s="68">
        <f>T107+X106</f>
        <v>1612118.1966777972</v>
      </c>
      <c r="Y107" s="68">
        <f>VLOOKUP($O107,$A$4:$J$247,7,FALSE)</f>
        <v>-22877.781656303516</v>
      </c>
      <c r="Z107" s="68">
        <f>VLOOKUP($O107,$A$4:$J$247,8,FALSE)</f>
        <v>1122.2183436964842</v>
      </c>
      <c r="AA107" s="68">
        <f>VLOOKUP($O107,$A$4:$J$247,9,FALSE)</f>
        <v>1122.2183436964842</v>
      </c>
      <c r="AB107" s="68">
        <f>VLOOKUP($O107,$A$4:$J$247,10,FALSE)</f>
        <v>-4877.7816563035158</v>
      </c>
    </row>
    <row r="108" spans="1:28">
      <c r="A108" s="23">
        <f>_xlfn.RANK.EQ(' 5-Forecast Cash Flow + Profits'!AP108,' 5-Forecast Cash Flow + Profits'!$AP$4:$AP$247,0)</f>
        <v>175</v>
      </c>
      <c r="B108" s="23" t="str">
        <f>' 5-Forecast Cash Flow + Profits'!A108</f>
        <v>W193</v>
      </c>
      <c r="C108" s="68">
        <f>' 5-Forecast Cash Flow + Profits'!AD108+' 5-Forecast Cash Flow + Profits'!AI108</f>
        <v>-15055.513811476536</v>
      </c>
      <c r="D108" s="68">
        <f>' 5-Forecast Cash Flow + Profits'!AP108</f>
        <v>-13401.913811476532</v>
      </c>
      <c r="E108" t="s">
        <v>431</v>
      </c>
      <c r="F108" t="s">
        <v>418</v>
      </c>
      <c r="G108" s="63">
        <f>' 5-Forecast Cash Flow + Profits'!AM108</f>
        <v>-31401.913811476537</v>
      </c>
      <c r="H108" s="63">
        <f>' 5-Forecast Cash Flow + Profits'!AN108</f>
        <v>-7401.9138114765319</v>
      </c>
      <c r="I108" s="63">
        <f>' 5-Forecast Cash Flow + Profits'!AO108</f>
        <v>-7401.9138114765319</v>
      </c>
      <c r="J108" s="63">
        <f>' 5-Forecast Cash Flow + Profits'!AP108</f>
        <v>-13401.913811476532</v>
      </c>
      <c r="O108" s="23">
        <v>105</v>
      </c>
      <c r="P108" s="23" t="str">
        <f>VLOOKUP(O108,$A$4:$B$247,2,FALSE)</f>
        <v>W174</v>
      </c>
      <c r="Q108" s="23" t="str">
        <f>VLOOKUP(O108,$A$4:$F$247,5,FALSE)</f>
        <v>Omaha</v>
      </c>
      <c r="R108" s="23" t="str">
        <f>VLOOKUP(O108,$A$4:$F$247,6,FALSE)</f>
        <v>NE</v>
      </c>
      <c r="S108" s="68">
        <f>O108*' 5-Forecast Cash Flow + Profits'!$AG$7</f>
        <v>3150000</v>
      </c>
      <c r="T108" s="68">
        <f>VLOOKUP(O108,$A$4:$C$247,3,FALSE)</f>
        <v>-12415.896981863047</v>
      </c>
      <c r="U108" s="68">
        <f>VLOOKUP(O108,$A$4:$D$247,4,FALSE)</f>
        <v>-4924.2969818630445</v>
      </c>
      <c r="V108" s="89" t="str">
        <f>IF(S108&lt;$L$6,IF(U108&gt;' 5-Forecast Cash Flow + Profits'!$AG$29,"YES","NO"),"NO")</f>
        <v>NO</v>
      </c>
      <c r="W108" s="89" t="str">
        <f>IF(U108&gt;' 5-Forecast Cash Flow + Profits'!$AG$29, "YES", "NO")</f>
        <v>NO</v>
      </c>
      <c r="X108" s="68">
        <f>T108+X107</f>
        <v>1599702.2996959342</v>
      </c>
      <c r="Y108" s="68">
        <f>VLOOKUP($O108,$A$4:$J$247,7,FALSE)</f>
        <v>-22924.296981863044</v>
      </c>
      <c r="Z108" s="68">
        <f>VLOOKUP($O108,$A$4:$J$247,8,FALSE)</f>
        <v>1075.7030181369555</v>
      </c>
      <c r="AA108" s="68">
        <f>VLOOKUP($O108,$A$4:$J$247,9,FALSE)</f>
        <v>1075.7030181369555</v>
      </c>
      <c r="AB108" s="68">
        <f>VLOOKUP($O108,$A$4:$J$247,10,FALSE)</f>
        <v>-4924.2969818630445</v>
      </c>
    </row>
    <row r="109" spans="1:28">
      <c r="A109" s="23">
        <f>_xlfn.RANK.EQ(' 5-Forecast Cash Flow + Profits'!AP109,' 5-Forecast Cash Flow + Profits'!$AP$4:$AP$247,0)</f>
        <v>38</v>
      </c>
      <c r="B109" s="23" t="str">
        <f>' 5-Forecast Cash Flow + Profits'!A109</f>
        <v>W194</v>
      </c>
      <c r="C109" s="68">
        <f>' 5-Forecast Cash Flow + Profits'!AD109+' 5-Forecast Cash Flow + Profits'!AI109</f>
        <v>12792.460600162754</v>
      </c>
      <c r="D109" s="68">
        <f>' 5-Forecast Cash Flow + Profits'!AP109</f>
        <v>7440.4606001627544</v>
      </c>
      <c r="E109" t="s">
        <v>431</v>
      </c>
      <c r="F109" t="s">
        <v>418</v>
      </c>
      <c r="G109" s="63">
        <f>' 5-Forecast Cash Flow + Profits'!AM109</f>
        <v>-10559.539399837246</v>
      </c>
      <c r="H109" s="63">
        <f>' 5-Forecast Cash Flow + Profits'!AN109</f>
        <v>13440.460600162756</v>
      </c>
      <c r="I109" s="63">
        <f>' 5-Forecast Cash Flow + Profits'!AO109</f>
        <v>13440.460600162756</v>
      </c>
      <c r="J109" s="63">
        <f>' 5-Forecast Cash Flow + Profits'!AP109</f>
        <v>7440.4606001627544</v>
      </c>
      <c r="O109" s="23">
        <v>106</v>
      </c>
      <c r="P109" s="23" t="str">
        <f>VLOOKUP(O109,$A$4:$B$247,2,FALSE)</f>
        <v>W18</v>
      </c>
      <c r="Q109" s="23" t="str">
        <f>VLOOKUP(O109,$A$4:$F$247,5,FALSE)</f>
        <v>Chicago</v>
      </c>
      <c r="R109" s="23" t="str">
        <f>VLOOKUP(O109,$A$4:$F$247,6,FALSE)</f>
        <v>IL</v>
      </c>
      <c r="S109" s="68">
        <f>O109*' 5-Forecast Cash Flow + Profits'!$AG$7</f>
        <v>3180000</v>
      </c>
      <c r="T109" s="68">
        <f>VLOOKUP(O109,$A$4:$C$247,3,FALSE)</f>
        <v>6086.6907783784627</v>
      </c>
      <c r="U109" s="68">
        <f>VLOOKUP(O109,$A$4:$D$247,4,FALSE)</f>
        <v>-5103.3092216215373</v>
      </c>
      <c r="V109" s="89" t="str">
        <f>IF(S109&lt;$L$6,IF(U109&gt;' 5-Forecast Cash Flow + Profits'!$AG$29,"YES","NO"),"NO")</f>
        <v>NO</v>
      </c>
      <c r="W109" s="89" t="str">
        <f>IF(U109&gt;' 5-Forecast Cash Flow + Profits'!$AG$29, "YES", "NO")</f>
        <v>NO</v>
      </c>
      <c r="X109" s="68">
        <f>T109+X108</f>
        <v>1605788.9904743126</v>
      </c>
      <c r="Y109" s="68">
        <f>VLOOKUP($O109,$A$4:$J$247,7,FALSE)</f>
        <v>-23103.309221621537</v>
      </c>
      <c r="Z109" s="68">
        <f>VLOOKUP($O109,$A$4:$J$247,8,FALSE)</f>
        <v>896.69077837846089</v>
      </c>
      <c r="AA109" s="68">
        <f>VLOOKUP($O109,$A$4:$J$247,9,FALSE)</f>
        <v>896.69077837846089</v>
      </c>
      <c r="AB109" s="68">
        <f>VLOOKUP($O109,$A$4:$J$247,10,FALSE)</f>
        <v>-5103.3092216215373</v>
      </c>
    </row>
    <row r="110" spans="1:28">
      <c r="A110" s="23">
        <f>_xlfn.RANK.EQ(' 5-Forecast Cash Flow + Profits'!AP110,' 5-Forecast Cash Flow + Profits'!$AP$4:$AP$247,0)</f>
        <v>51</v>
      </c>
      <c r="B110" s="23" t="str">
        <f>' 5-Forecast Cash Flow + Profits'!A110</f>
        <v>W195</v>
      </c>
      <c r="C110" s="68">
        <f>' 5-Forecast Cash Flow + Profits'!AD110+' 5-Forecast Cash Flow + Profits'!AI110</f>
        <v>5778.4073090232487</v>
      </c>
      <c r="D110" s="68">
        <f>' 5-Forecast Cash Flow + Profits'!AP110</f>
        <v>3929.2073090232443</v>
      </c>
      <c r="E110" t="s">
        <v>431</v>
      </c>
      <c r="F110" t="s">
        <v>418</v>
      </c>
      <c r="G110" s="63">
        <f>' 5-Forecast Cash Flow + Profits'!AM110</f>
        <v>-14070.792690976752</v>
      </c>
      <c r="H110" s="63">
        <f>' 5-Forecast Cash Flow + Profits'!AN110</f>
        <v>9929.2073090232443</v>
      </c>
      <c r="I110" s="63">
        <f>' 5-Forecast Cash Flow + Profits'!AO110</f>
        <v>9929.2073090232443</v>
      </c>
      <c r="J110" s="63">
        <f>' 5-Forecast Cash Flow + Profits'!AP110</f>
        <v>3929.2073090232443</v>
      </c>
      <c r="O110" s="23">
        <v>107</v>
      </c>
      <c r="P110" s="23" t="str">
        <f>VLOOKUP(O110,$A$4:$B$247,2,FALSE)</f>
        <v>W232</v>
      </c>
      <c r="Q110" s="23" t="str">
        <f>VLOOKUP(O110,$A$4:$F$247,5,FALSE)</f>
        <v>Richmond</v>
      </c>
      <c r="R110" s="23" t="str">
        <f>VLOOKUP(O110,$A$4:$F$247,6,FALSE)</f>
        <v>VA</v>
      </c>
      <c r="S110" s="68">
        <f>O110*' 5-Forecast Cash Flow + Profits'!$AG$7</f>
        <v>3210000</v>
      </c>
      <c r="T110" s="68">
        <f>VLOOKUP(O110,$A$4:$C$247,3,FALSE)</f>
        <v>-5074.3013651332221</v>
      </c>
      <c r="U110" s="68">
        <f>VLOOKUP(O110,$A$4:$D$247,4,FALSE)</f>
        <v>-5172.101365133225</v>
      </c>
      <c r="V110" s="89" t="str">
        <f>IF(S110&lt;$L$6,IF(U110&gt;' 5-Forecast Cash Flow + Profits'!$AG$29,"YES","NO"),"NO")</f>
        <v>NO</v>
      </c>
      <c r="W110" s="89" t="str">
        <f>IF(U110&gt;' 5-Forecast Cash Flow + Profits'!$AG$29, "YES", "NO")</f>
        <v>NO</v>
      </c>
      <c r="X110" s="68">
        <f>T110+X109</f>
        <v>1600714.6891091794</v>
      </c>
      <c r="Y110" s="68">
        <f>VLOOKUP($O110,$A$4:$J$247,7,FALSE)</f>
        <v>-23172.101365133221</v>
      </c>
      <c r="Z110" s="68">
        <f>VLOOKUP($O110,$A$4:$J$247,8,FALSE)</f>
        <v>827.89863486677496</v>
      </c>
      <c r="AA110" s="68">
        <f>VLOOKUP($O110,$A$4:$J$247,9,FALSE)</f>
        <v>827.89863486677496</v>
      </c>
      <c r="AB110" s="68">
        <f>VLOOKUP($O110,$A$4:$J$247,10,FALSE)</f>
        <v>-5172.101365133225</v>
      </c>
    </row>
    <row r="111" spans="1:28">
      <c r="A111" s="23">
        <f>_xlfn.RANK.EQ(' 5-Forecast Cash Flow + Profits'!AP111,' 5-Forecast Cash Flow + Profits'!$AP$4:$AP$247,0)</f>
        <v>32</v>
      </c>
      <c r="B111" s="23" t="str">
        <f>' 5-Forecast Cash Flow + Profits'!A111</f>
        <v>W196</v>
      </c>
      <c r="C111" s="68">
        <f>' 5-Forecast Cash Flow + Profits'!AD111+' 5-Forecast Cash Flow + Profits'!AI111</f>
        <v>22722.880491060612</v>
      </c>
      <c r="D111" s="68">
        <f>' 5-Forecast Cash Flow + Profits'!AP111</f>
        <v>11532.880491060612</v>
      </c>
      <c r="E111" t="s">
        <v>431</v>
      </c>
      <c r="F111" t="s">
        <v>418</v>
      </c>
      <c r="G111" s="63">
        <f>' 5-Forecast Cash Flow + Profits'!AM111</f>
        <v>-6467.1195089393877</v>
      </c>
      <c r="H111" s="63">
        <f>' 5-Forecast Cash Flow + Profits'!AN111</f>
        <v>17532.880491060612</v>
      </c>
      <c r="I111" s="63">
        <f>' 5-Forecast Cash Flow + Profits'!AO111</f>
        <v>17532.880491060612</v>
      </c>
      <c r="J111" s="63">
        <f>' 5-Forecast Cash Flow + Profits'!AP111</f>
        <v>11532.880491060612</v>
      </c>
      <c r="O111" s="23">
        <v>108</v>
      </c>
      <c r="P111" s="23" t="str">
        <f>VLOOKUP(O111,$A$4:$B$247,2,FALSE)</f>
        <v>W104</v>
      </c>
      <c r="Q111" s="23" t="str">
        <f>VLOOKUP(O111,$A$4:$F$247,5,FALSE)</f>
        <v>Austin</v>
      </c>
      <c r="R111" s="23" t="str">
        <f>VLOOKUP(O111,$A$4:$F$247,6,FALSE)</f>
        <v>TX</v>
      </c>
      <c r="S111" s="68">
        <f>O111*' 5-Forecast Cash Flow + Profits'!$AG$7</f>
        <v>3240000</v>
      </c>
      <c r="T111" s="68">
        <f>VLOOKUP(O111,$A$4:$C$247,3,FALSE)</f>
        <v>9494.8650755184863</v>
      </c>
      <c r="U111" s="68">
        <f>VLOOKUP(O111,$A$4:$D$247,4,FALSE)</f>
        <v>-5197.934924481513</v>
      </c>
      <c r="V111" s="89" t="str">
        <f>IF(S111&lt;$L$6,IF(U111&gt;' 5-Forecast Cash Flow + Profits'!$AG$29,"YES","NO"),"NO")</f>
        <v>NO</v>
      </c>
      <c r="W111" s="89" t="str">
        <f>IF(U111&gt;' 5-Forecast Cash Flow + Profits'!$AG$29, "YES", "NO")</f>
        <v>NO</v>
      </c>
      <c r="X111" s="68">
        <f>T111+X110</f>
        <v>1610209.5541846978</v>
      </c>
      <c r="Y111" s="68">
        <f>VLOOKUP($O111,$A$4:$J$247,7,FALSE)</f>
        <v>-23197.934924481513</v>
      </c>
      <c r="Z111" s="68">
        <f>VLOOKUP($O111,$A$4:$J$247,8,FALSE)</f>
        <v>802.06507551848699</v>
      </c>
      <c r="AA111" s="68">
        <f>VLOOKUP($O111,$A$4:$J$247,9,FALSE)</f>
        <v>802.06507551848699</v>
      </c>
      <c r="AB111" s="68">
        <f>VLOOKUP($O111,$A$4:$J$247,10,FALSE)</f>
        <v>-5197.934924481513</v>
      </c>
    </row>
    <row r="112" spans="1:28">
      <c r="A112" s="23">
        <f>_xlfn.RANK.EQ(' 5-Forecast Cash Flow + Profits'!AP112,' 5-Forecast Cash Flow + Profits'!$AP$4:$AP$247,0)</f>
        <v>96</v>
      </c>
      <c r="B112" s="23" t="str">
        <f>' 5-Forecast Cash Flow + Profits'!A112</f>
        <v>W197</v>
      </c>
      <c r="C112" s="68">
        <f>' 5-Forecast Cash Flow + Profits'!AD112+' 5-Forecast Cash Flow + Profits'!AI112</f>
        <v>-1104.9492720840135</v>
      </c>
      <c r="D112" s="68">
        <f>' 5-Forecast Cash Flow + Profits'!AP112</f>
        <v>-4121.7492720840128</v>
      </c>
      <c r="E112" t="s">
        <v>431</v>
      </c>
      <c r="F112" t="s">
        <v>418</v>
      </c>
      <c r="G112" s="63">
        <f>' 5-Forecast Cash Flow + Profits'!AM112</f>
        <v>-22121.749272084013</v>
      </c>
      <c r="H112" s="63">
        <f>' 5-Forecast Cash Flow + Profits'!AN112</f>
        <v>1878.2507279159872</v>
      </c>
      <c r="I112" s="63">
        <f>' 5-Forecast Cash Flow + Profits'!AO112</f>
        <v>1878.2507279159872</v>
      </c>
      <c r="J112" s="63">
        <f>' 5-Forecast Cash Flow + Profits'!AP112</f>
        <v>-4121.7492720840128</v>
      </c>
      <c r="O112" s="23">
        <v>109</v>
      </c>
      <c r="P112" s="23" t="str">
        <f>VLOOKUP(O112,$A$4:$B$247,2,FALSE)</f>
        <v>W70</v>
      </c>
      <c r="Q112" s="23" t="str">
        <f>VLOOKUP(O112,$A$4:$F$247,5,FALSE)</f>
        <v>Palo Alto</v>
      </c>
      <c r="R112" s="23" t="str">
        <f>VLOOKUP(O112,$A$4:$F$247,6,FALSE)</f>
        <v>CA</v>
      </c>
      <c r="S112" s="68">
        <f>O112*' 5-Forecast Cash Flow + Profits'!$AG$7</f>
        <v>3270000</v>
      </c>
      <c r="T112" s="68">
        <f>VLOOKUP(O112,$A$4:$C$247,3,FALSE)</f>
        <v>11736.760614003266</v>
      </c>
      <c r="U112" s="68">
        <f>VLOOKUP(O112,$A$4:$D$247,4,FALSE)</f>
        <v>-5291.2393859967342</v>
      </c>
      <c r="V112" s="89" t="str">
        <f>IF(S112&lt;$L$6,IF(U112&gt;' 5-Forecast Cash Flow + Profits'!$AG$29,"YES","NO"),"NO")</f>
        <v>NO</v>
      </c>
      <c r="W112" s="89" t="str">
        <f>IF(U112&gt;' 5-Forecast Cash Flow + Profits'!$AG$29, "YES", "NO")</f>
        <v>NO</v>
      </c>
      <c r="X112" s="68">
        <f>T112+X111</f>
        <v>1621946.3147987011</v>
      </c>
      <c r="Y112" s="68">
        <f>VLOOKUP($O112,$A$4:$J$247,7,FALSE)</f>
        <v>-23291.239385996734</v>
      </c>
      <c r="Z112" s="68">
        <f>VLOOKUP($O112,$A$4:$J$247,8,FALSE)</f>
        <v>708.7606140032658</v>
      </c>
      <c r="AA112" s="68">
        <f>VLOOKUP($O112,$A$4:$J$247,9,FALSE)</f>
        <v>708.7606140032658</v>
      </c>
      <c r="AB112" s="68">
        <f>VLOOKUP($O112,$A$4:$J$247,10,FALSE)</f>
        <v>-5291.2393859967342</v>
      </c>
    </row>
    <row r="113" spans="1:28">
      <c r="A113" s="23">
        <f>_xlfn.RANK.EQ(' 5-Forecast Cash Flow + Profits'!AP113,' 5-Forecast Cash Flow + Profits'!$AP$4:$AP$247,0)</f>
        <v>25</v>
      </c>
      <c r="B113" s="23" t="str">
        <f>' 5-Forecast Cash Flow + Profits'!A113</f>
        <v>W198</v>
      </c>
      <c r="C113" s="68">
        <f>' 5-Forecast Cash Flow + Profits'!AD113+' 5-Forecast Cash Flow + Profits'!AI113</f>
        <v>29164.561478440955</v>
      </c>
      <c r="D113" s="68">
        <f>' 5-Forecast Cash Flow + Profits'!AP113</f>
        <v>16806.961478440953</v>
      </c>
      <c r="E113" t="s">
        <v>431</v>
      </c>
      <c r="F113" t="s">
        <v>418</v>
      </c>
      <c r="G113" s="63">
        <f>' 5-Forecast Cash Flow + Profits'!AM113</f>
        <v>-1193.0385215590431</v>
      </c>
      <c r="H113" s="63">
        <f>' 5-Forecast Cash Flow + Profits'!AN113</f>
        <v>22806.961478440953</v>
      </c>
      <c r="I113" s="63">
        <f>' 5-Forecast Cash Flow + Profits'!AO113</f>
        <v>22806.961478440953</v>
      </c>
      <c r="J113" s="63">
        <f>' 5-Forecast Cash Flow + Profits'!AP113</f>
        <v>16806.961478440953</v>
      </c>
      <c r="O113" s="23">
        <v>110</v>
      </c>
      <c r="P113" s="23" t="str">
        <f>VLOOKUP(O113,$A$4:$B$247,2,FALSE)</f>
        <v>W65</v>
      </c>
      <c r="Q113" s="23" t="str">
        <f>VLOOKUP(O113,$A$4:$F$247,5,FALSE)</f>
        <v>Palo Alto</v>
      </c>
      <c r="R113" s="23" t="str">
        <f>VLOOKUP(O113,$A$4:$F$247,6,FALSE)</f>
        <v>CA</v>
      </c>
      <c r="S113" s="68">
        <f>O113*' 5-Forecast Cash Flow + Profits'!$AG$7</f>
        <v>3300000</v>
      </c>
      <c r="T113" s="68">
        <f>VLOOKUP(O113,$A$4:$C$247,3,FALSE)</f>
        <v>11702.246686104794</v>
      </c>
      <c r="U113" s="68">
        <f>VLOOKUP(O113,$A$4:$D$247,4,FALSE)</f>
        <v>-5325.7533138952022</v>
      </c>
      <c r="V113" s="89" t="str">
        <f>IF(S113&lt;$L$6,IF(U113&gt;' 5-Forecast Cash Flow + Profits'!$AG$29,"YES","NO"),"NO")</f>
        <v>NO</v>
      </c>
      <c r="W113" s="89" t="str">
        <f>IF(U113&gt;' 5-Forecast Cash Flow + Profits'!$AG$29, "YES", "NO")</f>
        <v>NO</v>
      </c>
      <c r="X113" s="68">
        <f>T113+X112</f>
        <v>1633648.5614848058</v>
      </c>
      <c r="Y113" s="68">
        <f>VLOOKUP($O113,$A$4:$J$247,7,FALSE)</f>
        <v>-23325.753313895206</v>
      </c>
      <c r="Z113" s="68">
        <f>VLOOKUP($O113,$A$4:$J$247,8,FALSE)</f>
        <v>674.24668610479785</v>
      </c>
      <c r="AA113" s="68">
        <f>VLOOKUP($O113,$A$4:$J$247,9,FALSE)</f>
        <v>674.24668610479785</v>
      </c>
      <c r="AB113" s="68">
        <f>VLOOKUP($O113,$A$4:$J$247,10,FALSE)</f>
        <v>-5325.7533138952022</v>
      </c>
    </row>
    <row r="114" spans="1:28">
      <c r="A114" s="23">
        <f>_xlfn.RANK.EQ(' 5-Forecast Cash Flow + Profits'!AP114,' 5-Forecast Cash Flow + Profits'!$AP$4:$AP$247,0)</f>
        <v>29</v>
      </c>
      <c r="B114" s="23" t="str">
        <f>' 5-Forecast Cash Flow + Profits'!A114</f>
        <v>W199</v>
      </c>
      <c r="C114" s="68">
        <f>' 5-Forecast Cash Flow + Profits'!AD114+' 5-Forecast Cash Flow + Profits'!AI114</f>
        <v>24109.684484600497</v>
      </c>
      <c r="D114" s="68">
        <f>' 5-Forecast Cash Flow + Profits'!AP114</f>
        <v>12919.684484600497</v>
      </c>
      <c r="E114" t="s">
        <v>431</v>
      </c>
      <c r="F114" t="s">
        <v>418</v>
      </c>
      <c r="G114" s="63">
        <f>' 5-Forecast Cash Flow + Profits'!AM114</f>
        <v>-5080.3155153995031</v>
      </c>
      <c r="H114" s="63">
        <f>' 5-Forecast Cash Flow + Profits'!AN114</f>
        <v>18919.684484600497</v>
      </c>
      <c r="I114" s="63">
        <f>' 5-Forecast Cash Flow + Profits'!AO114</f>
        <v>18919.684484600497</v>
      </c>
      <c r="J114" s="63">
        <f>' 5-Forecast Cash Flow + Profits'!AP114</f>
        <v>12919.684484600497</v>
      </c>
      <c r="O114" s="23">
        <v>111</v>
      </c>
      <c r="P114" s="23" t="str">
        <f>VLOOKUP(O114,$A$4:$B$247,2,FALSE)</f>
        <v>W226</v>
      </c>
      <c r="Q114" s="23" t="str">
        <f>VLOOKUP(O114,$A$4:$F$247,5,FALSE)</f>
        <v>Richmond</v>
      </c>
      <c r="R114" s="23" t="str">
        <f>VLOOKUP(O114,$A$4:$F$247,6,FALSE)</f>
        <v>VA</v>
      </c>
      <c r="S114" s="68">
        <f>O114*' 5-Forecast Cash Flow + Profits'!$AG$7</f>
        <v>3330000</v>
      </c>
      <c r="T114" s="68">
        <f>VLOOKUP(O114,$A$4:$C$247,3,FALSE)</f>
        <v>-13503.496918747969</v>
      </c>
      <c r="U114" s="68">
        <f>VLOOKUP(O114,$A$4:$D$247,4,FALSE)</f>
        <v>-5649.9409187479687</v>
      </c>
      <c r="V114" s="89" t="str">
        <f>IF(S114&lt;$L$6,IF(U114&gt;' 5-Forecast Cash Flow + Profits'!$AG$29,"YES","NO"),"NO")</f>
        <v>NO</v>
      </c>
      <c r="W114" s="89" t="str">
        <f>IF(U114&gt;' 5-Forecast Cash Flow + Profits'!$AG$29, "YES", "NO")</f>
        <v>NO</v>
      </c>
      <c r="X114" s="68">
        <f>T114+X113</f>
        <v>1620145.0645660579</v>
      </c>
      <c r="Y114" s="68">
        <f>VLOOKUP($O114,$A$4:$J$247,7,FALSE)</f>
        <v>-23649.940918747969</v>
      </c>
      <c r="Z114" s="68">
        <f>VLOOKUP($O114,$A$4:$J$247,8,FALSE)</f>
        <v>350.05908125203132</v>
      </c>
      <c r="AA114" s="68">
        <f>VLOOKUP($O114,$A$4:$J$247,9,FALSE)</f>
        <v>350.05908125203132</v>
      </c>
      <c r="AB114" s="68">
        <f>VLOOKUP($O114,$A$4:$J$247,10,FALSE)</f>
        <v>-5649.9409187479687</v>
      </c>
    </row>
    <row r="115" spans="1:28">
      <c r="A115" s="23">
        <f>_xlfn.RANK.EQ(' 5-Forecast Cash Flow + Profits'!AP115,' 5-Forecast Cash Flow + Profits'!$AP$4:$AP$247,0)</f>
        <v>228</v>
      </c>
      <c r="B115" s="23" t="str">
        <f>' 5-Forecast Cash Flow + Profits'!A115</f>
        <v>W2</v>
      </c>
      <c r="C115" s="68">
        <f>' 5-Forecast Cash Flow + Profits'!AD115+' 5-Forecast Cash Flow + Profits'!AI115</f>
        <v>-23241.600547785787</v>
      </c>
      <c r="D115" s="68">
        <f>' 5-Forecast Cash Flow + Profits'!AP115</f>
        <v>-22755.600547785787</v>
      </c>
      <c r="E115" t="s">
        <v>415</v>
      </c>
      <c r="F115" t="s">
        <v>416</v>
      </c>
      <c r="G115" s="63">
        <f>' 5-Forecast Cash Flow + Profits'!AM115</f>
        <v>-40755.600547785783</v>
      </c>
      <c r="H115" s="63">
        <f>' 5-Forecast Cash Flow + Profits'!AN115</f>
        <v>-16755.600547785787</v>
      </c>
      <c r="I115" s="63">
        <f>' 5-Forecast Cash Flow + Profits'!AO115</f>
        <v>-16755.600547785787</v>
      </c>
      <c r="J115" s="63">
        <f>' 5-Forecast Cash Flow + Profits'!AP115</f>
        <v>-22755.600547785787</v>
      </c>
      <c r="O115" s="23">
        <v>112</v>
      </c>
      <c r="P115" s="23" t="str">
        <f>VLOOKUP(O115,$A$4:$B$247,2,FALSE)</f>
        <v>W153</v>
      </c>
      <c r="Q115" s="23" t="str">
        <f>VLOOKUP(O115,$A$4:$F$247,5,FALSE)</f>
        <v>Miami</v>
      </c>
      <c r="R115" s="23" t="str">
        <f>VLOOKUP(O115,$A$4:$F$247,6,FALSE)</f>
        <v>FL</v>
      </c>
      <c r="S115" s="68">
        <f>O115*' 5-Forecast Cash Flow + Profits'!$AG$7</f>
        <v>3360000</v>
      </c>
      <c r="T115" s="68">
        <f>VLOOKUP(O115,$A$4:$C$247,3,FALSE)</f>
        <v>-3816.7507339479198</v>
      </c>
      <c r="U115" s="68">
        <f>VLOOKUP(O115,$A$4:$D$247,4,FALSE)</f>
        <v>-5665.9507339479205</v>
      </c>
      <c r="V115" s="89" t="str">
        <f>IF(S115&lt;$L$6,IF(U115&gt;' 5-Forecast Cash Flow + Profits'!$AG$29,"YES","NO"),"NO")</f>
        <v>NO</v>
      </c>
      <c r="W115" s="89" t="str">
        <f>IF(U115&gt;' 5-Forecast Cash Flow + Profits'!$AG$29, "YES", "NO")</f>
        <v>NO</v>
      </c>
      <c r="X115" s="68">
        <f>T115+X114</f>
        <v>1616328.31383211</v>
      </c>
      <c r="Y115" s="68">
        <f>VLOOKUP($O115,$A$4:$J$247,7,FALSE)</f>
        <v>-23665.950733947921</v>
      </c>
      <c r="Z115" s="68">
        <f>VLOOKUP($O115,$A$4:$J$247,8,FALSE)</f>
        <v>334.04926605207766</v>
      </c>
      <c r="AA115" s="68">
        <f>VLOOKUP($O115,$A$4:$J$247,9,FALSE)</f>
        <v>334.04926605207766</v>
      </c>
      <c r="AB115" s="68">
        <f>VLOOKUP($O115,$A$4:$J$247,10,FALSE)</f>
        <v>-5665.9507339479205</v>
      </c>
    </row>
    <row r="116" spans="1:28">
      <c r="A116" s="23">
        <f>_xlfn.RANK.EQ(' 5-Forecast Cash Flow + Profits'!AP116,' 5-Forecast Cash Flow + Profits'!$AP$4:$AP$247,0)</f>
        <v>134</v>
      </c>
      <c r="B116" s="23" t="str">
        <f>' 5-Forecast Cash Flow + Profits'!A116</f>
        <v>W20</v>
      </c>
      <c r="C116" s="68">
        <f>' 5-Forecast Cash Flow + Profits'!AD116+' 5-Forecast Cash Flow + Profits'!AI116</f>
        <v>-6164.2313455199255</v>
      </c>
      <c r="D116" s="68">
        <f>' 5-Forecast Cash Flow + Profits'!AP116</f>
        <v>-8013.4313455199263</v>
      </c>
      <c r="E116" t="s">
        <v>429</v>
      </c>
      <c r="F116" t="s">
        <v>430</v>
      </c>
      <c r="G116" s="63">
        <f>' 5-Forecast Cash Flow + Profits'!AM116</f>
        <v>-26013.431345519926</v>
      </c>
      <c r="H116" s="63">
        <f>' 5-Forecast Cash Flow + Profits'!AN116</f>
        <v>-2013.4313455199244</v>
      </c>
      <c r="I116" s="63">
        <f>' 5-Forecast Cash Flow + Profits'!AO116</f>
        <v>-2013.4313455199244</v>
      </c>
      <c r="J116" s="63">
        <f>' 5-Forecast Cash Flow + Profits'!AP116</f>
        <v>-8013.4313455199263</v>
      </c>
      <c r="O116" s="23">
        <v>113</v>
      </c>
      <c r="P116" s="23" t="str">
        <f>VLOOKUP(O116,$A$4:$B$247,2,FALSE)</f>
        <v>W113</v>
      </c>
      <c r="Q116" s="23" t="str">
        <f>VLOOKUP(O116,$A$4:$F$247,5,FALSE)</f>
        <v>Austin</v>
      </c>
      <c r="R116" s="23" t="str">
        <f>VLOOKUP(O116,$A$4:$F$247,6,FALSE)</f>
        <v>TX</v>
      </c>
      <c r="S116" s="68">
        <f>O116*' 5-Forecast Cash Flow + Profits'!$AG$7</f>
        <v>3390000</v>
      </c>
      <c r="T116" s="68">
        <f>VLOOKUP(O116,$A$4:$C$247,3,FALSE)</f>
        <v>-14475.554192701169</v>
      </c>
      <c r="U116" s="68">
        <f>VLOOKUP(O116,$A$4:$D$247,4,FALSE)</f>
        <v>-5816.3541927011684</v>
      </c>
      <c r="V116" s="89" t="str">
        <f>IF(S116&lt;$L$6,IF(U116&gt;' 5-Forecast Cash Flow + Profits'!$AG$29,"YES","NO"),"NO")</f>
        <v>NO</v>
      </c>
      <c r="W116" s="89" t="str">
        <f>IF(U116&gt;' 5-Forecast Cash Flow + Profits'!$AG$29, "YES", "NO")</f>
        <v>NO</v>
      </c>
      <c r="X116" s="68">
        <f>T116+X115</f>
        <v>1601852.7596394089</v>
      </c>
      <c r="Y116" s="68">
        <f>VLOOKUP($O116,$A$4:$J$247,7,FALSE)</f>
        <v>-23816.354192701168</v>
      </c>
      <c r="Z116" s="68">
        <f>VLOOKUP($O116,$A$4:$J$247,8,FALSE)</f>
        <v>183.64580729883164</v>
      </c>
      <c r="AA116" s="68">
        <f>VLOOKUP($O116,$A$4:$J$247,9,FALSE)</f>
        <v>183.64580729883164</v>
      </c>
      <c r="AB116" s="68">
        <f>VLOOKUP($O116,$A$4:$J$247,10,FALSE)</f>
        <v>-5816.3541927011684</v>
      </c>
    </row>
    <row r="117" spans="1:28">
      <c r="A117" s="23">
        <f>_xlfn.RANK.EQ(' 5-Forecast Cash Flow + Profits'!AP117,' 5-Forecast Cash Flow + Profits'!$AP$4:$AP$247,0)</f>
        <v>79</v>
      </c>
      <c r="B117" s="23" t="str">
        <f>' 5-Forecast Cash Flow + Profits'!A117</f>
        <v>W200</v>
      </c>
      <c r="C117" s="68">
        <f>' 5-Forecast Cash Flow + Profits'!AD117+' 5-Forecast Cash Flow + Profits'!AI117</f>
        <v>23479.704255009987</v>
      </c>
      <c r="D117" s="68">
        <f>' 5-Forecast Cash Flow + Profits'!AP117</f>
        <v>-553.89574499001174</v>
      </c>
      <c r="E117" t="s">
        <v>431</v>
      </c>
      <c r="F117" t="s">
        <v>418</v>
      </c>
      <c r="G117" s="63">
        <f>' 5-Forecast Cash Flow + Profits'!AM117</f>
        <v>-18553.895744990012</v>
      </c>
      <c r="H117" s="63">
        <f>' 5-Forecast Cash Flow + Profits'!AN117</f>
        <v>5446.1042550099883</v>
      </c>
      <c r="I117" s="63">
        <f>' 5-Forecast Cash Flow + Profits'!AO117</f>
        <v>5446.1042550099883</v>
      </c>
      <c r="J117" s="63">
        <f>' 5-Forecast Cash Flow + Profits'!AP117</f>
        <v>-553.89574499001174</v>
      </c>
      <c r="O117" s="23">
        <v>114</v>
      </c>
      <c r="P117" s="23" t="str">
        <f>VLOOKUP(O117,$A$4:$B$247,2,FALSE)</f>
        <v>W30</v>
      </c>
      <c r="Q117" s="23" t="str">
        <f>VLOOKUP(O117,$A$4:$F$247,5,FALSE)</f>
        <v>Chicago</v>
      </c>
      <c r="R117" s="23" t="str">
        <f>VLOOKUP(O117,$A$4:$F$247,6,FALSE)</f>
        <v>IL</v>
      </c>
      <c r="S117" s="68">
        <f>O117*' 5-Forecast Cash Flow + Profits'!$AG$7</f>
        <v>3420000</v>
      </c>
      <c r="T117" s="68">
        <f>VLOOKUP(O117,$A$4:$C$247,3,FALSE)</f>
        <v>5316.2030241949979</v>
      </c>
      <c r="U117" s="68">
        <f>VLOOKUP(O117,$A$4:$D$247,4,FALSE)</f>
        <v>-5873.7969758050021</v>
      </c>
      <c r="V117" s="89" t="str">
        <f>IF(S117&lt;$L$6,IF(U117&gt;' 5-Forecast Cash Flow + Profits'!$AG$29,"YES","NO"),"NO")</f>
        <v>NO</v>
      </c>
      <c r="W117" s="89" t="str">
        <f>IF(U117&gt;' 5-Forecast Cash Flow + Profits'!$AG$29, "YES", "NO")</f>
        <v>NO</v>
      </c>
      <c r="X117" s="68">
        <f>T117+X116</f>
        <v>1607168.9626636039</v>
      </c>
      <c r="Y117" s="68">
        <f>VLOOKUP($O117,$A$4:$J$247,7,FALSE)</f>
        <v>-23873.796975805002</v>
      </c>
      <c r="Z117" s="68">
        <f>VLOOKUP($O117,$A$4:$J$247,8,FALSE)</f>
        <v>126.20302419499603</v>
      </c>
      <c r="AA117" s="68">
        <f>VLOOKUP($O117,$A$4:$J$247,9,FALSE)</f>
        <v>126.20302419499603</v>
      </c>
      <c r="AB117" s="68">
        <f>VLOOKUP($O117,$A$4:$J$247,10,FALSE)</f>
        <v>-5873.7969758050021</v>
      </c>
    </row>
    <row r="118" spans="1:28">
      <c r="A118" s="23">
        <f>_xlfn.RANK.EQ(' 5-Forecast Cash Flow + Profits'!AP118,' 5-Forecast Cash Flow + Profits'!$AP$4:$AP$247,0)</f>
        <v>86</v>
      </c>
      <c r="B118" s="23" t="str">
        <f>' 5-Forecast Cash Flow + Profits'!A118</f>
        <v>W201</v>
      </c>
      <c r="C118" s="68">
        <f>' 5-Forecast Cash Flow + Profits'!AD118+' 5-Forecast Cash Flow + Profits'!AI118</f>
        <v>-5461.8555978428267</v>
      </c>
      <c r="D118" s="68">
        <f>' 5-Forecast Cash Flow + Profits'!AP118</f>
        <v>-1473.0555978428238</v>
      </c>
      <c r="E118" t="s">
        <v>431</v>
      </c>
      <c r="F118" t="s">
        <v>418</v>
      </c>
      <c r="G118" s="63">
        <f>' 5-Forecast Cash Flow + Profits'!AM118</f>
        <v>-19473.055597842824</v>
      </c>
      <c r="H118" s="63">
        <f>' 5-Forecast Cash Flow + Profits'!AN118</f>
        <v>4526.9444021571762</v>
      </c>
      <c r="I118" s="63">
        <f>' 5-Forecast Cash Flow + Profits'!AO118</f>
        <v>4526.9444021571762</v>
      </c>
      <c r="J118" s="63">
        <f>' 5-Forecast Cash Flow + Profits'!AP118</f>
        <v>-1473.0555978428238</v>
      </c>
      <c r="O118" s="23">
        <v>115</v>
      </c>
      <c r="P118" s="23" t="str">
        <f>VLOOKUP(O118,$A$4:$B$247,2,FALSE)</f>
        <v>W121</v>
      </c>
      <c r="Q118" s="23" t="str">
        <f>VLOOKUP(O118,$A$4:$F$247,5,FALSE)</f>
        <v>Bentonville</v>
      </c>
      <c r="R118" s="23" t="str">
        <f>VLOOKUP(O118,$A$4:$F$247,6,FALSE)</f>
        <v>AR</v>
      </c>
      <c r="S118" s="68">
        <f>O118*' 5-Forecast Cash Flow + Profits'!$AG$7</f>
        <v>3450000</v>
      </c>
      <c r="T118" s="68">
        <f>VLOOKUP(O118,$A$4:$C$247,3,FALSE)</f>
        <v>-16965.419841490067</v>
      </c>
      <c r="U118" s="68">
        <f>VLOOKUP(O118,$A$4:$D$247,4,FALSE)</f>
        <v>-5971.0198414900697</v>
      </c>
      <c r="V118" s="89" t="str">
        <f>IF(S118&lt;$L$6,IF(U118&gt;' 5-Forecast Cash Flow + Profits'!$AG$29,"YES","NO"),"NO")</f>
        <v>NO</v>
      </c>
      <c r="W118" s="89" t="str">
        <f>IF(U118&gt;' 5-Forecast Cash Flow + Profits'!$AG$29, "YES", "NO")</f>
        <v>NO</v>
      </c>
      <c r="X118" s="68">
        <f>T118+X117</f>
        <v>1590203.542822114</v>
      </c>
      <c r="Y118" s="68">
        <f>VLOOKUP($O118,$A$4:$J$247,7,FALSE)</f>
        <v>-23971.019841490066</v>
      </c>
      <c r="Z118" s="68">
        <f>VLOOKUP($O118,$A$4:$J$247,8,FALSE)</f>
        <v>28.980158509930334</v>
      </c>
      <c r="AA118" s="68">
        <f>VLOOKUP($O118,$A$4:$J$247,9,FALSE)</f>
        <v>28.980158509930334</v>
      </c>
      <c r="AB118" s="68">
        <f>VLOOKUP($O118,$A$4:$J$247,10,FALSE)</f>
        <v>-5971.0198414900697</v>
      </c>
    </row>
    <row r="119" spans="1:28">
      <c r="A119" s="23">
        <f>_xlfn.RANK.EQ(' 5-Forecast Cash Flow + Profits'!AP119,' 5-Forecast Cash Flow + Profits'!$AP$4:$AP$247,0)</f>
        <v>62</v>
      </c>
      <c r="B119" s="23" t="str">
        <f>' 5-Forecast Cash Flow + Profits'!A119</f>
        <v>W202</v>
      </c>
      <c r="C119" s="68">
        <f>' 5-Forecast Cash Flow + Profits'!AD119+' 5-Forecast Cash Flow + Profits'!AI119</f>
        <v>3239.2349042803107</v>
      </c>
      <c r="D119" s="68">
        <f>' 5-Forecast Cash Flow + Profits'!AP119</f>
        <v>2557.6349042803122</v>
      </c>
      <c r="E119" t="s">
        <v>431</v>
      </c>
      <c r="F119" t="s">
        <v>418</v>
      </c>
      <c r="G119" s="63">
        <f>' 5-Forecast Cash Flow + Profits'!AM119</f>
        <v>-15442.365095719688</v>
      </c>
      <c r="H119" s="63">
        <f>' 5-Forecast Cash Flow + Profits'!AN119</f>
        <v>8557.6349042803122</v>
      </c>
      <c r="I119" s="63">
        <f>' 5-Forecast Cash Flow + Profits'!AO119</f>
        <v>8557.6349042803122</v>
      </c>
      <c r="J119" s="63">
        <f>' 5-Forecast Cash Flow + Profits'!AP119</f>
        <v>2557.6349042803122</v>
      </c>
      <c r="O119" s="23">
        <v>116</v>
      </c>
      <c r="P119" s="23" t="str">
        <f>VLOOKUP(O119,$A$4:$B$247,2,FALSE)</f>
        <v>W203</v>
      </c>
      <c r="Q119" s="23" t="str">
        <f>VLOOKUP(O119,$A$4:$F$247,5,FALSE)</f>
        <v>San Diego</v>
      </c>
      <c r="R119" s="23" t="str">
        <f>VLOOKUP(O119,$A$4:$F$247,6,FALSE)</f>
        <v>CA</v>
      </c>
      <c r="S119" s="68">
        <f>O119*' 5-Forecast Cash Flow + Profits'!$AG$7</f>
        <v>3480000</v>
      </c>
      <c r="T119" s="68">
        <f>VLOOKUP(O119,$A$4:$C$247,3,FALSE)</f>
        <v>-12431.276378419923</v>
      </c>
      <c r="U119" s="68">
        <f>VLOOKUP(O119,$A$4:$D$247,4,FALSE)</f>
        <v>-6107.2763784199269</v>
      </c>
      <c r="V119" s="89" t="str">
        <f>IF(S119&lt;$L$6,IF(U119&gt;' 5-Forecast Cash Flow + Profits'!$AG$29,"YES","NO"),"NO")</f>
        <v>NO</v>
      </c>
      <c r="W119" s="89" t="str">
        <f>IF(U119&gt;' 5-Forecast Cash Flow + Profits'!$AG$29, "YES", "NO")</f>
        <v>NO</v>
      </c>
      <c r="X119" s="68">
        <f>T119+X118</f>
        <v>1577772.266443694</v>
      </c>
      <c r="Y119" s="68">
        <f>VLOOKUP($O119,$A$4:$J$247,7,FALSE)</f>
        <v>-24107.276378419923</v>
      </c>
      <c r="Z119" s="68">
        <f>VLOOKUP($O119,$A$4:$J$247,8,FALSE)</f>
        <v>-107.27637841992691</v>
      </c>
      <c r="AA119" s="68">
        <f>VLOOKUP($O119,$A$4:$J$247,9,FALSE)</f>
        <v>-107.27637841992691</v>
      </c>
      <c r="AB119" s="68">
        <f>VLOOKUP($O119,$A$4:$J$247,10,FALSE)</f>
        <v>-6107.2763784199269</v>
      </c>
    </row>
    <row r="120" spans="1:28">
      <c r="A120" s="23">
        <f>_xlfn.RANK.EQ(' 5-Forecast Cash Flow + Profits'!AP120,' 5-Forecast Cash Flow + Profits'!$AP$4:$AP$247,0)</f>
        <v>116</v>
      </c>
      <c r="B120" s="23" t="str">
        <f>' 5-Forecast Cash Flow + Profits'!A120</f>
        <v>W203</v>
      </c>
      <c r="C120" s="68">
        <f>' 5-Forecast Cash Flow + Profits'!AD120+' 5-Forecast Cash Flow + Profits'!AI120</f>
        <v>-12431.276378419923</v>
      </c>
      <c r="D120" s="68">
        <f>' 5-Forecast Cash Flow + Profits'!AP120</f>
        <v>-6107.2763784199269</v>
      </c>
      <c r="E120" t="s">
        <v>431</v>
      </c>
      <c r="F120" t="s">
        <v>418</v>
      </c>
      <c r="G120" s="63">
        <f>' 5-Forecast Cash Flow + Profits'!AM120</f>
        <v>-24107.276378419923</v>
      </c>
      <c r="H120" s="63">
        <f>' 5-Forecast Cash Flow + Profits'!AN120</f>
        <v>-107.27637841992691</v>
      </c>
      <c r="I120" s="63">
        <f>' 5-Forecast Cash Flow + Profits'!AO120</f>
        <v>-107.27637841992691</v>
      </c>
      <c r="J120" s="63">
        <f>' 5-Forecast Cash Flow + Profits'!AP120</f>
        <v>-6107.2763784199269</v>
      </c>
      <c r="O120" s="23">
        <v>117</v>
      </c>
      <c r="P120" s="23" t="str">
        <f>VLOOKUP(O120,$A$4:$B$247,2,FALSE)</f>
        <v>W62</v>
      </c>
      <c r="Q120" s="23" t="str">
        <f>VLOOKUP(O120,$A$4:$F$247,5,FALSE)</f>
        <v>Palo Alto</v>
      </c>
      <c r="R120" s="23" t="str">
        <f>VLOOKUP(O120,$A$4:$F$247,6,FALSE)</f>
        <v>CA</v>
      </c>
      <c r="S120" s="68">
        <f>O120*' 5-Forecast Cash Flow + Profits'!$AG$7</f>
        <v>3510000</v>
      </c>
      <c r="T120" s="68">
        <f>VLOOKUP(O120,$A$4:$C$247,3,FALSE)</f>
        <v>10911.561450215471</v>
      </c>
      <c r="U120" s="68">
        <f>VLOOKUP(O120,$A$4:$D$247,4,FALSE)</f>
        <v>-6116.4385497845324</v>
      </c>
      <c r="V120" s="89" t="str">
        <f>IF(S120&lt;$L$6,IF(U120&gt;' 5-Forecast Cash Flow + Profits'!$AG$29,"YES","NO"),"NO")</f>
        <v>NO</v>
      </c>
      <c r="W120" s="89" t="str">
        <f>IF(U120&gt;' 5-Forecast Cash Flow + Profits'!$AG$29, "YES", "NO")</f>
        <v>NO</v>
      </c>
      <c r="X120" s="68">
        <f>T120+X119</f>
        <v>1588683.8278939095</v>
      </c>
      <c r="Y120" s="68">
        <f>VLOOKUP($O120,$A$4:$J$247,7,FALSE)</f>
        <v>-24116.438549784529</v>
      </c>
      <c r="Z120" s="68">
        <f>VLOOKUP($O120,$A$4:$J$247,8,FALSE)</f>
        <v>-116.43854978453237</v>
      </c>
      <c r="AA120" s="68">
        <f>VLOOKUP($O120,$A$4:$J$247,9,FALSE)</f>
        <v>-116.43854978453237</v>
      </c>
      <c r="AB120" s="68">
        <f>VLOOKUP($O120,$A$4:$J$247,10,FALSE)</f>
        <v>-6116.4385497845324</v>
      </c>
    </row>
    <row r="121" spans="1:28">
      <c r="A121" s="23">
        <f>_xlfn.RANK.EQ(' 5-Forecast Cash Flow + Profits'!AP121,' 5-Forecast Cash Flow + Profits'!$AP$4:$AP$247,0)</f>
        <v>157</v>
      </c>
      <c r="B121" s="23" t="str">
        <f>' 5-Forecast Cash Flow + Profits'!A121</f>
        <v>W204</v>
      </c>
      <c r="C121" s="68">
        <f>' 5-Forecast Cash Flow + Profits'!AD121+' 5-Forecast Cash Flow + Profits'!AI121</f>
        <v>-11839.86636149773</v>
      </c>
      <c r="D121" s="68">
        <f>' 5-Forecast Cash Flow + Profits'!AP121</f>
        <v>-11353.866361497734</v>
      </c>
      <c r="E121" t="s">
        <v>431</v>
      </c>
      <c r="F121" t="s">
        <v>418</v>
      </c>
      <c r="G121" s="63">
        <f>' 5-Forecast Cash Flow + Profits'!AM121</f>
        <v>-29353.86636149773</v>
      </c>
      <c r="H121" s="63">
        <f>' 5-Forecast Cash Flow + Profits'!AN121</f>
        <v>-5353.866361497734</v>
      </c>
      <c r="I121" s="63">
        <f>' 5-Forecast Cash Flow + Profits'!AO121</f>
        <v>-5353.866361497734</v>
      </c>
      <c r="J121" s="63">
        <f>' 5-Forecast Cash Flow + Profits'!AP121</f>
        <v>-11353.866361497734</v>
      </c>
      <c r="O121" s="23">
        <v>118</v>
      </c>
      <c r="P121" s="23" t="str">
        <f>VLOOKUP(O121,$A$4:$B$247,2,FALSE)</f>
        <v>W231</v>
      </c>
      <c r="Q121" s="23" t="str">
        <f>VLOOKUP(O121,$A$4:$F$247,5,FALSE)</f>
        <v>Richmond</v>
      </c>
      <c r="R121" s="23" t="str">
        <f>VLOOKUP(O121,$A$4:$F$247,6,FALSE)</f>
        <v>VA</v>
      </c>
      <c r="S121" s="68">
        <f>O121*' 5-Forecast Cash Flow + Profits'!$AG$7</f>
        <v>3540000</v>
      </c>
      <c r="T121" s="68">
        <f>VLOOKUP(O121,$A$4:$C$247,3,FALSE)</f>
        <v>-12812.44724391905</v>
      </c>
      <c r="U121" s="68">
        <f>VLOOKUP(O121,$A$4:$D$247,4,FALSE)</f>
        <v>-6196.5472439190489</v>
      </c>
      <c r="V121" s="89" t="str">
        <f>IF(S121&lt;$L$6,IF(U121&gt;' 5-Forecast Cash Flow + Profits'!$AG$29,"YES","NO"),"NO")</f>
        <v>NO</v>
      </c>
      <c r="W121" s="89" t="str">
        <f>IF(U121&gt;' 5-Forecast Cash Flow + Profits'!$AG$29, "YES", "NO")</f>
        <v>NO</v>
      </c>
      <c r="X121" s="68">
        <f>T121+X120</f>
        <v>1575871.3806499904</v>
      </c>
      <c r="Y121" s="68">
        <f>VLOOKUP($O121,$A$4:$J$247,7,FALSE)</f>
        <v>-24196.547243919049</v>
      </c>
      <c r="Z121" s="68">
        <f>VLOOKUP($O121,$A$4:$J$247,8,FALSE)</f>
        <v>-196.54724391904892</v>
      </c>
      <c r="AA121" s="68">
        <f>VLOOKUP($O121,$A$4:$J$247,9,FALSE)</f>
        <v>-196.54724391904892</v>
      </c>
      <c r="AB121" s="68">
        <f>VLOOKUP($O121,$A$4:$J$247,10,FALSE)</f>
        <v>-6196.5472439190489</v>
      </c>
    </row>
    <row r="122" spans="1:28">
      <c r="A122" s="23">
        <f>_xlfn.RANK.EQ(' 5-Forecast Cash Flow + Profits'!AP122,' 5-Forecast Cash Flow + Profits'!$AP$4:$AP$247,0)</f>
        <v>199</v>
      </c>
      <c r="B122" s="23" t="str">
        <f>' 5-Forecast Cash Flow + Profits'!A122</f>
        <v>W205</v>
      </c>
      <c r="C122" s="68">
        <f>' 5-Forecast Cash Flow + Profits'!AD122+' 5-Forecast Cash Flow + Profits'!AI122</f>
        <v>-25442.296750708163</v>
      </c>
      <c r="D122" s="68">
        <f>' 5-Forecast Cash Flow + Profits'!AP122</f>
        <v>-16199.296750708167</v>
      </c>
      <c r="E122" t="s">
        <v>432</v>
      </c>
      <c r="F122" t="s">
        <v>433</v>
      </c>
      <c r="G122" s="63">
        <f>' 5-Forecast Cash Flow + Profits'!AM122</f>
        <v>-34199.296750708163</v>
      </c>
      <c r="H122" s="63">
        <f>' 5-Forecast Cash Flow + Profits'!AN122</f>
        <v>-10199.296750708167</v>
      </c>
      <c r="I122" s="63">
        <f>' 5-Forecast Cash Flow + Profits'!AO122</f>
        <v>-10199.296750708167</v>
      </c>
      <c r="J122" s="63">
        <f>' 5-Forecast Cash Flow + Profits'!AP122</f>
        <v>-16199.296750708167</v>
      </c>
      <c r="O122" s="23">
        <v>119</v>
      </c>
      <c r="P122" s="23" t="str">
        <f>VLOOKUP(O122,$A$4:$B$247,2,FALSE)</f>
        <v>W127</v>
      </c>
      <c r="Q122" s="23" t="str">
        <f>VLOOKUP(O122,$A$4:$F$247,5,FALSE)</f>
        <v>Bentonville</v>
      </c>
      <c r="R122" s="23" t="str">
        <f>VLOOKUP(O122,$A$4:$F$247,6,FALSE)</f>
        <v>AR</v>
      </c>
      <c r="S122" s="68">
        <f>O122*' 5-Forecast Cash Flow + Profits'!$AG$7</f>
        <v>3570000</v>
      </c>
      <c r="T122" s="68">
        <f>VLOOKUP(O122,$A$4:$C$247,3,FALSE)</f>
        <v>-12614.461373874779</v>
      </c>
      <c r="U122" s="68">
        <f>VLOOKUP(O122,$A$4:$D$247,4,FALSE)</f>
        <v>-6290.4613738747794</v>
      </c>
      <c r="V122" s="89" t="str">
        <f>IF(S122&lt;$L$6,IF(U122&gt;' 5-Forecast Cash Flow + Profits'!$AG$29,"YES","NO"),"NO")</f>
        <v>NO</v>
      </c>
      <c r="W122" s="89" t="str">
        <f>IF(U122&gt;' 5-Forecast Cash Flow + Profits'!$AG$29, "YES", "NO")</f>
        <v>NO</v>
      </c>
      <c r="X122" s="68">
        <f>T122+X121</f>
        <v>1563256.9192761157</v>
      </c>
      <c r="Y122" s="68">
        <f>VLOOKUP($O122,$A$4:$J$247,7,FALSE)</f>
        <v>-24290.461373874779</v>
      </c>
      <c r="Z122" s="68">
        <f>VLOOKUP($O122,$A$4:$J$247,8,FALSE)</f>
        <v>-290.46137387477938</v>
      </c>
      <c r="AA122" s="68">
        <f>VLOOKUP($O122,$A$4:$J$247,9,FALSE)</f>
        <v>-290.46137387477938</v>
      </c>
      <c r="AB122" s="68">
        <f>VLOOKUP($O122,$A$4:$J$247,10,FALSE)</f>
        <v>-6290.4613738747794</v>
      </c>
    </row>
    <row r="123" spans="1:28">
      <c r="A123" s="23">
        <f>_xlfn.RANK.EQ(' 5-Forecast Cash Flow + Profits'!AP123,' 5-Forecast Cash Flow + Profits'!$AP$4:$AP$247,0)</f>
        <v>182</v>
      </c>
      <c r="B123" s="23" t="str">
        <f>' 5-Forecast Cash Flow + Profits'!A123</f>
        <v>W206</v>
      </c>
      <c r="C123" s="68">
        <f>' 5-Forecast Cash Flow + Profits'!AD123+' 5-Forecast Cash Flow + Profits'!AI123</f>
        <v>-20316.743270715826</v>
      </c>
      <c r="D123" s="68">
        <f>' 5-Forecast Cash Flow + Profits'!AP123</f>
        <v>-14459.783270715829</v>
      </c>
      <c r="E123" t="s">
        <v>432</v>
      </c>
      <c r="F123" t="s">
        <v>433</v>
      </c>
      <c r="G123" s="63">
        <f>' 5-Forecast Cash Flow + Profits'!AM123</f>
        <v>-32459.783270715823</v>
      </c>
      <c r="H123" s="63">
        <f>' 5-Forecast Cash Flow + Profits'!AN123</f>
        <v>-8459.7832707158286</v>
      </c>
      <c r="I123" s="63">
        <f>' 5-Forecast Cash Flow + Profits'!AO123</f>
        <v>-8459.7832707158286</v>
      </c>
      <c r="J123" s="63">
        <f>' 5-Forecast Cash Flow + Profits'!AP123</f>
        <v>-14459.783270715829</v>
      </c>
      <c r="O123" s="23">
        <v>120</v>
      </c>
      <c r="P123" s="23" t="str">
        <f>VLOOKUP(O123,$A$4:$B$247,2,FALSE)</f>
        <v>W239</v>
      </c>
      <c r="Q123" s="23" t="str">
        <f>VLOOKUP(O123,$A$4:$F$247,5,FALSE)</f>
        <v>Charleston</v>
      </c>
      <c r="R123" s="23" t="str">
        <f>VLOOKUP(O123,$A$4:$F$247,6,FALSE)</f>
        <v>SC</v>
      </c>
      <c r="S123" s="68">
        <f>O123*' 5-Forecast Cash Flow + Profits'!$AG$7</f>
        <v>3600000</v>
      </c>
      <c r="T123" s="68">
        <f>VLOOKUP(O123,$A$4:$C$247,3,FALSE)</f>
        <v>-10625.935125241096</v>
      </c>
      <c r="U123" s="68">
        <f>VLOOKUP(O123,$A$4:$D$247,4,FALSE)</f>
        <v>-6461.9951252410974</v>
      </c>
      <c r="V123" s="89" t="str">
        <f>IF(S123&lt;$L$6,IF(U123&gt;' 5-Forecast Cash Flow + Profits'!$AG$29,"YES","NO"),"NO")</f>
        <v>NO</v>
      </c>
      <c r="W123" s="89" t="str">
        <f>IF(U123&gt;' 5-Forecast Cash Flow + Profits'!$AG$29, "YES", "NO")</f>
        <v>NO</v>
      </c>
      <c r="X123" s="68">
        <f>T123+X122</f>
        <v>1552630.9841508747</v>
      </c>
      <c r="Y123" s="68">
        <f>VLOOKUP($O123,$A$4:$J$247,7,FALSE)</f>
        <v>-24461.995125241097</v>
      </c>
      <c r="Z123" s="68">
        <f>VLOOKUP($O123,$A$4:$J$247,8,FALSE)</f>
        <v>-461.99512524109741</v>
      </c>
      <c r="AA123" s="68">
        <f>VLOOKUP($O123,$A$4:$J$247,9,FALSE)</f>
        <v>-461.99512524109741</v>
      </c>
      <c r="AB123" s="68">
        <f>VLOOKUP($O123,$A$4:$J$247,10,FALSE)</f>
        <v>-6461.9951252410974</v>
      </c>
    </row>
    <row r="124" spans="1:28">
      <c r="A124" s="23">
        <f>_xlfn.RANK.EQ(' 5-Forecast Cash Flow + Profits'!AP124,' 5-Forecast Cash Flow + Profits'!$AP$4:$AP$247,0)</f>
        <v>102</v>
      </c>
      <c r="B124" s="23" t="str">
        <f>' 5-Forecast Cash Flow + Profits'!A124</f>
        <v>W207</v>
      </c>
      <c r="C124" s="68">
        <f>' 5-Forecast Cash Flow + Profits'!AD124+' 5-Forecast Cash Flow + Profits'!AI124</f>
        <v>-12067.551736980055</v>
      </c>
      <c r="D124" s="68">
        <f>' 5-Forecast Cash Flow + Profits'!AP124</f>
        <v>-4575.9517369800524</v>
      </c>
      <c r="E124" t="s">
        <v>432</v>
      </c>
      <c r="F124" t="s">
        <v>433</v>
      </c>
      <c r="G124" s="63">
        <f>' 5-Forecast Cash Flow + Profits'!AM124</f>
        <v>-22575.951736980052</v>
      </c>
      <c r="H124" s="63">
        <f>' 5-Forecast Cash Flow + Profits'!AN124</f>
        <v>1424.0482630199476</v>
      </c>
      <c r="I124" s="63">
        <f>' 5-Forecast Cash Flow + Profits'!AO124</f>
        <v>1424.0482630199476</v>
      </c>
      <c r="J124" s="63">
        <f>' 5-Forecast Cash Flow + Profits'!AP124</f>
        <v>-4575.9517369800524</v>
      </c>
      <c r="O124" s="23">
        <v>121</v>
      </c>
      <c r="P124" s="23" t="str">
        <f>VLOOKUP(O124,$A$4:$B$247,2,FALSE)</f>
        <v>W17</v>
      </c>
      <c r="Q124" s="23" t="str">
        <f>VLOOKUP(O124,$A$4:$F$247,5,FALSE)</f>
        <v>Chicago</v>
      </c>
      <c r="R124" s="23" t="str">
        <f>VLOOKUP(O124,$A$4:$F$247,6,FALSE)</f>
        <v>IL</v>
      </c>
      <c r="S124" s="68">
        <f>O124*' 5-Forecast Cash Flow + Profits'!$AG$7</f>
        <v>3630000</v>
      </c>
      <c r="T124" s="68">
        <f>VLOOKUP(O124,$A$4:$C$247,3,FALSE)</f>
        <v>4587.033687251409</v>
      </c>
      <c r="U124" s="68">
        <f>VLOOKUP(O124,$A$4:$D$247,4,FALSE)</f>
        <v>-6602.966312748591</v>
      </c>
      <c r="V124" s="89" t="str">
        <f>IF(S124&lt;$L$6,IF(U124&gt;' 5-Forecast Cash Flow + Profits'!$AG$29,"YES","NO"),"NO")</f>
        <v>NO</v>
      </c>
      <c r="W124" s="89" t="str">
        <f>IF(U124&gt;' 5-Forecast Cash Flow + Profits'!$AG$29, "YES", "NO")</f>
        <v>NO</v>
      </c>
      <c r="X124" s="68">
        <f>T124+X123</f>
        <v>1557218.017838126</v>
      </c>
      <c r="Y124" s="68">
        <f>VLOOKUP($O124,$A$4:$J$247,7,FALSE)</f>
        <v>-24602.966312748591</v>
      </c>
      <c r="Z124" s="68">
        <f>VLOOKUP($O124,$A$4:$J$247,8,FALSE)</f>
        <v>-602.96631274859101</v>
      </c>
      <c r="AA124" s="68">
        <f>VLOOKUP($O124,$A$4:$J$247,9,FALSE)</f>
        <v>-602.96631274859101</v>
      </c>
      <c r="AB124" s="68">
        <f>VLOOKUP($O124,$A$4:$J$247,10,FALSE)</f>
        <v>-6602.966312748591</v>
      </c>
    </row>
    <row r="125" spans="1:28">
      <c r="A125" s="23">
        <f>_xlfn.RANK.EQ(' 5-Forecast Cash Flow + Profits'!AP125,' 5-Forecast Cash Flow + Profits'!$AP$4:$AP$247,0)</f>
        <v>104</v>
      </c>
      <c r="B125" s="23" t="str">
        <f>' 5-Forecast Cash Flow + Profits'!A125</f>
        <v>W208</v>
      </c>
      <c r="C125" s="68">
        <f>' 5-Forecast Cash Flow + Profits'!AD125+' 5-Forecast Cash Flow + Profits'!AI125</f>
        <v>-6531.3816563035143</v>
      </c>
      <c r="D125" s="68">
        <f>' 5-Forecast Cash Flow + Profits'!AP125</f>
        <v>-4877.7816563035158</v>
      </c>
      <c r="E125" t="s">
        <v>432</v>
      </c>
      <c r="F125" t="s">
        <v>433</v>
      </c>
      <c r="G125" s="63">
        <f>' 5-Forecast Cash Flow + Profits'!AM125</f>
        <v>-22877.781656303516</v>
      </c>
      <c r="H125" s="63">
        <f>' 5-Forecast Cash Flow + Profits'!AN125</f>
        <v>1122.2183436964842</v>
      </c>
      <c r="I125" s="63">
        <f>' 5-Forecast Cash Flow + Profits'!AO125</f>
        <v>1122.2183436964842</v>
      </c>
      <c r="J125" s="63">
        <f>' 5-Forecast Cash Flow + Profits'!AP125</f>
        <v>-4877.7816563035158</v>
      </c>
      <c r="O125" s="23">
        <v>122</v>
      </c>
      <c r="P125" s="23" t="str">
        <f>VLOOKUP(O125,$A$4:$B$247,2,FALSE)</f>
        <v>W7</v>
      </c>
      <c r="Q125" s="23" t="str">
        <f>VLOOKUP(O125,$A$4:$F$247,5,FALSE)</f>
        <v>Chapel Hill</v>
      </c>
      <c r="R125" s="23" t="str">
        <f>VLOOKUP(O125,$A$4:$F$247,6,FALSE)</f>
        <v>NC</v>
      </c>
      <c r="S125" s="68">
        <f>O125*' 5-Forecast Cash Flow + Profits'!$AG$7</f>
        <v>3660000</v>
      </c>
      <c r="T125" s="68">
        <f>VLOOKUP(O125,$A$4:$C$247,3,FALSE)</f>
        <v>-11814.337146869952</v>
      </c>
      <c r="U125" s="68">
        <f>VLOOKUP(O125,$A$4:$D$247,4,FALSE)</f>
        <v>-6657.9371468699519</v>
      </c>
      <c r="V125" s="89" t="str">
        <f>IF(S125&lt;$L$6,IF(U125&gt;' 5-Forecast Cash Flow + Profits'!$AG$29,"YES","NO"),"NO")</f>
        <v>NO</v>
      </c>
      <c r="W125" s="89" t="str">
        <f>IF(U125&gt;' 5-Forecast Cash Flow + Profits'!$AG$29, "YES", "NO")</f>
        <v>NO</v>
      </c>
      <c r="X125" s="68">
        <f>T125+X124</f>
        <v>1545403.6806912562</v>
      </c>
      <c r="Y125" s="68">
        <f>VLOOKUP($O125,$A$4:$J$247,7,FALSE)</f>
        <v>-24657.937146869954</v>
      </c>
      <c r="Z125" s="68">
        <f>VLOOKUP($O125,$A$4:$J$247,8,FALSE)</f>
        <v>-657.9371468699519</v>
      </c>
      <c r="AA125" s="68">
        <f>VLOOKUP($O125,$A$4:$J$247,9,FALSE)</f>
        <v>-657.9371468699519</v>
      </c>
      <c r="AB125" s="68">
        <f>VLOOKUP($O125,$A$4:$J$247,10,FALSE)</f>
        <v>-6657.9371468699519</v>
      </c>
    </row>
    <row r="126" spans="1:28">
      <c r="A126" s="23">
        <f>_xlfn.RANK.EQ(' 5-Forecast Cash Flow + Profits'!AP126,' 5-Forecast Cash Flow + Profits'!$AP$4:$AP$247,0)</f>
        <v>210</v>
      </c>
      <c r="B126" s="23" t="str">
        <f>' 5-Forecast Cash Flow + Profits'!A126</f>
        <v>W209</v>
      </c>
      <c r="C126" s="68">
        <f>' 5-Forecast Cash Flow + Profits'!AD126+' 5-Forecast Cash Flow + Profits'!AI126</f>
        <v>-26337.390381326273</v>
      </c>
      <c r="D126" s="68">
        <f>' 5-Forecast Cash Flow + Profits'!AP126</f>
        <v>-17970.09038132627</v>
      </c>
      <c r="E126" t="s">
        <v>432</v>
      </c>
      <c r="F126" t="s">
        <v>433</v>
      </c>
      <c r="G126" s="63">
        <f>' 5-Forecast Cash Flow + Profits'!AM126</f>
        <v>-35970.09038132627</v>
      </c>
      <c r="H126" s="63">
        <f>' 5-Forecast Cash Flow + Profits'!AN126</f>
        <v>-11970.09038132627</v>
      </c>
      <c r="I126" s="63">
        <f>' 5-Forecast Cash Flow + Profits'!AO126</f>
        <v>-11970.09038132627</v>
      </c>
      <c r="J126" s="63">
        <f>' 5-Forecast Cash Flow + Profits'!AP126</f>
        <v>-17970.09038132627</v>
      </c>
      <c r="O126" s="23">
        <v>123</v>
      </c>
      <c r="P126" s="23" t="str">
        <f>VLOOKUP(O126,$A$4:$B$247,2,FALSE)</f>
        <v>W224</v>
      </c>
      <c r="Q126" s="23" t="str">
        <f>VLOOKUP(O126,$A$4:$F$247,5,FALSE)</f>
        <v>Richmond</v>
      </c>
      <c r="R126" s="23" t="str">
        <f>VLOOKUP(O126,$A$4:$F$247,6,FALSE)</f>
        <v>VA</v>
      </c>
      <c r="S126" s="68">
        <f>O126*' 5-Forecast Cash Flow + Profits'!$AG$7</f>
        <v>3690000</v>
      </c>
      <c r="T126" s="68">
        <f>VLOOKUP(O126,$A$4:$C$247,3,FALSE)</f>
        <v>-4545.8094861240243</v>
      </c>
      <c r="U126" s="68">
        <f>VLOOKUP(O126,$A$4:$D$247,4,FALSE)</f>
        <v>-6686.9094861240264</v>
      </c>
      <c r="V126" s="89" t="str">
        <f>IF(S126&lt;$L$6,IF(U126&gt;' 5-Forecast Cash Flow + Profits'!$AG$29,"YES","NO"),"NO")</f>
        <v>NO</v>
      </c>
      <c r="W126" s="89" t="str">
        <f>IF(U126&gt;' 5-Forecast Cash Flow + Profits'!$AG$29, "YES", "NO")</f>
        <v>NO</v>
      </c>
      <c r="X126" s="68">
        <f>T126+X125</f>
        <v>1540857.8712051322</v>
      </c>
      <c r="Y126" s="68">
        <f>VLOOKUP($O126,$A$4:$J$247,7,FALSE)</f>
        <v>-24686.909486124023</v>
      </c>
      <c r="Z126" s="68">
        <f>VLOOKUP($O126,$A$4:$J$247,8,FALSE)</f>
        <v>-686.90948612402644</v>
      </c>
      <c r="AA126" s="68">
        <f>VLOOKUP($O126,$A$4:$J$247,9,FALSE)</f>
        <v>-686.90948612402644</v>
      </c>
      <c r="AB126" s="68">
        <f>VLOOKUP($O126,$A$4:$J$247,10,FALSE)</f>
        <v>-6686.9094861240264</v>
      </c>
    </row>
    <row r="127" spans="1:28">
      <c r="A127" s="23">
        <f>_xlfn.RANK.EQ(' 5-Forecast Cash Flow + Profits'!AP127,' 5-Forecast Cash Flow + Profits'!$AP$4:$AP$247,0)</f>
        <v>174</v>
      </c>
      <c r="B127" s="23" t="str">
        <f>' 5-Forecast Cash Flow + Profits'!A127</f>
        <v>W21</v>
      </c>
      <c r="C127" s="68">
        <f>' 5-Forecast Cash Flow + Profits'!AD127+' 5-Forecast Cash Flow + Profits'!AI127</f>
        <v>397.71421077993</v>
      </c>
      <c r="D127" s="68">
        <f>' 5-Forecast Cash Flow + Profits'!AP127</f>
        <v>-13127.485789220071</v>
      </c>
      <c r="E127" t="s">
        <v>429</v>
      </c>
      <c r="F127" t="s">
        <v>430</v>
      </c>
      <c r="G127" s="63">
        <f>' 5-Forecast Cash Flow + Profits'!AM127</f>
        <v>-31127.485789220071</v>
      </c>
      <c r="H127" s="63">
        <f>' 5-Forecast Cash Flow + Profits'!AN127</f>
        <v>-7127.4857892200725</v>
      </c>
      <c r="I127" s="63">
        <f>' 5-Forecast Cash Flow + Profits'!AO127</f>
        <v>-7127.4857892200725</v>
      </c>
      <c r="J127" s="63">
        <f>' 5-Forecast Cash Flow + Profits'!AP127</f>
        <v>-13127.485789220071</v>
      </c>
      <c r="O127" s="23">
        <v>124</v>
      </c>
      <c r="P127" s="23" t="str">
        <f>VLOOKUP(O127,$A$4:$B$247,2,FALSE)</f>
        <v>W216</v>
      </c>
      <c r="Q127" s="23" t="str">
        <f>VLOOKUP(O127,$A$4:$F$247,5,FALSE)</f>
        <v>Columbus</v>
      </c>
      <c r="R127" s="23" t="str">
        <f>VLOOKUP(O127,$A$4:$F$247,6,FALSE)</f>
        <v>OH</v>
      </c>
      <c r="S127" s="68">
        <f>O127*' 5-Forecast Cash Flow + Profits'!$AG$7</f>
        <v>3720000</v>
      </c>
      <c r="T127" s="68">
        <f>VLOOKUP(O127,$A$4:$C$247,3,FALSE)</f>
        <v>-10722.658019215804</v>
      </c>
      <c r="U127" s="68">
        <f>VLOOKUP(O127,$A$4:$D$247,4,FALSE)</f>
        <v>-6733.8580192158042</v>
      </c>
      <c r="V127" s="89" t="str">
        <f>IF(S127&lt;$L$6,IF(U127&gt;' 5-Forecast Cash Flow + Profits'!$AG$29,"YES","NO"),"NO")</f>
        <v>NO</v>
      </c>
      <c r="W127" s="89" t="str">
        <f>IF(U127&gt;' 5-Forecast Cash Flow + Profits'!$AG$29, "YES", "NO")</f>
        <v>NO</v>
      </c>
      <c r="X127" s="68">
        <f>T127+X126</f>
        <v>1530135.2131859164</v>
      </c>
      <c r="Y127" s="68">
        <f>VLOOKUP($O127,$A$4:$J$247,7,FALSE)</f>
        <v>-24733.858019215804</v>
      </c>
      <c r="Z127" s="68">
        <f>VLOOKUP($O127,$A$4:$J$247,8,FALSE)</f>
        <v>-733.85801921580423</v>
      </c>
      <c r="AA127" s="68">
        <f>VLOOKUP($O127,$A$4:$J$247,9,FALSE)</f>
        <v>-733.85801921580423</v>
      </c>
      <c r="AB127" s="68">
        <f>VLOOKUP($O127,$A$4:$J$247,10,FALSE)</f>
        <v>-6733.8580192158042</v>
      </c>
    </row>
    <row r="128" spans="1:28">
      <c r="A128" s="23">
        <f>_xlfn.RANK.EQ(' 5-Forecast Cash Flow + Profits'!AP128,' 5-Forecast Cash Flow + Profits'!$AP$4:$AP$247,0)</f>
        <v>196</v>
      </c>
      <c r="B128" s="23" t="str">
        <f>' 5-Forecast Cash Flow + Profits'!A128</f>
        <v>W210</v>
      </c>
      <c r="C128" s="68">
        <f>' 5-Forecast Cash Flow + Profits'!AD128+' 5-Forecast Cash Flow + Profits'!AI128</f>
        <v>-18345.376547641856</v>
      </c>
      <c r="D128" s="68">
        <f>' 5-Forecast Cash Flow + Profits'!AP128</f>
        <v>-15524.176547641859</v>
      </c>
      <c r="E128" t="s">
        <v>432</v>
      </c>
      <c r="F128" t="s">
        <v>433</v>
      </c>
      <c r="G128" s="63">
        <f>' 5-Forecast Cash Flow + Profits'!AM128</f>
        <v>-33524.176547641851</v>
      </c>
      <c r="H128" s="63">
        <f>' 5-Forecast Cash Flow + Profits'!AN128</f>
        <v>-9524.1765476418586</v>
      </c>
      <c r="I128" s="63">
        <f>' 5-Forecast Cash Flow + Profits'!AO128</f>
        <v>-9524.1765476418586</v>
      </c>
      <c r="J128" s="63">
        <f>' 5-Forecast Cash Flow + Profits'!AP128</f>
        <v>-15524.176547641859</v>
      </c>
      <c r="O128" s="23">
        <v>125</v>
      </c>
      <c r="P128" s="23" t="str">
        <f>VLOOKUP(O128,$A$4:$B$247,2,FALSE)</f>
        <v>W147</v>
      </c>
      <c r="Q128" s="23" t="str">
        <f>VLOOKUP(O128,$A$4:$F$247,5,FALSE)</f>
        <v>Denver</v>
      </c>
      <c r="R128" s="23" t="str">
        <f>VLOOKUP(O128,$A$4:$F$247,6,FALSE)</f>
        <v>CO</v>
      </c>
      <c r="S128" s="68">
        <f>O128*' 5-Forecast Cash Flow + Profits'!$AG$7</f>
        <v>3750000</v>
      </c>
      <c r="T128" s="68">
        <f>VLOOKUP(O128,$A$4:$C$247,3,FALSE)</f>
        <v>-8643.2673175921373</v>
      </c>
      <c r="U128" s="68">
        <f>VLOOKUP(O128,$A$4:$D$247,4,FALSE)</f>
        <v>-6989.6673175921387</v>
      </c>
      <c r="V128" s="89" t="str">
        <f>IF(S128&lt;$L$6,IF(U128&gt;' 5-Forecast Cash Flow + Profits'!$AG$29,"YES","NO"),"NO")</f>
        <v>NO</v>
      </c>
      <c r="W128" s="89" t="str">
        <f>IF(U128&gt;' 5-Forecast Cash Flow + Profits'!$AG$29, "YES", "NO")</f>
        <v>NO</v>
      </c>
      <c r="X128" s="68">
        <f>T128+X127</f>
        <v>1521491.9458683243</v>
      </c>
      <c r="Y128" s="68">
        <f>VLOOKUP($O128,$A$4:$J$247,7,FALSE)</f>
        <v>-24989.667317592139</v>
      </c>
      <c r="Z128" s="68">
        <f>VLOOKUP($O128,$A$4:$J$247,8,FALSE)</f>
        <v>-989.66731759213872</v>
      </c>
      <c r="AA128" s="68">
        <f>VLOOKUP($O128,$A$4:$J$247,9,FALSE)</f>
        <v>-989.66731759213872</v>
      </c>
      <c r="AB128" s="68">
        <f>VLOOKUP($O128,$A$4:$J$247,10,FALSE)</f>
        <v>-6989.6673175921387</v>
      </c>
    </row>
    <row r="129" spans="1:28">
      <c r="A129" s="23">
        <f>_xlfn.RANK.EQ(' 5-Forecast Cash Flow + Profits'!AP129,' 5-Forecast Cash Flow + Profits'!$AP$4:$AP$247,0)</f>
        <v>128</v>
      </c>
      <c r="B129" s="23" t="str">
        <f>' 5-Forecast Cash Flow + Profits'!A129</f>
        <v>W211</v>
      </c>
      <c r="C129" s="68">
        <f>' 5-Forecast Cash Flow + Profits'!AD129+' 5-Forecast Cash Flow + Profits'!AI129</f>
        <v>-13895.830208448384</v>
      </c>
      <c r="D129" s="68">
        <f>' 5-Forecast Cash Flow + Profits'!AP129</f>
        <v>-7571.8302084483803</v>
      </c>
      <c r="E129" t="s">
        <v>432</v>
      </c>
      <c r="F129" t="s">
        <v>433</v>
      </c>
      <c r="G129" s="63">
        <f>' 5-Forecast Cash Flow + Profits'!AM129</f>
        <v>-25571.830208448384</v>
      </c>
      <c r="H129" s="63">
        <f>' 5-Forecast Cash Flow + Profits'!AN129</f>
        <v>-1571.8302084483803</v>
      </c>
      <c r="I129" s="63">
        <f>' 5-Forecast Cash Flow + Profits'!AO129</f>
        <v>-1571.8302084483803</v>
      </c>
      <c r="J129" s="63">
        <f>' 5-Forecast Cash Flow + Profits'!AP129</f>
        <v>-7571.8302084483803</v>
      </c>
      <c r="O129" s="23">
        <v>126</v>
      </c>
      <c r="P129" s="23" t="str">
        <f>VLOOKUP(O129,$A$4:$B$247,2,FALSE)</f>
        <v>W131</v>
      </c>
      <c r="Q129" s="23" t="str">
        <f>VLOOKUP(O129,$A$4:$F$247,5,FALSE)</f>
        <v>Denver</v>
      </c>
      <c r="R129" s="23" t="str">
        <f>VLOOKUP(O129,$A$4:$F$247,6,FALSE)</f>
        <v>CO</v>
      </c>
      <c r="S129" s="68">
        <f>O129*' 5-Forecast Cash Flow + Profits'!$AG$7</f>
        <v>3780000</v>
      </c>
      <c r="T129" s="68">
        <f>VLOOKUP(O129,$A$4:$C$247,3,FALSE)</f>
        <v>-12379.425676569786</v>
      </c>
      <c r="U129" s="68">
        <f>VLOOKUP(O129,$A$4:$D$247,4,FALSE)</f>
        <v>-7223.0256765697868</v>
      </c>
      <c r="V129" s="89" t="str">
        <f>IF(S129&lt;$L$6,IF(U129&gt;' 5-Forecast Cash Flow + Profits'!$AG$29,"YES","NO"),"NO")</f>
        <v>NO</v>
      </c>
      <c r="W129" s="89" t="str">
        <f>IF(U129&gt;' 5-Forecast Cash Flow + Profits'!$AG$29, "YES", "NO")</f>
        <v>NO</v>
      </c>
      <c r="X129" s="68">
        <f>T129+X128</f>
        <v>1509112.5201917544</v>
      </c>
      <c r="Y129" s="68">
        <f>VLOOKUP($O129,$A$4:$J$247,7,FALSE)</f>
        <v>-25223.025676569785</v>
      </c>
      <c r="Z129" s="68">
        <f>VLOOKUP($O129,$A$4:$J$247,8,FALSE)</f>
        <v>-1223.0256765697868</v>
      </c>
      <c r="AA129" s="68">
        <f>VLOOKUP($O129,$A$4:$J$247,9,FALSE)</f>
        <v>-1223.0256765697868</v>
      </c>
      <c r="AB129" s="68">
        <f>VLOOKUP($O129,$A$4:$J$247,10,FALSE)</f>
        <v>-7223.0256765697868</v>
      </c>
    </row>
    <row r="130" spans="1:28">
      <c r="A130" s="23">
        <f>_xlfn.RANK.EQ(' 5-Forecast Cash Flow + Profits'!AP130,' 5-Forecast Cash Flow + Profits'!$AP$4:$AP$247,0)</f>
        <v>131</v>
      </c>
      <c r="B130" s="23" t="str">
        <f>' 5-Forecast Cash Flow + Profits'!A130</f>
        <v>W212</v>
      </c>
      <c r="C130" s="68">
        <f>' 5-Forecast Cash Flow + Profits'!AD130+' 5-Forecast Cash Flow + Profits'!AI130</f>
        <v>-8488.5429322719792</v>
      </c>
      <c r="D130" s="68">
        <f>' 5-Forecast Cash Flow + Profits'!AP130</f>
        <v>-7769.0229322719824</v>
      </c>
      <c r="E130" t="s">
        <v>432</v>
      </c>
      <c r="F130" t="s">
        <v>433</v>
      </c>
      <c r="G130" s="63">
        <f>' 5-Forecast Cash Flow + Profits'!AM130</f>
        <v>-25769.022932271979</v>
      </c>
      <c r="H130" s="63">
        <f>' 5-Forecast Cash Flow + Profits'!AN130</f>
        <v>-1769.0229322719824</v>
      </c>
      <c r="I130" s="63">
        <f>' 5-Forecast Cash Flow + Profits'!AO130</f>
        <v>-1769.0229322719824</v>
      </c>
      <c r="J130" s="63">
        <f>' 5-Forecast Cash Flow + Profits'!AP130</f>
        <v>-7769.0229322719824</v>
      </c>
      <c r="O130" s="23">
        <v>127</v>
      </c>
      <c r="P130" s="23" t="str">
        <f>VLOOKUP(O130,$A$4:$B$247,2,FALSE)</f>
        <v>W33</v>
      </c>
      <c r="Q130" s="23" t="str">
        <f>VLOOKUP(O130,$A$4:$F$247,5,FALSE)</f>
        <v>Chicago</v>
      </c>
      <c r="R130" s="23" t="str">
        <f>VLOOKUP(O130,$A$4:$F$247,6,FALSE)</f>
        <v>IL</v>
      </c>
      <c r="S130" s="68">
        <f>O130*' 5-Forecast Cash Flow + Profits'!$AG$7</f>
        <v>3810000</v>
      </c>
      <c r="T130" s="68">
        <f>VLOOKUP(O130,$A$4:$C$247,3,FALSE)</f>
        <v>9723.7825880077507</v>
      </c>
      <c r="U130" s="68">
        <f>VLOOKUP(O130,$A$4:$D$247,4,FALSE)</f>
        <v>-7304.2174119922529</v>
      </c>
      <c r="V130" s="89" t="str">
        <f>IF(S130&lt;$L$6,IF(U130&gt;' 5-Forecast Cash Flow + Profits'!$AG$29,"YES","NO"),"NO")</f>
        <v>NO</v>
      </c>
      <c r="W130" s="89" t="str">
        <f>IF(U130&gt;' 5-Forecast Cash Flow + Profits'!$AG$29, "YES", "NO")</f>
        <v>NO</v>
      </c>
      <c r="X130" s="68">
        <f>T130+X129</f>
        <v>1518836.3027797623</v>
      </c>
      <c r="Y130" s="68">
        <f>VLOOKUP($O130,$A$4:$J$247,7,FALSE)</f>
        <v>-25304.217411992249</v>
      </c>
      <c r="Z130" s="68">
        <f>VLOOKUP($O130,$A$4:$J$247,8,FALSE)</f>
        <v>-1304.2174119922529</v>
      </c>
      <c r="AA130" s="68">
        <f>VLOOKUP($O130,$A$4:$J$247,9,FALSE)</f>
        <v>-1304.2174119922529</v>
      </c>
      <c r="AB130" s="68">
        <f>VLOOKUP($O130,$A$4:$J$247,10,FALSE)</f>
        <v>-7304.2174119922529</v>
      </c>
    </row>
    <row r="131" spans="1:28">
      <c r="A131" s="23">
        <f>_xlfn.RANK.EQ(' 5-Forecast Cash Flow + Profits'!AP131,' 5-Forecast Cash Flow + Profits'!$AP$4:$AP$247,0)</f>
        <v>198</v>
      </c>
      <c r="B131" s="23" t="str">
        <f>' 5-Forecast Cash Flow + Profits'!A131</f>
        <v>W213</v>
      </c>
      <c r="C131" s="68">
        <f>' 5-Forecast Cash Flow + Profits'!AD131+' 5-Forecast Cash Flow + Profits'!AI131</f>
        <v>-26494.531307712547</v>
      </c>
      <c r="D131" s="68">
        <f>' 5-Forecast Cash Flow + Profits'!AP131</f>
        <v>-16083.931307712541</v>
      </c>
      <c r="E131" t="s">
        <v>432</v>
      </c>
      <c r="F131" t="s">
        <v>433</v>
      </c>
      <c r="G131" s="63">
        <f>' 5-Forecast Cash Flow + Profits'!AM131</f>
        <v>-34083.931307712541</v>
      </c>
      <c r="H131" s="63">
        <f>' 5-Forecast Cash Flow + Profits'!AN131</f>
        <v>-10083.931307712541</v>
      </c>
      <c r="I131" s="63">
        <f>' 5-Forecast Cash Flow + Profits'!AO131</f>
        <v>-10083.931307712541</v>
      </c>
      <c r="J131" s="63">
        <f>' 5-Forecast Cash Flow + Profits'!AP131</f>
        <v>-16083.931307712541</v>
      </c>
      <c r="O131" s="23">
        <v>128</v>
      </c>
      <c r="P131" s="23" t="str">
        <f>VLOOKUP(O131,$A$4:$B$247,2,FALSE)</f>
        <v>W211</v>
      </c>
      <c r="Q131" s="23" t="str">
        <f>VLOOKUP(O131,$A$4:$F$247,5,FALSE)</f>
        <v>Columbus</v>
      </c>
      <c r="R131" s="23" t="str">
        <f>VLOOKUP(O131,$A$4:$F$247,6,FALSE)</f>
        <v>OH</v>
      </c>
      <c r="S131" s="68">
        <f>O131*' 5-Forecast Cash Flow + Profits'!$AG$7</f>
        <v>3840000</v>
      </c>
      <c r="T131" s="68">
        <f>VLOOKUP(O131,$A$4:$C$247,3,FALSE)</f>
        <v>-13895.830208448384</v>
      </c>
      <c r="U131" s="68">
        <f>VLOOKUP(O131,$A$4:$D$247,4,FALSE)</f>
        <v>-7571.8302084483803</v>
      </c>
      <c r="V131" s="89" t="str">
        <f>IF(S131&lt;$L$6,IF(U131&gt;' 5-Forecast Cash Flow + Profits'!$AG$29,"YES","NO"),"NO")</f>
        <v>NO</v>
      </c>
      <c r="W131" s="89" t="str">
        <f>IF(U131&gt;' 5-Forecast Cash Flow + Profits'!$AG$29, "YES", "NO")</f>
        <v>NO</v>
      </c>
      <c r="X131" s="68">
        <f>T131+X130</f>
        <v>1504940.4725713138</v>
      </c>
      <c r="Y131" s="68">
        <f>VLOOKUP($O131,$A$4:$J$247,7,FALSE)</f>
        <v>-25571.830208448384</v>
      </c>
      <c r="Z131" s="68">
        <f>VLOOKUP($O131,$A$4:$J$247,8,FALSE)</f>
        <v>-1571.8302084483803</v>
      </c>
      <c r="AA131" s="68">
        <f>VLOOKUP($O131,$A$4:$J$247,9,FALSE)</f>
        <v>-1571.8302084483803</v>
      </c>
      <c r="AB131" s="68">
        <f>VLOOKUP($O131,$A$4:$J$247,10,FALSE)</f>
        <v>-7571.8302084483803</v>
      </c>
    </row>
    <row r="132" spans="1:28">
      <c r="A132" s="23">
        <f>_xlfn.RANK.EQ(' 5-Forecast Cash Flow + Profits'!AP132,' 5-Forecast Cash Flow + Profits'!$AP$4:$AP$247,0)</f>
        <v>180</v>
      </c>
      <c r="B132" s="23" t="str">
        <f>' 5-Forecast Cash Flow + Profits'!A132</f>
        <v>W214</v>
      </c>
      <c r="C132" s="68">
        <f>' 5-Forecast Cash Flow + Profits'!AD132+' 5-Forecast Cash Flow + Profits'!AI132</f>
        <v>-21250.042547902562</v>
      </c>
      <c r="D132" s="68">
        <f>' 5-Forecast Cash Flow + Profits'!AP132</f>
        <v>-13991.962547902562</v>
      </c>
      <c r="E132" t="s">
        <v>432</v>
      </c>
      <c r="F132" t="s">
        <v>433</v>
      </c>
      <c r="G132" s="63">
        <f>' 5-Forecast Cash Flow + Profits'!AM132</f>
        <v>-31991.962547902564</v>
      </c>
      <c r="H132" s="63">
        <f>' 5-Forecast Cash Flow + Profits'!AN132</f>
        <v>-7991.9625479025617</v>
      </c>
      <c r="I132" s="63">
        <f>' 5-Forecast Cash Flow + Profits'!AO132</f>
        <v>-7991.9625479025617</v>
      </c>
      <c r="J132" s="63">
        <f>' 5-Forecast Cash Flow + Profits'!AP132</f>
        <v>-13991.962547902562</v>
      </c>
      <c r="O132" s="23">
        <v>129</v>
      </c>
      <c r="P132" s="23" t="str">
        <f>VLOOKUP(O132,$A$4:$B$247,2,FALSE)</f>
        <v>W230</v>
      </c>
      <c r="Q132" s="23" t="str">
        <f>VLOOKUP(O132,$A$4:$F$247,5,FALSE)</f>
        <v>Richmond</v>
      </c>
      <c r="R132" s="23" t="str">
        <f>VLOOKUP(O132,$A$4:$F$247,6,FALSE)</f>
        <v>VA</v>
      </c>
      <c r="S132" s="68">
        <f>O132*' 5-Forecast Cash Flow + Profits'!$AG$7</f>
        <v>3870000</v>
      </c>
      <c r="T132" s="68">
        <f>VLOOKUP(O132,$A$4:$C$247,3,FALSE)</f>
        <v>-10227.507615911294</v>
      </c>
      <c r="U132" s="68">
        <f>VLOOKUP(O132,$A$4:$D$247,4,FALSE)</f>
        <v>-7698.2076159112876</v>
      </c>
      <c r="V132" s="89" t="str">
        <f>IF(S132&lt;$L$6,IF(U132&gt;' 5-Forecast Cash Flow + Profits'!$AG$29,"YES","NO"),"NO")</f>
        <v>NO</v>
      </c>
      <c r="W132" s="89" t="str">
        <f>IF(U132&gt;' 5-Forecast Cash Flow + Profits'!$AG$29, "YES", "NO")</f>
        <v>NO</v>
      </c>
      <c r="X132" s="68">
        <f>T132+X131</f>
        <v>1494712.9649554025</v>
      </c>
      <c r="Y132" s="68">
        <f>VLOOKUP($O132,$A$4:$J$247,7,FALSE)</f>
        <v>-25698.207615911291</v>
      </c>
      <c r="Z132" s="68">
        <f>VLOOKUP($O132,$A$4:$J$247,8,FALSE)</f>
        <v>-1698.2076159112876</v>
      </c>
      <c r="AA132" s="68">
        <f>VLOOKUP($O132,$A$4:$J$247,9,FALSE)</f>
        <v>-1698.2076159112876</v>
      </c>
      <c r="AB132" s="68">
        <f>VLOOKUP($O132,$A$4:$J$247,10,FALSE)</f>
        <v>-7698.2076159112876</v>
      </c>
    </row>
    <row r="133" spans="1:28">
      <c r="A133" s="23">
        <f>_xlfn.RANK.EQ(' 5-Forecast Cash Flow + Profits'!AP133,' 5-Forecast Cash Flow + Profits'!$AP$4:$AP$247,0)</f>
        <v>93</v>
      </c>
      <c r="B133" s="23" t="str">
        <f>' 5-Forecast Cash Flow + Profits'!A133</f>
        <v>W215</v>
      </c>
      <c r="C133" s="68">
        <f>' 5-Forecast Cash Flow + Profits'!AD133+' 5-Forecast Cash Flow + Profits'!AI133</f>
        <v>-11161.875973033548</v>
      </c>
      <c r="D133" s="68">
        <f>' 5-Forecast Cash Flow + Profits'!AP133</f>
        <v>-3436.7559730335524</v>
      </c>
      <c r="E133" t="s">
        <v>432</v>
      </c>
      <c r="F133" t="s">
        <v>433</v>
      </c>
      <c r="G133" s="63">
        <f>' 5-Forecast Cash Flow + Profits'!AM133</f>
        <v>-21436.755973033549</v>
      </c>
      <c r="H133" s="63">
        <f>' 5-Forecast Cash Flow + Profits'!AN133</f>
        <v>2563.2440269664476</v>
      </c>
      <c r="I133" s="63">
        <f>' 5-Forecast Cash Flow + Profits'!AO133</f>
        <v>2563.2440269664476</v>
      </c>
      <c r="J133" s="63">
        <f>' 5-Forecast Cash Flow + Profits'!AP133</f>
        <v>-3436.7559730335524</v>
      </c>
      <c r="O133" s="23">
        <v>130</v>
      </c>
      <c r="P133" s="23" t="str">
        <f>VLOOKUP(O133,$A$4:$B$247,2,FALSE)</f>
        <v>W39</v>
      </c>
      <c r="Q133" s="23" t="str">
        <f>VLOOKUP(O133,$A$4:$F$247,5,FALSE)</f>
        <v>New York</v>
      </c>
      <c r="R133" s="23" t="str">
        <f>VLOOKUP(O133,$A$4:$F$247,6,FALSE)</f>
        <v>NY</v>
      </c>
      <c r="S133" s="68">
        <f>O133*' 5-Forecast Cash Flow + Profits'!$AG$7</f>
        <v>3900000</v>
      </c>
      <c r="T133" s="68">
        <f>VLOOKUP(O133,$A$4:$C$247,3,FALSE)</f>
        <v>26821.109519514925</v>
      </c>
      <c r="U133" s="68">
        <f>VLOOKUP(O133,$A$4:$D$247,4,FALSE)</f>
        <v>-7720.890480485079</v>
      </c>
      <c r="V133" s="89" t="str">
        <f>IF(S133&lt;$L$6,IF(U133&gt;' 5-Forecast Cash Flow + Profits'!$AG$29,"YES","NO"),"NO")</f>
        <v>NO</v>
      </c>
      <c r="W133" s="89" t="str">
        <f>IF(U133&gt;' 5-Forecast Cash Flow + Profits'!$AG$29, "YES", "NO")</f>
        <v>NO</v>
      </c>
      <c r="X133" s="68">
        <f>T133+X132</f>
        <v>1521534.0744749175</v>
      </c>
      <c r="Y133" s="68">
        <f>VLOOKUP($O133,$A$4:$J$247,7,FALSE)</f>
        <v>-25720.890480485075</v>
      </c>
      <c r="Z133" s="68">
        <f>VLOOKUP($O133,$A$4:$J$247,8,FALSE)</f>
        <v>-1720.890480485079</v>
      </c>
      <c r="AA133" s="68">
        <f>VLOOKUP($O133,$A$4:$J$247,9,FALSE)</f>
        <v>-1720.890480485079</v>
      </c>
      <c r="AB133" s="68">
        <f>VLOOKUP($O133,$A$4:$J$247,10,FALSE)</f>
        <v>-7720.890480485079</v>
      </c>
    </row>
    <row r="134" spans="1:28">
      <c r="A134" s="23">
        <f>_xlfn.RANK.EQ(' 5-Forecast Cash Flow + Profits'!AP134,' 5-Forecast Cash Flow + Profits'!$AP$4:$AP$247,0)</f>
        <v>124</v>
      </c>
      <c r="B134" s="23" t="str">
        <f>' 5-Forecast Cash Flow + Profits'!A134</f>
        <v>W216</v>
      </c>
      <c r="C134" s="68">
        <f>' 5-Forecast Cash Flow + Profits'!AD134+' 5-Forecast Cash Flow + Profits'!AI134</f>
        <v>-10722.658019215804</v>
      </c>
      <c r="D134" s="68">
        <f>' 5-Forecast Cash Flow + Profits'!AP134</f>
        <v>-6733.8580192158042</v>
      </c>
      <c r="E134" t="s">
        <v>432</v>
      </c>
      <c r="F134" t="s">
        <v>433</v>
      </c>
      <c r="G134" s="63">
        <f>' 5-Forecast Cash Flow + Profits'!AM134</f>
        <v>-24733.858019215804</v>
      </c>
      <c r="H134" s="63">
        <f>' 5-Forecast Cash Flow + Profits'!AN134</f>
        <v>-733.85801921580423</v>
      </c>
      <c r="I134" s="63">
        <f>' 5-Forecast Cash Flow + Profits'!AO134</f>
        <v>-733.85801921580423</v>
      </c>
      <c r="J134" s="63">
        <f>' 5-Forecast Cash Flow + Profits'!AP134</f>
        <v>-6733.8580192158042</v>
      </c>
      <c r="O134" s="23">
        <v>131</v>
      </c>
      <c r="P134" s="23" t="str">
        <f>VLOOKUP(O134,$A$4:$B$247,2,FALSE)</f>
        <v>W212</v>
      </c>
      <c r="Q134" s="23" t="str">
        <f>VLOOKUP(O134,$A$4:$F$247,5,FALSE)</f>
        <v>Columbus</v>
      </c>
      <c r="R134" s="23" t="str">
        <f>VLOOKUP(O134,$A$4:$F$247,6,FALSE)</f>
        <v>OH</v>
      </c>
      <c r="S134" s="68">
        <f>O134*' 5-Forecast Cash Flow + Profits'!$AG$7</f>
        <v>3930000</v>
      </c>
      <c r="T134" s="68">
        <f>VLOOKUP(O134,$A$4:$C$247,3,FALSE)</f>
        <v>-8488.5429322719792</v>
      </c>
      <c r="U134" s="68">
        <f>VLOOKUP(O134,$A$4:$D$247,4,FALSE)</f>
        <v>-7769.0229322719824</v>
      </c>
      <c r="V134" s="89" t="str">
        <f>IF(S134&lt;$L$6,IF(U134&gt;' 5-Forecast Cash Flow + Profits'!$AG$29,"YES","NO"),"NO")</f>
        <v>NO</v>
      </c>
      <c r="W134" s="89" t="str">
        <f>IF(U134&gt;' 5-Forecast Cash Flow + Profits'!$AG$29, "YES", "NO")</f>
        <v>NO</v>
      </c>
      <c r="X134" s="68">
        <f>T134+X133</f>
        <v>1513045.5315426455</v>
      </c>
      <c r="Y134" s="68">
        <f>VLOOKUP($O134,$A$4:$J$247,7,FALSE)</f>
        <v>-25769.022932271979</v>
      </c>
      <c r="Z134" s="68">
        <f>VLOOKUP($O134,$A$4:$J$247,8,FALSE)</f>
        <v>-1769.0229322719824</v>
      </c>
      <c r="AA134" s="68">
        <f>VLOOKUP($O134,$A$4:$J$247,9,FALSE)</f>
        <v>-1769.0229322719824</v>
      </c>
      <c r="AB134" s="68">
        <f>VLOOKUP($O134,$A$4:$J$247,10,FALSE)</f>
        <v>-7769.0229322719824</v>
      </c>
    </row>
    <row r="135" spans="1:28">
      <c r="A135" s="23">
        <f>_xlfn.RANK.EQ(' 5-Forecast Cash Flow + Profits'!AP135,' 5-Forecast Cash Flow + Profits'!$AP$4:$AP$247,0)</f>
        <v>158</v>
      </c>
      <c r="B135" s="23" t="str">
        <f>' 5-Forecast Cash Flow + Profits'!A135</f>
        <v>W217</v>
      </c>
      <c r="C135" s="68">
        <f>' 5-Forecast Cash Flow + Profits'!AD135+' 5-Forecast Cash Flow + Profits'!AI135</f>
        <v>-17828.143215356256</v>
      </c>
      <c r="D135" s="68">
        <f>' 5-Forecast Cash Flow + Profits'!AP135</f>
        <v>-11504.143215356256</v>
      </c>
      <c r="E135" t="s">
        <v>434</v>
      </c>
      <c r="F135" t="s">
        <v>435</v>
      </c>
      <c r="G135" s="63">
        <f>' 5-Forecast Cash Flow + Profits'!AM135</f>
        <v>-29504.143215356256</v>
      </c>
      <c r="H135" s="63">
        <f>' 5-Forecast Cash Flow + Profits'!AN135</f>
        <v>-5504.1432153562582</v>
      </c>
      <c r="I135" s="63">
        <f>' 5-Forecast Cash Flow + Profits'!AO135</f>
        <v>-5504.1432153562582</v>
      </c>
      <c r="J135" s="63">
        <f>' 5-Forecast Cash Flow + Profits'!AP135</f>
        <v>-11504.143215356256</v>
      </c>
      <c r="O135" s="23">
        <v>132</v>
      </c>
      <c r="P135" s="23" t="str">
        <f>VLOOKUP(O135,$A$4:$B$247,2,FALSE)</f>
        <v>W238</v>
      </c>
      <c r="Q135" s="23" t="str">
        <f>VLOOKUP(O135,$A$4:$F$247,5,FALSE)</f>
        <v>Charleston</v>
      </c>
      <c r="R135" s="23" t="str">
        <f>VLOOKUP(O135,$A$4:$F$247,6,FALSE)</f>
        <v>SC</v>
      </c>
      <c r="S135" s="68">
        <f>O135*' 5-Forecast Cash Flow + Profits'!$AG$7</f>
        <v>3960000</v>
      </c>
      <c r="T135" s="68">
        <f>VLOOKUP(O135,$A$4:$C$247,3,FALSE)</f>
        <v>-14584.18963962916</v>
      </c>
      <c r="U135" s="68">
        <f>VLOOKUP(O135,$A$4:$D$247,4,FALSE)</f>
        <v>-7851.529639629156</v>
      </c>
      <c r="V135" s="89" t="str">
        <f>IF(S135&lt;$L$6,IF(U135&gt;' 5-Forecast Cash Flow + Profits'!$AG$29,"YES","NO"),"NO")</f>
        <v>NO</v>
      </c>
      <c r="W135" s="89" t="str">
        <f>IF(U135&gt;' 5-Forecast Cash Flow + Profits'!$AG$29, "YES", "NO")</f>
        <v>NO</v>
      </c>
      <c r="X135" s="68">
        <f>T135+X134</f>
        <v>1498461.3419030164</v>
      </c>
      <c r="Y135" s="68">
        <f>VLOOKUP($O135,$A$4:$J$247,7,FALSE)</f>
        <v>-25851.52963962916</v>
      </c>
      <c r="Z135" s="68">
        <f>VLOOKUP($O135,$A$4:$J$247,8,FALSE)</f>
        <v>-1851.529639629156</v>
      </c>
      <c r="AA135" s="68">
        <f>VLOOKUP($O135,$A$4:$J$247,9,FALSE)</f>
        <v>-1851.529639629156</v>
      </c>
      <c r="AB135" s="68">
        <f>VLOOKUP($O135,$A$4:$J$247,10,FALSE)</f>
        <v>-7851.529639629156</v>
      </c>
    </row>
    <row r="136" spans="1:28">
      <c r="A136" s="23">
        <f>_xlfn.RANK.EQ(' 5-Forecast Cash Flow + Profits'!AP136,' 5-Forecast Cash Flow + Profits'!$AP$4:$AP$247,0)</f>
        <v>162</v>
      </c>
      <c r="B136" s="23" t="str">
        <f>' 5-Forecast Cash Flow + Profits'!A136</f>
        <v>W218</v>
      </c>
      <c r="C136" s="68">
        <f>' 5-Forecast Cash Flow + Profits'!AD136+' 5-Forecast Cash Flow + Profits'!AI136</f>
        <v>-15857.08613541488</v>
      </c>
      <c r="D136" s="68">
        <f>' 5-Forecast Cash Flow + Profits'!AP136</f>
        <v>-11868.286135414883</v>
      </c>
      <c r="E136" t="s">
        <v>434</v>
      </c>
      <c r="F136" t="s">
        <v>435</v>
      </c>
      <c r="G136" s="63">
        <f>' 5-Forecast Cash Flow + Profits'!AM136</f>
        <v>-29868.286135414877</v>
      </c>
      <c r="H136" s="63">
        <f>' 5-Forecast Cash Flow + Profits'!AN136</f>
        <v>-5868.2861354148827</v>
      </c>
      <c r="I136" s="63">
        <f>' 5-Forecast Cash Flow + Profits'!AO136</f>
        <v>-5868.2861354148827</v>
      </c>
      <c r="J136" s="63">
        <f>' 5-Forecast Cash Flow + Profits'!AP136</f>
        <v>-11868.286135414883</v>
      </c>
      <c r="O136" s="23">
        <v>133</v>
      </c>
      <c r="P136" s="23" t="str">
        <f>VLOOKUP(O136,$A$4:$B$247,2,FALSE)</f>
        <v>W169</v>
      </c>
      <c r="Q136" s="23" t="str">
        <f>VLOOKUP(O136,$A$4:$F$247,5,FALSE)</f>
        <v>Omaha</v>
      </c>
      <c r="R136" s="23" t="str">
        <f>VLOOKUP(O136,$A$4:$F$247,6,FALSE)</f>
        <v>NE</v>
      </c>
      <c r="S136" s="68">
        <f>O136*' 5-Forecast Cash Flow + Profits'!$AG$7</f>
        <v>3990000</v>
      </c>
      <c r="T136" s="68">
        <f>VLOOKUP(O136,$A$4:$C$247,3,FALSE)</f>
        <v>-14317.301119960342</v>
      </c>
      <c r="U136" s="68">
        <f>VLOOKUP(O136,$A$4:$D$247,4,FALSE)</f>
        <v>-7993.3011199603425</v>
      </c>
      <c r="V136" s="89" t="str">
        <f>IF(S136&lt;$L$6,IF(U136&gt;' 5-Forecast Cash Flow + Profits'!$AG$29,"YES","NO"),"NO")</f>
        <v>NO</v>
      </c>
      <c r="W136" s="89" t="str">
        <f>IF(U136&gt;' 5-Forecast Cash Flow + Profits'!$AG$29, "YES", "NO")</f>
        <v>NO</v>
      </c>
      <c r="X136" s="68">
        <f>T136+X135</f>
        <v>1484144.0407830561</v>
      </c>
      <c r="Y136" s="68">
        <f>VLOOKUP($O136,$A$4:$J$247,7,FALSE)</f>
        <v>-25993.301119960342</v>
      </c>
      <c r="Z136" s="68">
        <f>VLOOKUP($O136,$A$4:$J$247,8,FALSE)</f>
        <v>-1993.3011199603407</v>
      </c>
      <c r="AA136" s="68">
        <f>VLOOKUP($O136,$A$4:$J$247,9,FALSE)</f>
        <v>-1993.3011199603407</v>
      </c>
      <c r="AB136" s="68">
        <f>VLOOKUP($O136,$A$4:$J$247,10,FALSE)</f>
        <v>-7993.3011199603425</v>
      </c>
    </row>
    <row r="137" spans="1:28">
      <c r="A137" s="23">
        <f>_xlfn.RANK.EQ(' 5-Forecast Cash Flow + Profits'!AP137,' 5-Forecast Cash Flow + Profits'!$AP$4:$AP$247,0)</f>
        <v>76</v>
      </c>
      <c r="B137" s="23" t="str">
        <f>' 5-Forecast Cash Flow + Profits'!A137</f>
        <v>W219</v>
      </c>
      <c r="C137" s="68">
        <f>' 5-Forecast Cash Flow + Profits'!AD137+' 5-Forecast Cash Flow + Profits'!AI137</f>
        <v>-1689.9232782772669</v>
      </c>
      <c r="D137" s="68">
        <f>' 5-Forecast Cash Flow + Profits'!AP137</f>
        <v>-36.3232782772684</v>
      </c>
      <c r="E137" t="s">
        <v>434</v>
      </c>
      <c r="F137" t="s">
        <v>435</v>
      </c>
      <c r="G137" s="63">
        <f>' 5-Forecast Cash Flow + Profits'!AM137</f>
        <v>-18036.323278277268</v>
      </c>
      <c r="H137" s="63">
        <f>' 5-Forecast Cash Flow + Profits'!AN137</f>
        <v>5963.6767217227316</v>
      </c>
      <c r="I137" s="63">
        <f>' 5-Forecast Cash Flow + Profits'!AO137</f>
        <v>5963.6767217227316</v>
      </c>
      <c r="J137" s="63">
        <f>' 5-Forecast Cash Flow + Profits'!AP137</f>
        <v>-36.3232782772684</v>
      </c>
      <c r="O137" s="23">
        <v>134</v>
      </c>
      <c r="P137" s="23" t="str">
        <f>VLOOKUP(O137,$A$4:$B$247,2,FALSE)</f>
        <v>W20</v>
      </c>
      <c r="Q137" s="23" t="str">
        <f>VLOOKUP(O137,$A$4:$F$247,5,FALSE)</f>
        <v>Chicago</v>
      </c>
      <c r="R137" s="23" t="str">
        <f>VLOOKUP(O137,$A$4:$F$247,6,FALSE)</f>
        <v>IL</v>
      </c>
      <c r="S137" s="68">
        <f>O137*' 5-Forecast Cash Flow + Profits'!$AG$7</f>
        <v>4020000</v>
      </c>
      <c r="T137" s="68">
        <f>VLOOKUP(O137,$A$4:$C$247,3,FALSE)</f>
        <v>-6164.2313455199255</v>
      </c>
      <c r="U137" s="68">
        <f>VLOOKUP(O137,$A$4:$D$247,4,FALSE)</f>
        <v>-8013.4313455199263</v>
      </c>
      <c r="V137" s="89" t="str">
        <f>IF(S137&lt;$L$6,IF(U137&gt;' 5-Forecast Cash Flow + Profits'!$AG$29,"YES","NO"),"NO")</f>
        <v>NO</v>
      </c>
      <c r="W137" s="89" t="str">
        <f>IF(U137&gt;' 5-Forecast Cash Flow + Profits'!$AG$29, "YES", "NO")</f>
        <v>NO</v>
      </c>
      <c r="X137" s="68">
        <f>T137+X136</f>
        <v>1477979.8094375362</v>
      </c>
      <c r="Y137" s="68">
        <f>VLOOKUP($O137,$A$4:$J$247,7,FALSE)</f>
        <v>-26013.431345519926</v>
      </c>
      <c r="Z137" s="68">
        <f>VLOOKUP($O137,$A$4:$J$247,8,FALSE)</f>
        <v>-2013.4313455199244</v>
      </c>
      <c r="AA137" s="68">
        <f>VLOOKUP($O137,$A$4:$J$247,9,FALSE)</f>
        <v>-2013.4313455199244</v>
      </c>
      <c r="AB137" s="68">
        <f>VLOOKUP($O137,$A$4:$J$247,10,FALSE)</f>
        <v>-8013.4313455199263</v>
      </c>
    </row>
    <row r="138" spans="1:28">
      <c r="A138" s="23">
        <f>_xlfn.RANK.EQ(' 5-Forecast Cash Flow + Profits'!AP138,' 5-Forecast Cash Flow + Profits'!$AP$4:$AP$247,0)</f>
        <v>98</v>
      </c>
      <c r="B138" s="23" t="str">
        <f>' 5-Forecast Cash Flow + Profits'!A138</f>
        <v>W22</v>
      </c>
      <c r="C138" s="68">
        <f>' 5-Forecast Cash Flow + Profits'!AD138+' 5-Forecast Cash Flow + Profits'!AI138</f>
        <v>9295.5452402418232</v>
      </c>
      <c r="D138" s="68">
        <f>' 5-Forecast Cash Flow + Profits'!AP138</f>
        <v>-4229.6547597581812</v>
      </c>
      <c r="E138" t="s">
        <v>429</v>
      </c>
      <c r="F138" t="s">
        <v>430</v>
      </c>
      <c r="G138" s="63">
        <f>' 5-Forecast Cash Flow + Profits'!AM138</f>
        <v>-22229.654759758178</v>
      </c>
      <c r="H138" s="63">
        <f>' 5-Forecast Cash Flow + Profits'!AN138</f>
        <v>1770.3452402418188</v>
      </c>
      <c r="I138" s="63">
        <f>' 5-Forecast Cash Flow + Profits'!AO138</f>
        <v>1770.3452402418188</v>
      </c>
      <c r="J138" s="63">
        <f>' 5-Forecast Cash Flow + Profits'!AP138</f>
        <v>-4229.6547597581812</v>
      </c>
      <c r="O138" s="23">
        <v>135</v>
      </c>
      <c r="P138" s="23" t="str">
        <f>VLOOKUP(O138,$A$4:$B$247,2,FALSE)</f>
        <v>W6</v>
      </c>
      <c r="Q138" s="23" t="str">
        <f>VLOOKUP(O138,$A$4:$F$247,5,FALSE)</f>
        <v>Chapel Hill</v>
      </c>
      <c r="R138" s="23" t="str">
        <f>VLOOKUP(O138,$A$4:$F$247,6,FALSE)</f>
        <v>NC</v>
      </c>
      <c r="S138" s="68">
        <f>O138*' 5-Forecast Cash Flow + Profits'!$AG$7</f>
        <v>4050000</v>
      </c>
      <c r="T138" s="68">
        <f>VLOOKUP(O138,$A$4:$C$247,3,FALSE)</f>
        <v>-15512.110419513021</v>
      </c>
      <c r="U138" s="68">
        <f>VLOOKUP(O138,$A$4:$D$247,4,FALSE)</f>
        <v>-8020.5104195130207</v>
      </c>
      <c r="V138" s="89" t="str">
        <f>IF(S138&lt;$L$6,IF(U138&gt;' 5-Forecast Cash Flow + Profits'!$AG$29,"YES","NO"),"NO")</f>
        <v>NO</v>
      </c>
      <c r="W138" s="89" t="str">
        <f>IF(U138&gt;' 5-Forecast Cash Flow + Profits'!$AG$29, "YES", "NO")</f>
        <v>NO</v>
      </c>
      <c r="X138" s="68">
        <f>T138+X137</f>
        <v>1462467.6990180232</v>
      </c>
      <c r="Y138" s="68">
        <f>VLOOKUP($O138,$A$4:$J$247,7,FALSE)</f>
        <v>-26020.510419513019</v>
      </c>
      <c r="Z138" s="68">
        <f>VLOOKUP($O138,$A$4:$J$247,8,FALSE)</f>
        <v>-2020.5104195130207</v>
      </c>
      <c r="AA138" s="68">
        <f>VLOOKUP($O138,$A$4:$J$247,9,FALSE)</f>
        <v>-2020.5104195130207</v>
      </c>
      <c r="AB138" s="68">
        <f>VLOOKUP($O138,$A$4:$J$247,10,FALSE)</f>
        <v>-8020.5104195130207</v>
      </c>
    </row>
    <row r="139" spans="1:28">
      <c r="A139" s="23">
        <f>_xlfn.RANK.EQ(' 5-Forecast Cash Flow + Profits'!AP139,' 5-Forecast Cash Flow + Profits'!$AP$4:$AP$247,0)</f>
        <v>73</v>
      </c>
      <c r="B139" s="23" t="str">
        <f>' 5-Forecast Cash Flow + Profits'!A139</f>
        <v>W220</v>
      </c>
      <c r="C139" s="68">
        <f>' 5-Forecast Cash Flow + Profits'!AD139+' 5-Forecast Cash Flow + Profits'!AI139</f>
        <v>886.81154966054601</v>
      </c>
      <c r="D139" s="68">
        <f>' 5-Forecast Cash Flow + Profits'!AP139</f>
        <v>205.21154966054746</v>
      </c>
      <c r="E139" t="s">
        <v>434</v>
      </c>
      <c r="F139" t="s">
        <v>435</v>
      </c>
      <c r="G139" s="63">
        <f>' 5-Forecast Cash Flow + Profits'!AM139</f>
        <v>-17794.788450339453</v>
      </c>
      <c r="H139" s="63">
        <f>' 5-Forecast Cash Flow + Profits'!AN139</f>
        <v>6205.2115496605475</v>
      </c>
      <c r="I139" s="63">
        <f>' 5-Forecast Cash Flow + Profits'!AO139</f>
        <v>6205.2115496605475</v>
      </c>
      <c r="J139" s="63">
        <f>' 5-Forecast Cash Flow + Profits'!AP139</f>
        <v>205.21154966054746</v>
      </c>
      <c r="O139" s="23">
        <v>136</v>
      </c>
      <c r="P139" s="23" t="str">
        <f>VLOOKUP(O139,$A$4:$B$247,2,FALSE)</f>
        <v>W227</v>
      </c>
      <c r="Q139" s="23" t="str">
        <f>VLOOKUP(O139,$A$4:$F$247,5,FALSE)</f>
        <v>Richmond</v>
      </c>
      <c r="R139" s="23" t="str">
        <f>VLOOKUP(O139,$A$4:$F$247,6,FALSE)</f>
        <v>VA</v>
      </c>
      <c r="S139" s="68">
        <f>O139*' 5-Forecast Cash Flow + Profits'!$AG$7</f>
        <v>4080000</v>
      </c>
      <c r="T139" s="68">
        <f>VLOOKUP(O139,$A$4:$C$247,3,FALSE)</f>
        <v>-15263.522317563875</v>
      </c>
      <c r="U139" s="68">
        <f>VLOOKUP(O139,$A$4:$D$247,4,FALSE)</f>
        <v>-8063.8223175638705</v>
      </c>
      <c r="V139" s="89" t="str">
        <f>IF(S139&lt;$L$6,IF(U139&gt;' 5-Forecast Cash Flow + Profits'!$AG$29,"YES","NO"),"NO")</f>
        <v>NO</v>
      </c>
      <c r="W139" s="89" t="str">
        <f>IF(U139&gt;' 5-Forecast Cash Flow + Profits'!$AG$29, "YES", "NO")</f>
        <v>NO</v>
      </c>
      <c r="X139" s="68">
        <f>T139+X138</f>
        <v>1447204.1767004593</v>
      </c>
      <c r="Y139" s="68">
        <f>VLOOKUP($O139,$A$4:$J$247,7,FALSE)</f>
        <v>-26063.822317563874</v>
      </c>
      <c r="Z139" s="68">
        <f>VLOOKUP($O139,$A$4:$J$247,8,FALSE)</f>
        <v>-2063.8223175638705</v>
      </c>
      <c r="AA139" s="68">
        <f>VLOOKUP($O139,$A$4:$J$247,9,FALSE)</f>
        <v>-2063.8223175638705</v>
      </c>
      <c r="AB139" s="68">
        <f>VLOOKUP($O139,$A$4:$J$247,10,FALSE)</f>
        <v>-8063.8223175638705</v>
      </c>
    </row>
    <row r="140" spans="1:28">
      <c r="A140" s="23">
        <f>_xlfn.RANK.EQ(' 5-Forecast Cash Flow + Profits'!AP140,' 5-Forecast Cash Flow + Profits'!$AP$4:$AP$247,0)</f>
        <v>200</v>
      </c>
      <c r="B140" s="23" t="str">
        <f>' 5-Forecast Cash Flow + Profits'!A140</f>
        <v>W221</v>
      </c>
      <c r="C140" s="68">
        <f>' 5-Forecast Cash Flow + Profits'!AD140+' 5-Forecast Cash Flow + Profits'!AI140</f>
        <v>-21312.765244488361</v>
      </c>
      <c r="D140" s="68">
        <f>' 5-Forecast Cash Flow + Profits'!AP140</f>
        <v>-16214.74524448836</v>
      </c>
      <c r="E140" t="s">
        <v>434</v>
      </c>
      <c r="F140" t="s">
        <v>435</v>
      </c>
      <c r="G140" s="63">
        <f>' 5-Forecast Cash Flow + Profits'!AM140</f>
        <v>-34214.74524448836</v>
      </c>
      <c r="H140" s="63">
        <f>' 5-Forecast Cash Flow + Profits'!AN140</f>
        <v>-10214.74524448836</v>
      </c>
      <c r="I140" s="63">
        <f>' 5-Forecast Cash Flow + Profits'!AO140</f>
        <v>-10214.74524448836</v>
      </c>
      <c r="J140" s="63">
        <f>' 5-Forecast Cash Flow + Profits'!AP140</f>
        <v>-16214.74524448836</v>
      </c>
      <c r="O140" s="23">
        <v>137</v>
      </c>
      <c r="P140" s="23" t="str">
        <f>VLOOKUP(O140,$A$4:$B$247,2,FALSE)</f>
        <v>W52</v>
      </c>
      <c r="Q140" s="23" t="str">
        <f>VLOOKUP(O140,$A$4:$F$247,5,FALSE)</f>
        <v>New York</v>
      </c>
      <c r="R140" s="23" t="str">
        <f>VLOOKUP(O140,$A$4:$F$247,6,FALSE)</f>
        <v>NY</v>
      </c>
      <c r="S140" s="68">
        <f>O140*' 5-Forecast Cash Flow + Profits'!$AG$7</f>
        <v>4110000</v>
      </c>
      <c r="T140" s="68">
        <f>VLOOKUP(O140,$A$4:$C$247,3,FALSE)</f>
        <v>15838.832758167679</v>
      </c>
      <c r="U140" s="68">
        <f>VLOOKUP(O140,$A$4:$D$247,4,FALSE)</f>
        <v>-8194.7672418323164</v>
      </c>
      <c r="V140" s="89" t="str">
        <f>IF(S140&lt;$L$6,IF(U140&gt;' 5-Forecast Cash Flow + Profits'!$AG$29,"YES","NO"),"NO")</f>
        <v>NO</v>
      </c>
      <c r="W140" s="89" t="str">
        <f>IF(U140&gt;' 5-Forecast Cash Flow + Profits'!$AG$29, "YES", "NO")</f>
        <v>NO</v>
      </c>
      <c r="X140" s="68">
        <f>T140+X139</f>
        <v>1463043.0094586271</v>
      </c>
      <c r="Y140" s="68">
        <f>VLOOKUP($O140,$A$4:$J$247,7,FALSE)</f>
        <v>-26194.76724183232</v>
      </c>
      <c r="Z140" s="68">
        <f>VLOOKUP($O140,$A$4:$J$247,8,FALSE)</f>
        <v>-2194.7672418323164</v>
      </c>
      <c r="AA140" s="68">
        <f>VLOOKUP($O140,$A$4:$J$247,9,FALSE)</f>
        <v>-2194.7672418323164</v>
      </c>
      <c r="AB140" s="68">
        <f>VLOOKUP($O140,$A$4:$J$247,10,FALSE)</f>
        <v>-8194.7672418323164</v>
      </c>
    </row>
    <row r="141" spans="1:28">
      <c r="A141" s="23">
        <f>_xlfn.RANK.EQ(' 5-Forecast Cash Flow + Profits'!AP141,' 5-Forecast Cash Flow + Profits'!$AP$4:$AP$247,0)</f>
        <v>217</v>
      </c>
      <c r="B141" s="23" t="str">
        <f>' 5-Forecast Cash Flow + Profits'!A141</f>
        <v>W222</v>
      </c>
      <c r="C141" s="68">
        <f>' 5-Forecast Cash Flow + Profits'!AD141+' 5-Forecast Cash Flow + Profits'!AI141</f>
        <v>-17359.693186104862</v>
      </c>
      <c r="D141" s="68">
        <f>' 5-Forecast Cash Flow + Profits'!AP141</f>
        <v>-18800.233186104866</v>
      </c>
      <c r="E141" t="s">
        <v>434</v>
      </c>
      <c r="F141" t="s">
        <v>435</v>
      </c>
      <c r="G141" s="63">
        <f>' 5-Forecast Cash Flow + Profits'!AM141</f>
        <v>-36800.233186104859</v>
      </c>
      <c r="H141" s="63">
        <f>' 5-Forecast Cash Flow + Profits'!AN141</f>
        <v>-12800.233186104866</v>
      </c>
      <c r="I141" s="63">
        <f>' 5-Forecast Cash Flow + Profits'!AO141</f>
        <v>-12800.233186104866</v>
      </c>
      <c r="J141" s="63">
        <f>' 5-Forecast Cash Flow + Profits'!AP141</f>
        <v>-18800.233186104866</v>
      </c>
      <c r="O141" s="23">
        <v>138</v>
      </c>
      <c r="P141" s="23" t="str">
        <f>VLOOKUP(O141,$A$4:$B$247,2,FALSE)</f>
        <v>W173</v>
      </c>
      <c r="Q141" s="23" t="str">
        <f>VLOOKUP(O141,$A$4:$F$247,5,FALSE)</f>
        <v>Omaha</v>
      </c>
      <c r="R141" s="23" t="str">
        <f>VLOOKUP(O141,$A$4:$F$247,6,FALSE)</f>
        <v>NE</v>
      </c>
      <c r="S141" s="68">
        <f>O141*' 5-Forecast Cash Flow + Profits'!$AG$7</f>
        <v>4140000</v>
      </c>
      <c r="T141" s="68">
        <f>VLOOKUP(O141,$A$4:$C$247,3,FALSE)</f>
        <v>-18478.825026415117</v>
      </c>
      <c r="U141" s="68">
        <f>VLOOKUP(O141,$A$4:$D$247,4,FALSE)</f>
        <v>-8652.0250264151218</v>
      </c>
      <c r="V141" s="89" t="str">
        <f>IF(S141&lt;$L$6,IF(U141&gt;' 5-Forecast Cash Flow + Profits'!$AG$29,"YES","NO"),"NO")</f>
        <v>NO</v>
      </c>
      <c r="W141" s="89" t="str">
        <f>IF(U141&gt;' 5-Forecast Cash Flow + Profits'!$AG$29, "YES", "NO")</f>
        <v>NO</v>
      </c>
      <c r="X141" s="68">
        <f>T141+X140</f>
        <v>1444564.184432212</v>
      </c>
      <c r="Y141" s="68">
        <f>VLOOKUP($O141,$A$4:$J$247,7,FALSE)</f>
        <v>-26652.025026415118</v>
      </c>
      <c r="Z141" s="68">
        <f>VLOOKUP($O141,$A$4:$J$247,8,FALSE)</f>
        <v>-2652.0250264151218</v>
      </c>
      <c r="AA141" s="68">
        <f>VLOOKUP($O141,$A$4:$J$247,9,FALSE)</f>
        <v>-2652.0250264151218</v>
      </c>
      <c r="AB141" s="68">
        <f>VLOOKUP($O141,$A$4:$J$247,10,FALSE)</f>
        <v>-8652.0250264151218</v>
      </c>
    </row>
    <row r="142" spans="1:28">
      <c r="A142" s="23">
        <f>_xlfn.RANK.EQ(' 5-Forecast Cash Flow + Profits'!AP142,' 5-Forecast Cash Flow + Profits'!$AP$4:$AP$247,0)</f>
        <v>178</v>
      </c>
      <c r="B142" s="23" t="str">
        <f>' 5-Forecast Cash Flow + Profits'!A142</f>
        <v>W223</v>
      </c>
      <c r="C142" s="68">
        <f>' 5-Forecast Cash Flow + Profits'!AD142+' 5-Forecast Cash Flow + Profits'!AI142</f>
        <v>-17893.12709192378</v>
      </c>
      <c r="D142" s="68">
        <f>' 5-Forecast Cash Flow + Profits'!AP142</f>
        <v>-13612.427091923779</v>
      </c>
      <c r="E142" t="s">
        <v>434</v>
      </c>
      <c r="F142" t="s">
        <v>435</v>
      </c>
      <c r="G142" s="63">
        <f>' 5-Forecast Cash Flow + Profits'!AM142</f>
        <v>-31612.427091923779</v>
      </c>
      <c r="H142" s="63">
        <f>' 5-Forecast Cash Flow + Profits'!AN142</f>
        <v>-7612.4270919237788</v>
      </c>
      <c r="I142" s="63">
        <f>' 5-Forecast Cash Flow + Profits'!AO142</f>
        <v>-7612.4270919237788</v>
      </c>
      <c r="J142" s="63">
        <f>' 5-Forecast Cash Flow + Profits'!AP142</f>
        <v>-13612.427091923779</v>
      </c>
      <c r="O142" s="23">
        <v>139</v>
      </c>
      <c r="P142" s="23" t="str">
        <f>VLOOKUP(O142,$A$4:$B$247,2,FALSE)</f>
        <v>W78</v>
      </c>
      <c r="Q142" s="23" t="str">
        <f>VLOOKUP(O142,$A$4:$F$247,5,FALSE)</f>
        <v>Palo Alto</v>
      </c>
      <c r="R142" s="23" t="str">
        <f>VLOOKUP(O142,$A$4:$F$247,6,FALSE)</f>
        <v>CA</v>
      </c>
      <c r="S142" s="68">
        <f>O142*' 5-Forecast Cash Flow + Profits'!$AG$7</f>
        <v>4170000</v>
      </c>
      <c r="T142" s="68">
        <f>VLOOKUP(O142,$A$4:$C$247,3,FALSE)</f>
        <v>11702.246686104794</v>
      </c>
      <c r="U142" s="68">
        <f>VLOOKUP(O142,$A$4:$D$247,4,FALSE)</f>
        <v>-8828.5533138951978</v>
      </c>
      <c r="V142" s="89" t="str">
        <f>IF(S142&lt;$L$6,IF(U142&gt;' 5-Forecast Cash Flow + Profits'!$AG$29,"YES","NO"),"NO")</f>
        <v>NO</v>
      </c>
      <c r="W142" s="89" t="str">
        <f>IF(U142&gt;' 5-Forecast Cash Flow + Profits'!$AG$29, "YES", "NO")</f>
        <v>NO</v>
      </c>
      <c r="X142" s="68">
        <f>T142+X141</f>
        <v>1456266.4311183167</v>
      </c>
      <c r="Y142" s="68">
        <f>VLOOKUP($O142,$A$4:$J$247,7,FALSE)</f>
        <v>-26828.553313895201</v>
      </c>
      <c r="Z142" s="68">
        <f>VLOOKUP($O142,$A$4:$J$247,8,FALSE)</f>
        <v>-2828.5533138951978</v>
      </c>
      <c r="AA142" s="68">
        <f>VLOOKUP($O142,$A$4:$J$247,9,FALSE)</f>
        <v>-2828.5533138951978</v>
      </c>
      <c r="AB142" s="68">
        <f>VLOOKUP($O142,$A$4:$J$247,10,FALSE)</f>
        <v>-8828.5533138951978</v>
      </c>
    </row>
    <row r="143" spans="1:28">
      <c r="A143" s="23">
        <f>_xlfn.RANK.EQ(' 5-Forecast Cash Flow + Profits'!AP143,' 5-Forecast Cash Flow + Profits'!$AP$4:$AP$247,0)</f>
        <v>123</v>
      </c>
      <c r="B143" s="23" t="str">
        <f>' 5-Forecast Cash Flow + Profits'!A143</f>
        <v>W224</v>
      </c>
      <c r="C143" s="68">
        <f>' 5-Forecast Cash Flow + Profits'!AD143+' 5-Forecast Cash Flow + Profits'!AI143</f>
        <v>-4545.8094861240243</v>
      </c>
      <c r="D143" s="68">
        <f>' 5-Forecast Cash Flow + Profits'!AP143</f>
        <v>-6686.9094861240264</v>
      </c>
      <c r="E143" t="s">
        <v>434</v>
      </c>
      <c r="F143" t="s">
        <v>435</v>
      </c>
      <c r="G143" s="63">
        <f>' 5-Forecast Cash Flow + Profits'!AM143</f>
        <v>-24686.909486124023</v>
      </c>
      <c r="H143" s="63">
        <f>' 5-Forecast Cash Flow + Profits'!AN143</f>
        <v>-686.90948612402644</v>
      </c>
      <c r="I143" s="63">
        <f>' 5-Forecast Cash Flow + Profits'!AO143</f>
        <v>-686.90948612402644</v>
      </c>
      <c r="J143" s="63">
        <f>' 5-Forecast Cash Flow + Profits'!AP143</f>
        <v>-6686.9094861240264</v>
      </c>
      <c r="O143" s="23">
        <v>140</v>
      </c>
      <c r="P143" s="23" t="str">
        <f>VLOOKUP(O143,$A$4:$B$247,2,FALSE)</f>
        <v>W240</v>
      </c>
      <c r="Q143" s="23" t="str">
        <f>VLOOKUP(O143,$A$4:$F$247,5,FALSE)</f>
        <v>Charleston</v>
      </c>
      <c r="R143" s="23" t="str">
        <f>VLOOKUP(O143,$A$4:$F$247,6,FALSE)</f>
        <v>SC</v>
      </c>
      <c r="S143" s="68">
        <f>O143*' 5-Forecast Cash Flow + Profits'!$AG$7</f>
        <v>4200000</v>
      </c>
      <c r="T143" s="68">
        <f>VLOOKUP(O143,$A$4:$C$247,3,FALSE)</f>
        <v>-11235.100711184143</v>
      </c>
      <c r="U143" s="68">
        <f>VLOOKUP(O143,$A$4:$D$247,4,FALSE)</f>
        <v>-8880.9407111841429</v>
      </c>
      <c r="V143" s="89" t="str">
        <f>IF(S143&lt;$L$6,IF(U143&gt;' 5-Forecast Cash Flow + Profits'!$AG$29,"YES","NO"),"NO")</f>
        <v>NO</v>
      </c>
      <c r="W143" s="89" t="str">
        <f>IF(U143&gt;' 5-Forecast Cash Flow + Profits'!$AG$29, "YES", "NO")</f>
        <v>NO</v>
      </c>
      <c r="X143" s="68">
        <f>T143+X142</f>
        <v>1445031.3304071326</v>
      </c>
      <c r="Y143" s="68">
        <f>VLOOKUP($O143,$A$4:$J$247,7,FALSE)</f>
        <v>-26880.940711184143</v>
      </c>
      <c r="Z143" s="68">
        <f>VLOOKUP($O143,$A$4:$J$247,8,FALSE)</f>
        <v>-2880.9407111841429</v>
      </c>
      <c r="AA143" s="68">
        <f>VLOOKUP($O143,$A$4:$J$247,9,FALSE)</f>
        <v>-2880.9407111841429</v>
      </c>
      <c r="AB143" s="68">
        <f>VLOOKUP($O143,$A$4:$J$247,10,FALSE)</f>
        <v>-8880.9407111841429</v>
      </c>
    </row>
    <row r="144" spans="1:28">
      <c r="A144" s="23">
        <f>_xlfn.RANK.EQ(' 5-Forecast Cash Flow + Profits'!AP144,' 5-Forecast Cash Flow + Profits'!$AP$4:$AP$247,0)</f>
        <v>181</v>
      </c>
      <c r="B144" s="23" t="str">
        <f>' 5-Forecast Cash Flow + Profits'!A144</f>
        <v>W225</v>
      </c>
      <c r="C144" s="68">
        <f>' 5-Forecast Cash Flow + Profits'!AD144+' 5-Forecast Cash Flow + Profits'!AI144</f>
        <v>-23756.342512205898</v>
      </c>
      <c r="D144" s="68">
        <f>' 5-Forecast Cash Flow + Profits'!AP144</f>
        <v>-14034.626512205894</v>
      </c>
      <c r="E144" t="s">
        <v>434</v>
      </c>
      <c r="F144" t="s">
        <v>435</v>
      </c>
      <c r="G144" s="63">
        <f>' 5-Forecast Cash Flow + Profits'!AM144</f>
        <v>-32034.626512205898</v>
      </c>
      <c r="H144" s="63">
        <f>' 5-Forecast Cash Flow + Profits'!AN144</f>
        <v>-8034.626512205894</v>
      </c>
      <c r="I144" s="63">
        <f>' 5-Forecast Cash Flow + Profits'!AO144</f>
        <v>-8034.626512205894</v>
      </c>
      <c r="J144" s="63">
        <f>' 5-Forecast Cash Flow + Profits'!AP144</f>
        <v>-14034.626512205894</v>
      </c>
      <c r="O144" s="23">
        <v>141</v>
      </c>
      <c r="P144" s="23" t="str">
        <f>VLOOKUP(O144,$A$4:$B$247,2,FALSE)</f>
        <v>W12</v>
      </c>
      <c r="Q144" s="23" t="str">
        <f>VLOOKUP(O144,$A$4:$F$247,5,FALSE)</f>
        <v>Chapel Hill</v>
      </c>
      <c r="R144" s="23" t="str">
        <f>VLOOKUP(O144,$A$4:$F$247,6,FALSE)</f>
        <v>NC</v>
      </c>
      <c r="S144" s="68">
        <f>O144*' 5-Forecast Cash Flow + Profits'!$AG$7</f>
        <v>4230000</v>
      </c>
      <c r="T144" s="68">
        <f>VLOOKUP(O144,$A$4:$C$247,3,FALSE)</f>
        <v>-11759.93709884015</v>
      </c>
      <c r="U144" s="68">
        <f>VLOOKUP(O144,$A$4:$D$247,4,FALSE)</f>
        <v>-8938.737098840149</v>
      </c>
      <c r="V144" s="89" t="str">
        <f>IF(S144&lt;$L$6,IF(U144&gt;' 5-Forecast Cash Flow + Profits'!$AG$29,"YES","NO"),"NO")</f>
        <v>NO</v>
      </c>
      <c r="W144" s="89" t="str">
        <f>IF(U144&gt;' 5-Forecast Cash Flow + Profits'!$AG$29, "YES", "NO")</f>
        <v>NO</v>
      </c>
      <c r="X144" s="68">
        <f>T144+X143</f>
        <v>1433271.3933082924</v>
      </c>
      <c r="Y144" s="68">
        <f>VLOOKUP($O144,$A$4:$J$247,7,FALSE)</f>
        <v>-26938.737098840149</v>
      </c>
      <c r="Z144" s="68">
        <f>VLOOKUP($O144,$A$4:$J$247,8,FALSE)</f>
        <v>-2938.737098840149</v>
      </c>
      <c r="AA144" s="68">
        <f>VLOOKUP($O144,$A$4:$J$247,9,FALSE)</f>
        <v>-2938.737098840149</v>
      </c>
      <c r="AB144" s="68">
        <f>VLOOKUP($O144,$A$4:$J$247,10,FALSE)</f>
        <v>-8938.737098840149</v>
      </c>
    </row>
    <row r="145" spans="1:28">
      <c r="A145" s="23">
        <f>_xlfn.RANK.EQ(' 5-Forecast Cash Flow + Profits'!AP145,' 5-Forecast Cash Flow + Profits'!$AP$4:$AP$247,0)</f>
        <v>111</v>
      </c>
      <c r="B145" s="23" t="str">
        <f>' 5-Forecast Cash Flow + Profits'!A145</f>
        <v>W226</v>
      </c>
      <c r="C145" s="68">
        <f>' 5-Forecast Cash Flow + Profits'!AD145+' 5-Forecast Cash Flow + Profits'!AI145</f>
        <v>-13503.496918747969</v>
      </c>
      <c r="D145" s="68">
        <f>' 5-Forecast Cash Flow + Profits'!AP145</f>
        <v>-5649.9409187479687</v>
      </c>
      <c r="E145" t="s">
        <v>434</v>
      </c>
      <c r="F145" t="s">
        <v>435</v>
      </c>
      <c r="G145" s="63">
        <f>' 5-Forecast Cash Flow + Profits'!AM145</f>
        <v>-23649.940918747969</v>
      </c>
      <c r="H145" s="63">
        <f>' 5-Forecast Cash Flow + Profits'!AN145</f>
        <v>350.05908125203132</v>
      </c>
      <c r="I145" s="63">
        <f>' 5-Forecast Cash Flow + Profits'!AO145</f>
        <v>350.05908125203132</v>
      </c>
      <c r="J145" s="63">
        <f>' 5-Forecast Cash Flow + Profits'!AP145</f>
        <v>-5649.9409187479687</v>
      </c>
      <c r="O145" s="23">
        <v>142</v>
      </c>
      <c r="P145" s="23" t="str">
        <f>VLOOKUP(O145,$A$4:$B$247,2,FALSE)</f>
        <v>W59</v>
      </c>
      <c r="Q145" s="23" t="str">
        <f>VLOOKUP(O145,$A$4:$F$247,5,FALSE)</f>
        <v>New York</v>
      </c>
      <c r="R145" s="23" t="str">
        <f>VLOOKUP(O145,$A$4:$F$247,6,FALSE)</f>
        <v>NY</v>
      </c>
      <c r="S145" s="68">
        <f>O145*' 5-Forecast Cash Flow + Profits'!$AG$7</f>
        <v>4260000</v>
      </c>
      <c r="T145" s="68">
        <f>VLOOKUP(O145,$A$4:$C$247,3,FALSE)</f>
        <v>13732.417585777883</v>
      </c>
      <c r="U145" s="68">
        <f>VLOOKUP(O145,$A$4:$D$247,4,FALSE)</f>
        <v>-9133.5824142221172</v>
      </c>
      <c r="V145" s="89" t="str">
        <f>IF(S145&lt;$L$6,IF(U145&gt;' 5-Forecast Cash Flow + Profits'!$AG$29,"YES","NO"),"NO")</f>
        <v>NO</v>
      </c>
      <c r="W145" s="89" t="str">
        <f>IF(U145&gt;' 5-Forecast Cash Flow + Profits'!$AG$29, "YES", "NO")</f>
        <v>NO</v>
      </c>
      <c r="X145" s="68">
        <f>T145+X144</f>
        <v>1447003.8108940702</v>
      </c>
      <c r="Y145" s="68">
        <f>VLOOKUP($O145,$A$4:$J$247,7,FALSE)</f>
        <v>-27133.582414222117</v>
      </c>
      <c r="Z145" s="68">
        <f>VLOOKUP($O145,$A$4:$J$247,8,FALSE)</f>
        <v>-3133.5824142221172</v>
      </c>
      <c r="AA145" s="68">
        <f>VLOOKUP($O145,$A$4:$J$247,9,FALSE)</f>
        <v>-3133.5824142221172</v>
      </c>
      <c r="AB145" s="68">
        <f>VLOOKUP($O145,$A$4:$J$247,10,FALSE)</f>
        <v>-9133.5824142221172</v>
      </c>
    </row>
    <row r="146" spans="1:28">
      <c r="A146" s="23">
        <f>_xlfn.RANK.EQ(' 5-Forecast Cash Flow + Profits'!AP146,' 5-Forecast Cash Flow + Profits'!$AP$4:$AP$247,0)</f>
        <v>136</v>
      </c>
      <c r="B146" s="23" t="str">
        <f>' 5-Forecast Cash Flow + Profits'!A146</f>
        <v>W227</v>
      </c>
      <c r="C146" s="68">
        <f>' 5-Forecast Cash Flow + Profits'!AD146+' 5-Forecast Cash Flow + Profits'!AI146</f>
        <v>-15263.522317563875</v>
      </c>
      <c r="D146" s="68">
        <f>' 5-Forecast Cash Flow + Profits'!AP146</f>
        <v>-8063.8223175638705</v>
      </c>
      <c r="E146" t="s">
        <v>434</v>
      </c>
      <c r="F146" t="s">
        <v>435</v>
      </c>
      <c r="G146" s="63">
        <f>' 5-Forecast Cash Flow + Profits'!AM146</f>
        <v>-26063.822317563874</v>
      </c>
      <c r="H146" s="63">
        <f>' 5-Forecast Cash Flow + Profits'!AN146</f>
        <v>-2063.8223175638705</v>
      </c>
      <c r="I146" s="63">
        <f>' 5-Forecast Cash Flow + Profits'!AO146</f>
        <v>-2063.8223175638705</v>
      </c>
      <c r="J146" s="63">
        <f>' 5-Forecast Cash Flow + Profits'!AP146</f>
        <v>-8063.8223175638705</v>
      </c>
      <c r="O146" s="23">
        <v>143</v>
      </c>
      <c r="P146" s="23" t="str">
        <f>VLOOKUP(O146,$A$4:$B$247,2,FALSE)</f>
        <v>W11</v>
      </c>
      <c r="Q146" s="23" t="str">
        <f>VLOOKUP(O146,$A$4:$F$247,5,FALSE)</f>
        <v>Chapel Hill</v>
      </c>
      <c r="R146" s="23" t="str">
        <f>VLOOKUP(O146,$A$4:$F$247,6,FALSE)</f>
        <v>NC</v>
      </c>
      <c r="S146" s="68">
        <f>O146*' 5-Forecast Cash Flow + Profits'!$AG$7</f>
        <v>4290000</v>
      </c>
      <c r="T146" s="68">
        <f>VLOOKUP(O146,$A$4:$C$247,3,FALSE)</f>
        <v>-15512.110419513021</v>
      </c>
      <c r="U146" s="68">
        <f>VLOOKUP(O146,$A$4:$D$247,4,FALSE)</f>
        <v>-9188.110419513021</v>
      </c>
      <c r="V146" s="89" t="str">
        <f>IF(S146&lt;$L$6,IF(U146&gt;' 5-Forecast Cash Flow + Profits'!$AG$29,"YES","NO"),"NO")</f>
        <v>NO</v>
      </c>
      <c r="W146" s="89" t="str">
        <f>IF(U146&gt;' 5-Forecast Cash Flow + Profits'!$AG$29, "YES", "NO")</f>
        <v>NO</v>
      </c>
      <c r="X146" s="68">
        <f>T146+X145</f>
        <v>1431491.7004745572</v>
      </c>
      <c r="Y146" s="68">
        <f>VLOOKUP($O146,$A$4:$J$247,7,FALSE)</f>
        <v>-27188.110419513021</v>
      </c>
      <c r="Z146" s="68">
        <f>VLOOKUP($O146,$A$4:$J$247,8,FALSE)</f>
        <v>-3188.110419513021</v>
      </c>
      <c r="AA146" s="68">
        <f>VLOOKUP($O146,$A$4:$J$247,9,FALSE)</f>
        <v>-3188.110419513021</v>
      </c>
      <c r="AB146" s="68">
        <f>VLOOKUP($O146,$A$4:$J$247,10,FALSE)</f>
        <v>-9188.110419513021</v>
      </c>
    </row>
    <row r="147" spans="1:28">
      <c r="A147" s="23">
        <f>_xlfn.RANK.EQ(' 5-Forecast Cash Flow + Profits'!AP147,' 5-Forecast Cash Flow + Profits'!$AP$4:$AP$247,0)</f>
        <v>144</v>
      </c>
      <c r="B147" s="23" t="str">
        <f>' 5-Forecast Cash Flow + Profits'!A147</f>
        <v>W228</v>
      </c>
      <c r="C147" s="68">
        <f>' 5-Forecast Cash Flow + Profits'!AD147+' 5-Forecast Cash Flow + Profits'!AI147</f>
        <v>-11620.876650952818</v>
      </c>
      <c r="D147" s="68">
        <f>' 5-Forecast Cash Flow + Profits'!AP147</f>
        <v>-9383.4766509528145</v>
      </c>
      <c r="E147" t="s">
        <v>434</v>
      </c>
      <c r="F147" t="s">
        <v>435</v>
      </c>
      <c r="G147" s="63">
        <f>' 5-Forecast Cash Flow + Profits'!AM147</f>
        <v>-27383.47665095282</v>
      </c>
      <c r="H147" s="63">
        <f>' 5-Forecast Cash Flow + Profits'!AN147</f>
        <v>-3383.4766509528145</v>
      </c>
      <c r="I147" s="63">
        <f>' 5-Forecast Cash Flow + Profits'!AO147</f>
        <v>-3383.4766509528145</v>
      </c>
      <c r="J147" s="63">
        <f>' 5-Forecast Cash Flow + Profits'!AP147</f>
        <v>-9383.4766509528145</v>
      </c>
      <c r="O147" s="23">
        <v>144</v>
      </c>
      <c r="P147" s="23" t="str">
        <f>VLOOKUP(O147,$A$4:$B$247,2,FALSE)</f>
        <v>W228</v>
      </c>
      <c r="Q147" s="23" t="str">
        <f>VLOOKUP(O147,$A$4:$F$247,5,FALSE)</f>
        <v>Richmond</v>
      </c>
      <c r="R147" s="23" t="str">
        <f>VLOOKUP(O147,$A$4:$F$247,6,FALSE)</f>
        <v>VA</v>
      </c>
      <c r="S147" s="68">
        <f>O147*' 5-Forecast Cash Flow + Profits'!$AG$7</f>
        <v>4320000</v>
      </c>
      <c r="T147" s="68">
        <f>VLOOKUP(O147,$A$4:$C$247,3,FALSE)</f>
        <v>-11620.876650952818</v>
      </c>
      <c r="U147" s="68">
        <f>VLOOKUP(O147,$A$4:$D$247,4,FALSE)</f>
        <v>-9383.4766509528145</v>
      </c>
      <c r="V147" s="89" t="str">
        <f>IF(S147&lt;$L$6,IF(U147&gt;' 5-Forecast Cash Flow + Profits'!$AG$29,"YES","NO"),"NO")</f>
        <v>NO</v>
      </c>
      <c r="W147" s="89" t="str">
        <f>IF(U147&gt;' 5-Forecast Cash Flow + Profits'!$AG$29, "YES", "NO")</f>
        <v>NO</v>
      </c>
      <c r="X147" s="68">
        <f>T147+X146</f>
        <v>1419870.8238236045</v>
      </c>
      <c r="Y147" s="68">
        <f>VLOOKUP($O147,$A$4:$J$247,7,FALSE)</f>
        <v>-27383.47665095282</v>
      </c>
      <c r="Z147" s="68">
        <f>VLOOKUP($O147,$A$4:$J$247,8,FALSE)</f>
        <v>-3383.4766509528145</v>
      </c>
      <c r="AA147" s="68">
        <f>VLOOKUP($O147,$A$4:$J$247,9,FALSE)</f>
        <v>-3383.4766509528145</v>
      </c>
      <c r="AB147" s="68">
        <f>VLOOKUP($O147,$A$4:$J$247,10,FALSE)</f>
        <v>-9383.4766509528145</v>
      </c>
    </row>
    <row r="148" spans="1:28">
      <c r="A148" s="23">
        <f>_xlfn.RANK.EQ(' 5-Forecast Cash Flow + Profits'!AP148,' 5-Forecast Cash Flow + Profits'!$AP$4:$AP$247,0)</f>
        <v>204</v>
      </c>
      <c r="B148" s="23" t="str">
        <f>' 5-Forecast Cash Flow + Profits'!A148</f>
        <v>W229</v>
      </c>
      <c r="C148" s="68">
        <f>' 5-Forecast Cash Flow + Profits'!AD148+' 5-Forecast Cash Flow + Profits'!AI148</f>
        <v>-24493.287382995346</v>
      </c>
      <c r="D148" s="68">
        <f>' 5-Forecast Cash Flow + Profits'!AP148</f>
        <v>-17001.687382995347</v>
      </c>
      <c r="E148" t="s">
        <v>434</v>
      </c>
      <c r="F148" t="s">
        <v>435</v>
      </c>
      <c r="G148" s="63">
        <f>' 5-Forecast Cash Flow + Profits'!AM148</f>
        <v>-35001.687382995347</v>
      </c>
      <c r="H148" s="63">
        <f>' 5-Forecast Cash Flow + Profits'!AN148</f>
        <v>-11001.687382995346</v>
      </c>
      <c r="I148" s="63">
        <f>' 5-Forecast Cash Flow + Profits'!AO148</f>
        <v>-11001.687382995346</v>
      </c>
      <c r="J148" s="63">
        <f>' 5-Forecast Cash Flow + Profits'!AP148</f>
        <v>-17001.687382995347</v>
      </c>
      <c r="O148" s="23">
        <v>145</v>
      </c>
      <c r="P148" s="23" t="str">
        <f>VLOOKUP(O148,$A$4:$B$247,2,FALSE)</f>
        <v>W15</v>
      </c>
      <c r="Q148" s="23" t="str">
        <f>VLOOKUP(O148,$A$4:$F$247,5,FALSE)</f>
        <v>Chapel Hill</v>
      </c>
      <c r="R148" s="23" t="str">
        <f>VLOOKUP(O148,$A$4:$F$247,6,FALSE)</f>
        <v>NC</v>
      </c>
      <c r="S148" s="68">
        <f>O148*' 5-Forecast Cash Flow + Profits'!$AG$7</f>
        <v>4350000</v>
      </c>
      <c r="T148" s="68">
        <f>VLOOKUP(O148,$A$4:$C$247,3,FALSE)</f>
        <v>-17017.812219218929</v>
      </c>
      <c r="U148" s="68">
        <f>VLOOKUP(O148,$A$4:$D$247,4,FALSE)</f>
        <v>-9526.2122192189327</v>
      </c>
      <c r="V148" s="89" t="str">
        <f>IF(S148&lt;$L$6,IF(U148&gt;' 5-Forecast Cash Flow + Profits'!$AG$29,"YES","NO"),"NO")</f>
        <v>NO</v>
      </c>
      <c r="W148" s="89" t="str">
        <f>IF(U148&gt;' 5-Forecast Cash Flow + Profits'!$AG$29, "YES", "NO")</f>
        <v>NO</v>
      </c>
      <c r="X148" s="68">
        <f>T148+X147</f>
        <v>1402853.0116043857</v>
      </c>
      <c r="Y148" s="68">
        <f>VLOOKUP($O148,$A$4:$J$247,7,FALSE)</f>
        <v>-27526.212219218927</v>
      </c>
      <c r="Z148" s="68">
        <f>VLOOKUP($O148,$A$4:$J$247,8,FALSE)</f>
        <v>-3526.2122192189327</v>
      </c>
      <c r="AA148" s="68">
        <f>VLOOKUP($O148,$A$4:$J$247,9,FALSE)</f>
        <v>-3526.2122192189327</v>
      </c>
      <c r="AB148" s="68">
        <f>VLOOKUP($O148,$A$4:$J$247,10,FALSE)</f>
        <v>-9526.2122192189327</v>
      </c>
    </row>
    <row r="149" spans="1:28">
      <c r="A149" s="23">
        <f>_xlfn.RANK.EQ(' 5-Forecast Cash Flow + Profits'!AP149,' 5-Forecast Cash Flow + Profits'!$AP$4:$AP$247,0)</f>
        <v>65</v>
      </c>
      <c r="B149" s="23" t="str">
        <f>' 5-Forecast Cash Flow + Profits'!A149</f>
        <v>W23</v>
      </c>
      <c r="C149" s="68">
        <f>' 5-Forecast Cash Flow + Profits'!AD149+' 5-Forecast Cash Flow + Profits'!AI149</f>
        <v>21102.76968007964</v>
      </c>
      <c r="D149" s="68">
        <f>' 5-Forecast Cash Flow + Profits'!AP149</f>
        <v>1739.5696800796431</v>
      </c>
      <c r="E149" t="s">
        <v>429</v>
      </c>
      <c r="F149" t="s">
        <v>430</v>
      </c>
      <c r="G149" s="63">
        <f>' 5-Forecast Cash Flow + Profits'!AM149</f>
        <v>-16260.430319920357</v>
      </c>
      <c r="H149" s="63">
        <f>' 5-Forecast Cash Flow + Profits'!AN149</f>
        <v>7739.5696800796431</v>
      </c>
      <c r="I149" s="63">
        <f>' 5-Forecast Cash Flow + Profits'!AO149</f>
        <v>7739.5696800796431</v>
      </c>
      <c r="J149" s="63">
        <f>' 5-Forecast Cash Flow + Profits'!AP149</f>
        <v>1739.5696800796431</v>
      </c>
      <c r="O149" s="23">
        <v>146</v>
      </c>
      <c r="P149" s="23" t="str">
        <f>VLOOKUP(O149,$A$4:$B$247,2,FALSE)</f>
        <v>W140</v>
      </c>
      <c r="Q149" s="23" t="str">
        <f>VLOOKUP(O149,$A$4:$F$247,5,FALSE)</f>
        <v>Denver</v>
      </c>
      <c r="R149" s="23" t="str">
        <f>VLOOKUP(O149,$A$4:$F$247,6,FALSE)</f>
        <v>CO</v>
      </c>
      <c r="S149" s="68">
        <f>O149*' 5-Forecast Cash Flow + Profits'!$AG$7</f>
        <v>4380000</v>
      </c>
      <c r="T149" s="68">
        <f>VLOOKUP(O149,$A$4:$C$247,3,FALSE)</f>
        <v>-6878.5244742875002</v>
      </c>
      <c r="U149" s="68">
        <f>VLOOKUP(O149,$A$4:$D$247,4,FALSE)</f>
        <v>-9895.3244742874995</v>
      </c>
      <c r="V149" s="89" t="str">
        <f>IF(S149&lt;$L$6,IF(U149&gt;' 5-Forecast Cash Flow + Profits'!$AG$29,"YES","NO"),"NO")</f>
        <v>NO</v>
      </c>
      <c r="W149" s="89" t="str">
        <f>IF(U149&gt;' 5-Forecast Cash Flow + Profits'!$AG$29, "YES", "NO")</f>
        <v>NO</v>
      </c>
      <c r="X149" s="68">
        <f>T149+X148</f>
        <v>1395974.4871300983</v>
      </c>
      <c r="Y149" s="68">
        <f>VLOOKUP($O149,$A$4:$J$247,7,FALSE)</f>
        <v>-27895.324474287499</v>
      </c>
      <c r="Z149" s="68">
        <f>VLOOKUP($O149,$A$4:$J$247,8,FALSE)</f>
        <v>-3895.3244742874995</v>
      </c>
      <c r="AA149" s="68">
        <f>VLOOKUP($O149,$A$4:$J$247,9,FALSE)</f>
        <v>-3895.3244742874995</v>
      </c>
      <c r="AB149" s="68">
        <f>VLOOKUP($O149,$A$4:$J$247,10,FALSE)</f>
        <v>-9895.3244742874995</v>
      </c>
    </row>
    <row r="150" spans="1:28">
      <c r="A150" s="23">
        <f>_xlfn.RANK.EQ(' 5-Forecast Cash Flow + Profits'!AP150,' 5-Forecast Cash Flow + Profits'!$AP$4:$AP$247,0)</f>
        <v>129</v>
      </c>
      <c r="B150" s="23" t="str">
        <f>' 5-Forecast Cash Flow + Profits'!A150</f>
        <v>W230</v>
      </c>
      <c r="C150" s="68">
        <f>' 5-Forecast Cash Flow + Profits'!AD150+' 5-Forecast Cash Flow + Profits'!AI150</f>
        <v>-10227.507615911294</v>
      </c>
      <c r="D150" s="68">
        <f>' 5-Forecast Cash Flow + Profits'!AP150</f>
        <v>-7698.2076159112876</v>
      </c>
      <c r="E150" t="s">
        <v>434</v>
      </c>
      <c r="F150" t="s">
        <v>435</v>
      </c>
      <c r="G150" s="63">
        <f>' 5-Forecast Cash Flow + Profits'!AM150</f>
        <v>-25698.207615911291</v>
      </c>
      <c r="H150" s="63">
        <f>' 5-Forecast Cash Flow + Profits'!AN150</f>
        <v>-1698.2076159112876</v>
      </c>
      <c r="I150" s="63">
        <f>' 5-Forecast Cash Flow + Profits'!AO150</f>
        <v>-1698.2076159112876</v>
      </c>
      <c r="J150" s="63">
        <f>' 5-Forecast Cash Flow + Profits'!AP150</f>
        <v>-7698.2076159112876</v>
      </c>
      <c r="O150" s="23">
        <v>147</v>
      </c>
      <c r="P150" s="23" t="str">
        <f>VLOOKUP(O150,$A$4:$B$247,2,FALSE)</f>
        <v>W73</v>
      </c>
      <c r="Q150" s="23" t="str">
        <f>VLOOKUP(O150,$A$4:$F$247,5,FALSE)</f>
        <v>Palo Alto</v>
      </c>
      <c r="R150" s="23" t="str">
        <f>VLOOKUP(O150,$A$4:$F$247,6,FALSE)</f>
        <v>CA</v>
      </c>
      <c r="S150" s="68">
        <f>O150*' 5-Forecast Cash Flow + Profits'!$AG$7</f>
        <v>4410000</v>
      </c>
      <c r="T150" s="68">
        <f>VLOOKUP(O150,$A$4:$C$247,3,FALSE)</f>
        <v>10543.70080969845</v>
      </c>
      <c r="U150" s="68">
        <f>VLOOKUP(O150,$A$4:$D$247,4,FALSE)</f>
        <v>-9987.0991903015456</v>
      </c>
      <c r="V150" s="89" t="str">
        <f>IF(S150&lt;$L$6,IF(U150&gt;' 5-Forecast Cash Flow + Profits'!$AG$29,"YES","NO"),"NO")</f>
        <v>NO</v>
      </c>
      <c r="W150" s="89" t="str">
        <f>IF(U150&gt;' 5-Forecast Cash Flow + Profits'!$AG$29, "YES", "NO")</f>
        <v>NO</v>
      </c>
      <c r="X150" s="68">
        <f>T150+X149</f>
        <v>1406518.1879397968</v>
      </c>
      <c r="Y150" s="68">
        <f>VLOOKUP($O150,$A$4:$J$247,7,FALSE)</f>
        <v>-27987.099190301546</v>
      </c>
      <c r="Z150" s="68">
        <f>VLOOKUP($O150,$A$4:$J$247,8,FALSE)</f>
        <v>-3987.0991903015456</v>
      </c>
      <c r="AA150" s="68">
        <f>VLOOKUP($O150,$A$4:$J$247,9,FALSE)</f>
        <v>-3987.0991903015456</v>
      </c>
      <c r="AB150" s="68">
        <f>VLOOKUP($O150,$A$4:$J$247,10,FALSE)</f>
        <v>-9987.0991903015456</v>
      </c>
    </row>
    <row r="151" spans="1:28">
      <c r="A151" s="23">
        <f>_xlfn.RANK.EQ(' 5-Forecast Cash Flow + Profits'!AP151,' 5-Forecast Cash Flow + Profits'!$AP$4:$AP$247,0)</f>
        <v>118</v>
      </c>
      <c r="B151" s="23" t="str">
        <f>' 5-Forecast Cash Flow + Profits'!A151</f>
        <v>W231</v>
      </c>
      <c r="C151" s="68">
        <f>' 5-Forecast Cash Flow + Profits'!AD151+' 5-Forecast Cash Flow + Profits'!AI151</f>
        <v>-12812.44724391905</v>
      </c>
      <c r="D151" s="68">
        <f>' 5-Forecast Cash Flow + Profits'!AP151</f>
        <v>-6196.5472439190489</v>
      </c>
      <c r="E151" t="s">
        <v>434</v>
      </c>
      <c r="F151" t="s">
        <v>435</v>
      </c>
      <c r="G151" s="63">
        <f>' 5-Forecast Cash Flow + Profits'!AM151</f>
        <v>-24196.547243919049</v>
      </c>
      <c r="H151" s="63">
        <f>' 5-Forecast Cash Flow + Profits'!AN151</f>
        <v>-196.54724391904892</v>
      </c>
      <c r="I151" s="63">
        <f>' 5-Forecast Cash Flow + Profits'!AO151</f>
        <v>-196.54724391904892</v>
      </c>
      <c r="J151" s="63">
        <f>' 5-Forecast Cash Flow + Profits'!AP151</f>
        <v>-6196.5472439190489</v>
      </c>
      <c r="O151" s="23">
        <v>148</v>
      </c>
      <c r="P151" s="23" t="str">
        <f>VLOOKUP(O151,$A$4:$B$247,2,FALSE)</f>
        <v>W244</v>
      </c>
      <c r="Q151" s="23" t="str">
        <f>VLOOKUP(O151,$A$4:$F$247,5,FALSE)</f>
        <v>Charleston</v>
      </c>
      <c r="R151" s="23" t="str">
        <f>VLOOKUP(O151,$A$4:$F$247,6,FALSE)</f>
        <v>SC</v>
      </c>
      <c r="S151" s="68">
        <f>O151*' 5-Forecast Cash Flow + Profits'!$AG$7</f>
        <v>4440000</v>
      </c>
      <c r="T151" s="68">
        <f>VLOOKUP(O151,$A$4:$C$247,3,FALSE)</f>
        <v>-3050.9793460574292</v>
      </c>
      <c r="U151" s="68">
        <f>VLOOKUP(O151,$A$4:$D$247,4,FALSE)</f>
        <v>-10154.379346057427</v>
      </c>
      <c r="V151" s="89" t="str">
        <f>IF(S151&lt;$L$6,IF(U151&gt;' 5-Forecast Cash Flow + Profits'!$AG$29,"YES","NO"),"NO")</f>
        <v>NO</v>
      </c>
      <c r="W151" s="89" t="str">
        <f>IF(U151&gt;' 5-Forecast Cash Flow + Profits'!$AG$29, "YES", "NO")</f>
        <v>NO</v>
      </c>
      <c r="X151" s="68">
        <f>T151+X150</f>
        <v>1403467.2085937394</v>
      </c>
      <c r="Y151" s="68">
        <f>VLOOKUP($O151,$A$4:$J$247,7,FALSE)</f>
        <v>-28154.379346057427</v>
      </c>
      <c r="Z151" s="68">
        <f>VLOOKUP($O151,$A$4:$J$247,8,FALSE)</f>
        <v>-4154.379346057427</v>
      </c>
      <c r="AA151" s="68">
        <f>VLOOKUP($O151,$A$4:$J$247,9,FALSE)</f>
        <v>-4154.379346057427</v>
      </c>
      <c r="AB151" s="68">
        <f>VLOOKUP($O151,$A$4:$J$247,10,FALSE)</f>
        <v>-10154.379346057427</v>
      </c>
    </row>
    <row r="152" spans="1:28">
      <c r="A152" s="23">
        <f>_xlfn.RANK.EQ(' 5-Forecast Cash Flow + Profits'!AP152,' 5-Forecast Cash Flow + Profits'!$AP$4:$AP$247,0)</f>
        <v>107</v>
      </c>
      <c r="B152" s="23" t="str">
        <f>' 5-Forecast Cash Flow + Profits'!A152</f>
        <v>W232</v>
      </c>
      <c r="C152" s="68">
        <f>' 5-Forecast Cash Flow + Profits'!AD152+' 5-Forecast Cash Flow + Profits'!AI152</f>
        <v>-5074.3013651332221</v>
      </c>
      <c r="D152" s="68">
        <f>' 5-Forecast Cash Flow + Profits'!AP152</f>
        <v>-5172.101365133225</v>
      </c>
      <c r="E152" t="s">
        <v>434</v>
      </c>
      <c r="F152" t="s">
        <v>435</v>
      </c>
      <c r="G152" s="63">
        <f>' 5-Forecast Cash Flow + Profits'!AM152</f>
        <v>-23172.101365133221</v>
      </c>
      <c r="H152" s="63">
        <f>' 5-Forecast Cash Flow + Profits'!AN152</f>
        <v>827.89863486677496</v>
      </c>
      <c r="I152" s="63">
        <f>' 5-Forecast Cash Flow + Profits'!AO152</f>
        <v>827.89863486677496</v>
      </c>
      <c r="J152" s="63">
        <f>' 5-Forecast Cash Flow + Profits'!AP152</f>
        <v>-5172.101365133225</v>
      </c>
      <c r="O152" s="23">
        <v>149</v>
      </c>
      <c r="P152" s="23" t="str">
        <f>VLOOKUP(O152,$A$4:$B$247,2,FALSE)</f>
        <v>W36</v>
      </c>
      <c r="Q152" s="23" t="str">
        <f>VLOOKUP(O152,$A$4:$F$247,5,FALSE)</f>
        <v>Chicago</v>
      </c>
      <c r="R152" s="23" t="str">
        <f>VLOOKUP(O152,$A$4:$F$247,6,FALSE)</f>
        <v>IL</v>
      </c>
      <c r="S152" s="68">
        <f>O152*' 5-Forecast Cash Flow + Profits'!$AG$7</f>
        <v>4470000</v>
      </c>
      <c r="T152" s="68">
        <f>VLOOKUP(O152,$A$4:$C$247,3,FALSE)</f>
        <v>-8549.4362048723196</v>
      </c>
      <c r="U152" s="68">
        <f>VLOOKUP(O152,$A$4:$D$247,4,FALSE)</f>
        <v>-10398.63620487232</v>
      </c>
      <c r="V152" s="89" t="str">
        <f>IF(S152&lt;$L$6,IF(U152&gt;' 5-Forecast Cash Flow + Profits'!$AG$29,"YES","NO"),"NO")</f>
        <v>NO</v>
      </c>
      <c r="W152" s="89" t="str">
        <f>IF(U152&gt;' 5-Forecast Cash Flow + Profits'!$AG$29, "YES", "NO")</f>
        <v>NO</v>
      </c>
      <c r="X152" s="68">
        <f>T152+X151</f>
        <v>1394917.7723888671</v>
      </c>
      <c r="Y152" s="68">
        <f>VLOOKUP($O152,$A$4:$J$247,7,FALSE)</f>
        <v>-28398.63620487232</v>
      </c>
      <c r="Z152" s="68">
        <f>VLOOKUP($O152,$A$4:$J$247,8,FALSE)</f>
        <v>-4398.6362048723222</v>
      </c>
      <c r="AA152" s="68">
        <f>VLOOKUP($O152,$A$4:$J$247,9,FALSE)</f>
        <v>-4398.6362048723222</v>
      </c>
      <c r="AB152" s="68">
        <f>VLOOKUP($O152,$A$4:$J$247,10,FALSE)</f>
        <v>-10398.63620487232</v>
      </c>
    </row>
    <row r="153" spans="1:28">
      <c r="A153" s="23">
        <f>_xlfn.RANK.EQ(' 5-Forecast Cash Flow + Profits'!AP153,' 5-Forecast Cash Flow + Profits'!$AP$4:$AP$247,0)</f>
        <v>163</v>
      </c>
      <c r="B153" s="23" t="str">
        <f>' 5-Forecast Cash Flow + Profits'!A153</f>
        <v>W233</v>
      </c>
      <c r="C153" s="68">
        <f>' 5-Forecast Cash Flow + Profits'!AD153+' 5-Forecast Cash Flow + Profits'!AI153</f>
        <v>-16374.009824567875</v>
      </c>
      <c r="D153" s="68">
        <f>' 5-Forecast Cash Flow + Profits'!AP153</f>
        <v>-11976.549824567877</v>
      </c>
      <c r="E153" t="s">
        <v>436</v>
      </c>
      <c r="F153" t="s">
        <v>437</v>
      </c>
      <c r="G153" s="63">
        <f>' 5-Forecast Cash Flow + Profits'!AM153</f>
        <v>-29976.549824567875</v>
      </c>
      <c r="H153" s="63">
        <f>' 5-Forecast Cash Flow + Profits'!AN153</f>
        <v>-5976.5498245678773</v>
      </c>
      <c r="I153" s="63">
        <f>' 5-Forecast Cash Flow + Profits'!AO153</f>
        <v>-5976.5498245678773</v>
      </c>
      <c r="J153" s="63">
        <f>' 5-Forecast Cash Flow + Profits'!AP153</f>
        <v>-11976.549824567877</v>
      </c>
      <c r="O153" s="23">
        <v>150</v>
      </c>
      <c r="P153" s="23" t="str">
        <f>VLOOKUP(O153,$A$4:$B$247,2,FALSE)</f>
        <v>W24</v>
      </c>
      <c r="Q153" s="23" t="str">
        <f>VLOOKUP(O153,$A$4:$F$247,5,FALSE)</f>
        <v>Chicago</v>
      </c>
      <c r="R153" s="23" t="str">
        <f>VLOOKUP(O153,$A$4:$F$247,6,FALSE)</f>
        <v>IL</v>
      </c>
      <c r="S153" s="68">
        <f>O153*' 5-Forecast Cash Flow + Profits'!$AG$7</f>
        <v>4500000</v>
      </c>
      <c r="T153" s="68">
        <f>VLOOKUP(O153,$A$4:$C$247,3,FALSE)</f>
        <v>-8669.3094173698737</v>
      </c>
      <c r="U153" s="68">
        <f>VLOOKUP(O153,$A$4:$D$247,4,FALSE)</f>
        <v>-10518.509417369874</v>
      </c>
      <c r="V153" s="89" t="str">
        <f>IF(S153&lt;$L$6,IF(U153&gt;' 5-Forecast Cash Flow + Profits'!$AG$29,"YES","NO"),"NO")</f>
        <v>NO</v>
      </c>
      <c r="W153" s="89" t="str">
        <f>IF(U153&gt;' 5-Forecast Cash Flow + Profits'!$AG$29, "YES", "NO")</f>
        <v>NO</v>
      </c>
      <c r="X153" s="68">
        <f>T153+X152</f>
        <v>1386248.4629714973</v>
      </c>
      <c r="Y153" s="68">
        <f>VLOOKUP($O153,$A$4:$J$247,7,FALSE)</f>
        <v>-28518.509417369874</v>
      </c>
      <c r="Z153" s="68">
        <f>VLOOKUP($O153,$A$4:$J$247,8,FALSE)</f>
        <v>-4518.5094173698726</v>
      </c>
      <c r="AA153" s="68">
        <f>VLOOKUP($O153,$A$4:$J$247,9,FALSE)</f>
        <v>-4518.5094173698726</v>
      </c>
      <c r="AB153" s="68">
        <f>VLOOKUP($O153,$A$4:$J$247,10,FALSE)</f>
        <v>-10518.509417369874</v>
      </c>
    </row>
    <row r="154" spans="1:28">
      <c r="A154" s="23">
        <f>_xlfn.RANK.EQ(' 5-Forecast Cash Flow + Profits'!AP154,' 5-Forecast Cash Flow + Profits'!$AP$4:$AP$247,0)</f>
        <v>80</v>
      </c>
      <c r="B154" s="23" t="str">
        <f>' 5-Forecast Cash Flow + Profits'!A154</f>
        <v>W234</v>
      </c>
      <c r="C154" s="68">
        <f>' 5-Forecast Cash Flow + Profits'!AD154+' 5-Forecast Cash Flow + Profits'!AI154</f>
        <v>382.60732156091399</v>
      </c>
      <c r="D154" s="68">
        <f>' 5-Forecast Cash Flow + Profits'!AP154</f>
        <v>-590.89267843908965</v>
      </c>
      <c r="E154" t="s">
        <v>436</v>
      </c>
      <c r="F154" t="s">
        <v>437</v>
      </c>
      <c r="G154" s="63">
        <f>' 5-Forecast Cash Flow + Profits'!AM154</f>
        <v>-18590.892678439086</v>
      </c>
      <c r="H154" s="63">
        <f>' 5-Forecast Cash Flow + Profits'!AN154</f>
        <v>5409.1073215609103</v>
      </c>
      <c r="I154" s="63">
        <f>' 5-Forecast Cash Flow + Profits'!AO154</f>
        <v>5409.1073215609103</v>
      </c>
      <c r="J154" s="63">
        <f>' 5-Forecast Cash Flow + Profits'!AP154</f>
        <v>-590.89267843908965</v>
      </c>
      <c r="O154" s="23">
        <v>151</v>
      </c>
      <c r="P154" s="23" t="str">
        <f>VLOOKUP(O154,$A$4:$B$247,2,FALSE)</f>
        <v>W172</v>
      </c>
      <c r="Q154" s="23" t="str">
        <f>VLOOKUP(O154,$A$4:$F$247,5,FALSE)</f>
        <v>Omaha</v>
      </c>
      <c r="R154" s="23" t="str">
        <f>VLOOKUP(O154,$A$4:$F$247,6,FALSE)</f>
        <v>NE</v>
      </c>
      <c r="S154" s="68">
        <f>O154*' 5-Forecast Cash Flow + Profits'!$AG$7</f>
        <v>4530000</v>
      </c>
      <c r="T154" s="68">
        <f>VLOOKUP(O154,$A$4:$C$247,3,FALSE)</f>
        <v>-7582.0045061983183</v>
      </c>
      <c r="U154" s="68">
        <f>VLOOKUP(O154,$A$4:$D$247,4,FALSE)</f>
        <v>-10598.804506198318</v>
      </c>
      <c r="V154" s="89" t="str">
        <f>IF(S154&lt;$L$6,IF(U154&gt;' 5-Forecast Cash Flow + Profits'!$AG$29,"YES","NO"),"NO")</f>
        <v>NO</v>
      </c>
      <c r="W154" s="89" t="str">
        <f>IF(U154&gt;' 5-Forecast Cash Flow + Profits'!$AG$29, "YES", "NO")</f>
        <v>NO</v>
      </c>
      <c r="X154" s="68">
        <f>T154+X153</f>
        <v>1378666.4584652991</v>
      </c>
      <c r="Y154" s="68">
        <f>VLOOKUP($O154,$A$4:$J$247,7,FALSE)</f>
        <v>-28598.804506198318</v>
      </c>
      <c r="Z154" s="68">
        <f>VLOOKUP($O154,$A$4:$J$247,8,FALSE)</f>
        <v>-4598.8045061983175</v>
      </c>
      <c r="AA154" s="68">
        <f>VLOOKUP($O154,$A$4:$J$247,9,FALSE)</f>
        <v>-4598.8045061983175</v>
      </c>
      <c r="AB154" s="68">
        <f>VLOOKUP($O154,$A$4:$J$247,10,FALSE)</f>
        <v>-10598.804506198318</v>
      </c>
    </row>
    <row r="155" spans="1:28">
      <c r="A155" s="23">
        <f>_xlfn.RANK.EQ(' 5-Forecast Cash Flow + Profits'!AP155,' 5-Forecast Cash Flow + Profits'!$AP$4:$AP$247,0)</f>
        <v>169</v>
      </c>
      <c r="B155" s="23" t="str">
        <f>' 5-Forecast Cash Flow + Profits'!A155</f>
        <v>W235</v>
      </c>
      <c r="C155" s="68">
        <f>' 5-Forecast Cash Flow + Profits'!AD155+' 5-Forecast Cash Flow + Profits'!AI155</f>
        <v>-14432.850921494402</v>
      </c>
      <c r="D155" s="68">
        <f>' 5-Forecast Cash Flow + Profits'!AP155</f>
        <v>-12779.250921494402</v>
      </c>
      <c r="E155" t="s">
        <v>436</v>
      </c>
      <c r="F155" t="s">
        <v>437</v>
      </c>
      <c r="G155" s="63">
        <f>' 5-Forecast Cash Flow + Profits'!AM155</f>
        <v>-30779.2509214944</v>
      </c>
      <c r="H155" s="63">
        <f>' 5-Forecast Cash Flow + Profits'!AN155</f>
        <v>-6779.2509214944021</v>
      </c>
      <c r="I155" s="63">
        <f>' 5-Forecast Cash Flow + Profits'!AO155</f>
        <v>-6779.2509214944021</v>
      </c>
      <c r="J155" s="63">
        <f>' 5-Forecast Cash Flow + Profits'!AP155</f>
        <v>-12779.250921494402</v>
      </c>
      <c r="O155" s="23">
        <v>152</v>
      </c>
      <c r="P155" s="23" t="str">
        <f>VLOOKUP(O155,$A$4:$B$247,2,FALSE)</f>
        <v>W25</v>
      </c>
      <c r="Q155" s="23" t="str">
        <f>VLOOKUP(O155,$A$4:$F$247,5,FALSE)</f>
        <v>Chicago</v>
      </c>
      <c r="R155" s="23" t="str">
        <f>VLOOKUP(O155,$A$4:$F$247,6,FALSE)</f>
        <v>IL</v>
      </c>
      <c r="S155" s="68">
        <f>O155*' 5-Forecast Cash Flow + Profits'!$AG$7</f>
        <v>4560000</v>
      </c>
      <c r="T155" s="68">
        <f>VLOOKUP(O155,$A$4:$C$247,3,FALSE)</f>
        <v>-10011.950814547461</v>
      </c>
      <c r="U155" s="68">
        <f>VLOOKUP(O155,$A$4:$D$247,4,FALSE)</f>
        <v>-10693.55081454746</v>
      </c>
      <c r="V155" s="89" t="str">
        <f>IF(S155&lt;$L$6,IF(U155&gt;' 5-Forecast Cash Flow + Profits'!$AG$29,"YES","NO"),"NO")</f>
        <v>NO</v>
      </c>
      <c r="W155" s="89" t="str">
        <f>IF(U155&gt;' 5-Forecast Cash Flow + Profits'!$AG$29, "YES", "NO")</f>
        <v>NO</v>
      </c>
      <c r="X155" s="68">
        <f>T155+X154</f>
        <v>1368654.5076507516</v>
      </c>
      <c r="Y155" s="68">
        <f>VLOOKUP($O155,$A$4:$J$247,7,FALSE)</f>
        <v>-28693.55081454746</v>
      </c>
      <c r="Z155" s="68">
        <f>VLOOKUP($O155,$A$4:$J$247,8,FALSE)</f>
        <v>-4693.5508145474614</v>
      </c>
      <c r="AA155" s="68">
        <f>VLOOKUP($O155,$A$4:$J$247,9,FALSE)</f>
        <v>-4693.5508145474614</v>
      </c>
      <c r="AB155" s="68">
        <f>VLOOKUP($O155,$A$4:$J$247,10,FALSE)</f>
        <v>-10693.55081454746</v>
      </c>
    </row>
    <row r="156" spans="1:28">
      <c r="A156" s="23">
        <f>_xlfn.RANK.EQ(' 5-Forecast Cash Flow + Profits'!AP156,' 5-Forecast Cash Flow + Profits'!$AP$4:$AP$247,0)</f>
        <v>97</v>
      </c>
      <c r="B156" s="23" t="str">
        <f>' 5-Forecast Cash Flow + Profits'!A156</f>
        <v>W236</v>
      </c>
      <c r="C156" s="68">
        <f>' 5-Forecast Cash Flow + Profits'!AD156+' 5-Forecast Cash Flow + Profits'!AI156</f>
        <v>1171.1540107905093</v>
      </c>
      <c r="D156" s="68">
        <f>' 5-Forecast Cash Flow + Profits'!AP156</f>
        <v>-4122.4659892094933</v>
      </c>
      <c r="E156" t="s">
        <v>436</v>
      </c>
      <c r="F156" t="s">
        <v>437</v>
      </c>
      <c r="G156" s="63">
        <f>' 5-Forecast Cash Flow + Profits'!AM156</f>
        <v>-22122.46598920949</v>
      </c>
      <c r="H156" s="63">
        <f>' 5-Forecast Cash Flow + Profits'!AN156</f>
        <v>1877.5340107905067</v>
      </c>
      <c r="I156" s="63">
        <f>' 5-Forecast Cash Flow + Profits'!AO156</f>
        <v>1877.5340107905067</v>
      </c>
      <c r="J156" s="63">
        <f>' 5-Forecast Cash Flow + Profits'!AP156</f>
        <v>-4122.4659892094933</v>
      </c>
      <c r="O156" s="23">
        <v>153</v>
      </c>
      <c r="P156" s="23" t="str">
        <f>VLOOKUP(O156,$A$4:$B$247,2,FALSE)</f>
        <v>W162</v>
      </c>
      <c r="Q156" s="23" t="str">
        <f>VLOOKUP(O156,$A$4:$F$247,5,FALSE)</f>
        <v>Miami</v>
      </c>
      <c r="R156" s="23" t="str">
        <f>VLOOKUP(O156,$A$4:$F$247,6,FALSE)</f>
        <v>FL</v>
      </c>
      <c r="S156" s="68">
        <f>O156*' 5-Forecast Cash Flow + Profits'!$AG$7</f>
        <v>4590000</v>
      </c>
      <c r="T156" s="68">
        <f>VLOOKUP(O156,$A$4:$C$247,3,FALSE)</f>
        <v>-3094.0691206825431</v>
      </c>
      <c r="U156" s="68">
        <f>VLOOKUP(O156,$A$4:$D$247,4,FALSE)</f>
        <v>-10781.269120682544</v>
      </c>
      <c r="V156" s="89" t="str">
        <f>IF(S156&lt;$L$6,IF(U156&gt;' 5-Forecast Cash Flow + Profits'!$AG$29,"YES","NO"),"NO")</f>
        <v>NO</v>
      </c>
      <c r="W156" s="89" t="str">
        <f>IF(U156&gt;' 5-Forecast Cash Flow + Profits'!$AG$29, "YES", "NO")</f>
        <v>NO</v>
      </c>
      <c r="X156" s="68">
        <f>T156+X155</f>
        <v>1365560.4385300691</v>
      </c>
      <c r="Y156" s="68">
        <f>VLOOKUP($O156,$A$4:$J$247,7,FALSE)</f>
        <v>-28781.269120682544</v>
      </c>
      <c r="Z156" s="68">
        <f>VLOOKUP($O156,$A$4:$J$247,8,FALSE)</f>
        <v>-4781.2691206825439</v>
      </c>
      <c r="AA156" s="68">
        <f>VLOOKUP($O156,$A$4:$J$247,9,FALSE)</f>
        <v>-4781.2691206825439</v>
      </c>
      <c r="AB156" s="68">
        <f>VLOOKUP($O156,$A$4:$J$247,10,FALSE)</f>
        <v>-10781.269120682544</v>
      </c>
    </row>
    <row r="157" spans="1:28">
      <c r="A157" s="23">
        <f>_xlfn.RANK.EQ(' 5-Forecast Cash Flow + Profits'!AP157,' 5-Forecast Cash Flow + Profits'!$AP$4:$AP$247,0)</f>
        <v>176</v>
      </c>
      <c r="B157" s="23" t="str">
        <f>' 5-Forecast Cash Flow + Profits'!A157</f>
        <v>W237</v>
      </c>
      <c r="C157" s="68">
        <f>' 5-Forecast Cash Flow + Profits'!AD157+' 5-Forecast Cash Flow + Profits'!AI157</f>
        <v>-22530.738839108377</v>
      </c>
      <c r="D157" s="68">
        <f>' 5-Forecast Cash Flow + Profits'!AP157</f>
        <v>-13404.498839108377</v>
      </c>
      <c r="E157" t="s">
        <v>436</v>
      </c>
      <c r="F157" t="s">
        <v>437</v>
      </c>
      <c r="G157" s="63">
        <f>' 5-Forecast Cash Flow + Profits'!AM157</f>
        <v>-31404.498839108375</v>
      </c>
      <c r="H157" s="63">
        <f>' 5-Forecast Cash Flow + Profits'!AN157</f>
        <v>-7404.4988391083771</v>
      </c>
      <c r="I157" s="63">
        <f>' 5-Forecast Cash Flow + Profits'!AO157</f>
        <v>-7404.4988391083771</v>
      </c>
      <c r="J157" s="63">
        <f>' 5-Forecast Cash Flow + Profits'!AP157</f>
        <v>-13404.498839108377</v>
      </c>
      <c r="O157" s="23">
        <v>154</v>
      </c>
      <c r="P157" s="23" t="str">
        <f>VLOOKUP(O157,$A$4:$B$247,2,FALSE)</f>
        <v>W165</v>
      </c>
      <c r="Q157" s="23" t="str">
        <f>VLOOKUP(O157,$A$4:$F$247,5,FALSE)</f>
        <v>Miami</v>
      </c>
      <c r="R157" s="23" t="str">
        <f>VLOOKUP(O157,$A$4:$F$247,6,FALSE)</f>
        <v>FL</v>
      </c>
      <c r="S157" s="68">
        <f>O157*' 5-Forecast Cash Flow + Profits'!$AG$7</f>
        <v>4620000</v>
      </c>
      <c r="T157" s="68">
        <f>VLOOKUP(O157,$A$4:$C$247,3,FALSE)</f>
        <v>-10253.220462898316</v>
      </c>
      <c r="U157" s="68">
        <f>VLOOKUP(O157,$A$4:$D$247,4,FALSE)</f>
        <v>-10934.820462898315</v>
      </c>
      <c r="V157" s="89" t="str">
        <f>IF(S157&lt;$L$6,IF(U157&gt;' 5-Forecast Cash Flow + Profits'!$AG$29,"YES","NO"),"NO")</f>
        <v>NO</v>
      </c>
      <c r="W157" s="89" t="str">
        <f>IF(U157&gt;' 5-Forecast Cash Flow + Profits'!$AG$29, "YES", "NO")</f>
        <v>NO</v>
      </c>
      <c r="X157" s="68">
        <f>T157+X156</f>
        <v>1355307.2180671708</v>
      </c>
      <c r="Y157" s="68">
        <f>VLOOKUP($O157,$A$4:$J$247,7,FALSE)</f>
        <v>-28934.820462898315</v>
      </c>
      <c r="Z157" s="68">
        <f>VLOOKUP($O157,$A$4:$J$247,8,FALSE)</f>
        <v>-4934.8204628983149</v>
      </c>
      <c r="AA157" s="68">
        <f>VLOOKUP($O157,$A$4:$J$247,9,FALSE)</f>
        <v>-4934.8204628983149</v>
      </c>
      <c r="AB157" s="68">
        <f>VLOOKUP($O157,$A$4:$J$247,10,FALSE)</f>
        <v>-10934.820462898315</v>
      </c>
    </row>
    <row r="158" spans="1:28">
      <c r="A158" s="23">
        <f>_xlfn.RANK.EQ(' 5-Forecast Cash Flow + Profits'!AP158,' 5-Forecast Cash Flow + Profits'!$AP$4:$AP$247,0)</f>
        <v>132</v>
      </c>
      <c r="B158" s="23" t="str">
        <f>' 5-Forecast Cash Flow + Profits'!A158</f>
        <v>W238</v>
      </c>
      <c r="C158" s="68">
        <f>' 5-Forecast Cash Flow + Profits'!AD158+' 5-Forecast Cash Flow + Profits'!AI158</f>
        <v>-14584.18963962916</v>
      </c>
      <c r="D158" s="68">
        <f>' 5-Forecast Cash Flow + Profits'!AP158</f>
        <v>-7851.529639629156</v>
      </c>
      <c r="E158" t="s">
        <v>436</v>
      </c>
      <c r="F158" t="s">
        <v>437</v>
      </c>
      <c r="G158" s="63">
        <f>' 5-Forecast Cash Flow + Profits'!AM158</f>
        <v>-25851.52963962916</v>
      </c>
      <c r="H158" s="63">
        <f>' 5-Forecast Cash Flow + Profits'!AN158</f>
        <v>-1851.529639629156</v>
      </c>
      <c r="I158" s="63">
        <f>' 5-Forecast Cash Flow + Profits'!AO158</f>
        <v>-1851.529639629156</v>
      </c>
      <c r="J158" s="63">
        <f>' 5-Forecast Cash Flow + Profits'!AP158</f>
        <v>-7851.529639629156</v>
      </c>
      <c r="O158" s="23">
        <v>155</v>
      </c>
      <c r="P158" s="23" t="str">
        <f>VLOOKUP(O158,$A$4:$B$247,2,FALSE)</f>
        <v>W135</v>
      </c>
      <c r="Q158" s="23" t="str">
        <f>VLOOKUP(O158,$A$4:$F$247,5,FALSE)</f>
        <v>Denver</v>
      </c>
      <c r="R158" s="23" t="str">
        <f>VLOOKUP(O158,$A$4:$F$247,6,FALSE)</f>
        <v>CO</v>
      </c>
      <c r="S158" s="68">
        <f>O158*' 5-Forecast Cash Flow + Profits'!$AG$7</f>
        <v>4650000</v>
      </c>
      <c r="T158" s="68">
        <f>VLOOKUP(O158,$A$4:$C$247,3,FALSE)</f>
        <v>-14931.491076356517</v>
      </c>
      <c r="U158" s="68">
        <f>VLOOKUP(O158,$A$4:$D$247,4,FALSE)</f>
        <v>-10942.691076356519</v>
      </c>
      <c r="V158" s="89" t="str">
        <f>IF(S158&lt;$L$6,IF(U158&gt;' 5-Forecast Cash Flow + Profits'!$AG$29,"YES","NO"),"NO")</f>
        <v>NO</v>
      </c>
      <c r="W158" s="89" t="str">
        <f>IF(U158&gt;' 5-Forecast Cash Flow + Profits'!$AG$29, "YES", "NO")</f>
        <v>NO</v>
      </c>
      <c r="X158" s="68">
        <f>T158+X157</f>
        <v>1340375.7269908143</v>
      </c>
      <c r="Y158" s="68">
        <f>VLOOKUP($O158,$A$4:$J$247,7,FALSE)</f>
        <v>-28942.691076356517</v>
      </c>
      <c r="Z158" s="68">
        <f>VLOOKUP($O158,$A$4:$J$247,8,FALSE)</f>
        <v>-4942.6910763565193</v>
      </c>
      <c r="AA158" s="68">
        <f>VLOOKUP($O158,$A$4:$J$247,9,FALSE)</f>
        <v>-4942.6910763565193</v>
      </c>
      <c r="AB158" s="68">
        <f>VLOOKUP($O158,$A$4:$J$247,10,FALSE)</f>
        <v>-10942.691076356519</v>
      </c>
    </row>
    <row r="159" spans="1:28">
      <c r="A159" s="23">
        <f>_xlfn.RANK.EQ(' 5-Forecast Cash Flow + Profits'!AP159,' 5-Forecast Cash Flow + Profits'!$AP$4:$AP$247,0)</f>
        <v>120</v>
      </c>
      <c r="B159" s="23" t="str">
        <f>' 5-Forecast Cash Flow + Profits'!A159</f>
        <v>W239</v>
      </c>
      <c r="C159" s="68">
        <f>' 5-Forecast Cash Flow + Profits'!AD159+' 5-Forecast Cash Flow + Profits'!AI159</f>
        <v>-10625.935125241096</v>
      </c>
      <c r="D159" s="68">
        <f>' 5-Forecast Cash Flow + Profits'!AP159</f>
        <v>-6461.9951252410974</v>
      </c>
      <c r="E159" t="s">
        <v>436</v>
      </c>
      <c r="F159" t="s">
        <v>437</v>
      </c>
      <c r="G159" s="63">
        <f>' 5-Forecast Cash Flow + Profits'!AM159</f>
        <v>-24461.995125241097</v>
      </c>
      <c r="H159" s="63">
        <f>' 5-Forecast Cash Flow + Profits'!AN159</f>
        <v>-461.99512524109741</v>
      </c>
      <c r="I159" s="63">
        <f>' 5-Forecast Cash Flow + Profits'!AO159</f>
        <v>-461.99512524109741</v>
      </c>
      <c r="J159" s="63">
        <f>' 5-Forecast Cash Flow + Profits'!AP159</f>
        <v>-6461.9951252410974</v>
      </c>
      <c r="O159" s="23">
        <v>156</v>
      </c>
      <c r="P159" s="23" t="str">
        <f>VLOOKUP(O159,$A$4:$B$247,2,FALSE)</f>
        <v>W75</v>
      </c>
      <c r="Q159" s="23" t="str">
        <f>VLOOKUP(O159,$A$4:$F$247,5,FALSE)</f>
        <v>Palo Alto</v>
      </c>
      <c r="R159" s="23" t="str">
        <f>VLOOKUP(O159,$A$4:$F$247,6,FALSE)</f>
        <v>CA</v>
      </c>
      <c r="S159" s="68">
        <f>O159*' 5-Forecast Cash Flow + Profits'!$AG$7</f>
        <v>4680000</v>
      </c>
      <c r="T159" s="68">
        <f>VLOOKUP(O159,$A$4:$C$247,3,FALSE)</f>
        <v>19850.918163508082</v>
      </c>
      <c r="U159" s="68">
        <f>VLOOKUP(O159,$A$4:$D$247,4,FALSE)</f>
        <v>-11188.281836491915</v>
      </c>
      <c r="V159" s="89" t="str">
        <f>IF(S159&lt;$L$6,IF(U159&gt;' 5-Forecast Cash Flow + Profits'!$AG$29,"YES","NO"),"NO")</f>
        <v>NO</v>
      </c>
      <c r="W159" s="89" t="str">
        <f>IF(U159&gt;' 5-Forecast Cash Flow + Profits'!$AG$29, "YES", "NO")</f>
        <v>NO</v>
      </c>
      <c r="X159" s="68">
        <f>T159+X158</f>
        <v>1360226.6451543225</v>
      </c>
      <c r="Y159" s="68">
        <f>VLOOKUP($O159,$A$4:$J$247,7,FALSE)</f>
        <v>-29188.281836491915</v>
      </c>
      <c r="Z159" s="68">
        <f>VLOOKUP($O159,$A$4:$J$247,8,FALSE)</f>
        <v>-5188.2818364919149</v>
      </c>
      <c r="AA159" s="68">
        <f>VLOOKUP($O159,$A$4:$J$247,9,FALSE)</f>
        <v>-5188.2818364919149</v>
      </c>
      <c r="AB159" s="68">
        <f>VLOOKUP($O159,$A$4:$J$247,10,FALSE)</f>
        <v>-11188.281836491915</v>
      </c>
    </row>
    <row r="160" spans="1:28">
      <c r="A160" s="23">
        <f>_xlfn.RANK.EQ(' 5-Forecast Cash Flow + Profits'!AP160,' 5-Forecast Cash Flow + Profits'!$AP$4:$AP$247,0)</f>
        <v>150</v>
      </c>
      <c r="B160" s="23" t="str">
        <f>' 5-Forecast Cash Flow + Profits'!A160</f>
        <v>W24</v>
      </c>
      <c r="C160" s="68">
        <f>' 5-Forecast Cash Flow + Profits'!AD160+' 5-Forecast Cash Flow + Profits'!AI160</f>
        <v>-8669.3094173698737</v>
      </c>
      <c r="D160" s="68">
        <f>' 5-Forecast Cash Flow + Profits'!AP160</f>
        <v>-10518.509417369874</v>
      </c>
      <c r="E160" t="s">
        <v>429</v>
      </c>
      <c r="F160" t="s">
        <v>430</v>
      </c>
      <c r="G160" s="63">
        <f>' 5-Forecast Cash Flow + Profits'!AM160</f>
        <v>-28518.509417369874</v>
      </c>
      <c r="H160" s="63">
        <f>' 5-Forecast Cash Flow + Profits'!AN160</f>
        <v>-4518.5094173698726</v>
      </c>
      <c r="I160" s="63">
        <f>' 5-Forecast Cash Flow + Profits'!AO160</f>
        <v>-4518.5094173698726</v>
      </c>
      <c r="J160" s="63">
        <f>' 5-Forecast Cash Flow + Profits'!AP160</f>
        <v>-10518.509417369874</v>
      </c>
      <c r="O160" s="23">
        <v>157</v>
      </c>
      <c r="P160" s="23" t="str">
        <f>VLOOKUP(O160,$A$4:$B$247,2,FALSE)</f>
        <v>W204</v>
      </c>
      <c r="Q160" s="23" t="str">
        <f>VLOOKUP(O160,$A$4:$F$247,5,FALSE)</f>
        <v>San Diego</v>
      </c>
      <c r="R160" s="23" t="str">
        <f>VLOOKUP(O160,$A$4:$F$247,6,FALSE)</f>
        <v>CA</v>
      </c>
      <c r="S160" s="68">
        <f>O160*' 5-Forecast Cash Flow + Profits'!$AG$7</f>
        <v>4710000</v>
      </c>
      <c r="T160" s="68">
        <f>VLOOKUP(O160,$A$4:$C$247,3,FALSE)</f>
        <v>-11839.86636149773</v>
      </c>
      <c r="U160" s="68">
        <f>VLOOKUP(O160,$A$4:$D$247,4,FALSE)</f>
        <v>-11353.866361497734</v>
      </c>
      <c r="V160" s="89" t="str">
        <f>IF(S160&lt;$L$6,IF(U160&gt;' 5-Forecast Cash Flow + Profits'!$AG$29,"YES","NO"),"NO")</f>
        <v>NO</v>
      </c>
      <c r="W160" s="89" t="str">
        <f>IF(U160&gt;' 5-Forecast Cash Flow + Profits'!$AG$29, "YES", "NO")</f>
        <v>NO</v>
      </c>
      <c r="X160" s="68">
        <f>T160+X159</f>
        <v>1348386.7787928248</v>
      </c>
      <c r="Y160" s="68">
        <f>VLOOKUP($O160,$A$4:$J$247,7,FALSE)</f>
        <v>-29353.86636149773</v>
      </c>
      <c r="Z160" s="68">
        <f>VLOOKUP($O160,$A$4:$J$247,8,FALSE)</f>
        <v>-5353.866361497734</v>
      </c>
      <c r="AA160" s="68">
        <f>VLOOKUP($O160,$A$4:$J$247,9,FALSE)</f>
        <v>-5353.866361497734</v>
      </c>
      <c r="AB160" s="68">
        <f>VLOOKUP($O160,$A$4:$J$247,10,FALSE)</f>
        <v>-11353.866361497734</v>
      </c>
    </row>
    <row r="161" spans="1:28">
      <c r="A161" s="23">
        <f>_xlfn.RANK.EQ(' 5-Forecast Cash Flow + Profits'!AP161,' 5-Forecast Cash Flow + Profits'!$AP$4:$AP$247,0)</f>
        <v>140</v>
      </c>
      <c r="B161" s="23" t="str">
        <f>' 5-Forecast Cash Flow + Profits'!A161</f>
        <v>W240</v>
      </c>
      <c r="C161" s="68">
        <f>' 5-Forecast Cash Flow + Profits'!AD161+' 5-Forecast Cash Flow + Profits'!AI161</f>
        <v>-11235.100711184143</v>
      </c>
      <c r="D161" s="68">
        <f>' 5-Forecast Cash Flow + Profits'!AP161</f>
        <v>-8880.9407111841429</v>
      </c>
      <c r="E161" t="s">
        <v>436</v>
      </c>
      <c r="F161" t="s">
        <v>437</v>
      </c>
      <c r="G161" s="63">
        <f>' 5-Forecast Cash Flow + Profits'!AM161</f>
        <v>-26880.940711184143</v>
      </c>
      <c r="H161" s="63">
        <f>' 5-Forecast Cash Flow + Profits'!AN161</f>
        <v>-2880.9407111841429</v>
      </c>
      <c r="I161" s="63">
        <f>' 5-Forecast Cash Flow + Profits'!AO161</f>
        <v>-2880.9407111841429</v>
      </c>
      <c r="J161" s="63">
        <f>' 5-Forecast Cash Flow + Profits'!AP161</f>
        <v>-8880.9407111841429</v>
      </c>
      <c r="O161" s="23">
        <v>158</v>
      </c>
      <c r="P161" s="23" t="str">
        <f>VLOOKUP(O161,$A$4:$B$247,2,FALSE)</f>
        <v>W217</v>
      </c>
      <c r="Q161" s="23" t="str">
        <f>VLOOKUP(O161,$A$4:$F$247,5,FALSE)</f>
        <v>Richmond</v>
      </c>
      <c r="R161" s="23" t="str">
        <f>VLOOKUP(O161,$A$4:$F$247,6,FALSE)</f>
        <v>VA</v>
      </c>
      <c r="S161" s="68">
        <f>O161*' 5-Forecast Cash Flow + Profits'!$AG$7</f>
        <v>4740000</v>
      </c>
      <c r="T161" s="68">
        <f>VLOOKUP(O161,$A$4:$C$247,3,FALSE)</f>
        <v>-17828.143215356256</v>
      </c>
      <c r="U161" s="68">
        <f>VLOOKUP(O161,$A$4:$D$247,4,FALSE)</f>
        <v>-11504.143215356256</v>
      </c>
      <c r="V161" s="89" t="str">
        <f>IF(S161&lt;$L$6,IF(U161&gt;' 5-Forecast Cash Flow + Profits'!$AG$29,"YES","NO"),"NO")</f>
        <v>NO</v>
      </c>
      <c r="W161" s="89" t="str">
        <f>IF(U161&gt;' 5-Forecast Cash Flow + Profits'!$AG$29, "YES", "NO")</f>
        <v>NO</v>
      </c>
      <c r="X161" s="68">
        <f>T161+X160</f>
        <v>1330558.6355774687</v>
      </c>
      <c r="Y161" s="68">
        <f>VLOOKUP($O161,$A$4:$J$247,7,FALSE)</f>
        <v>-29504.143215356256</v>
      </c>
      <c r="Z161" s="68">
        <f>VLOOKUP($O161,$A$4:$J$247,8,FALSE)</f>
        <v>-5504.1432153562582</v>
      </c>
      <c r="AA161" s="68">
        <f>VLOOKUP($O161,$A$4:$J$247,9,FALSE)</f>
        <v>-5504.1432153562582</v>
      </c>
      <c r="AB161" s="68">
        <f>VLOOKUP($O161,$A$4:$J$247,10,FALSE)</f>
        <v>-11504.143215356256</v>
      </c>
    </row>
    <row r="162" spans="1:28">
      <c r="A162" s="23">
        <f>_xlfn.RANK.EQ(' 5-Forecast Cash Flow + Profits'!AP162,' 5-Forecast Cash Flow + Profits'!$AP$4:$AP$247,0)</f>
        <v>188</v>
      </c>
      <c r="B162" s="23" t="str">
        <f>' 5-Forecast Cash Flow + Profits'!A162</f>
        <v>W241</v>
      </c>
      <c r="C162" s="68">
        <f>' 5-Forecast Cash Flow + Profits'!AD162+' 5-Forecast Cash Flow + Profits'!AI162</f>
        <v>-19445.39745171924</v>
      </c>
      <c r="D162" s="68">
        <f>' 5-Forecast Cash Flow + Profits'!AP162</f>
        <v>-14872.797451719236</v>
      </c>
      <c r="E162" t="s">
        <v>436</v>
      </c>
      <c r="F162" t="s">
        <v>437</v>
      </c>
      <c r="G162" s="63">
        <f>' 5-Forecast Cash Flow + Profits'!AM162</f>
        <v>-32872.797451719242</v>
      </c>
      <c r="H162" s="63">
        <f>' 5-Forecast Cash Flow + Profits'!AN162</f>
        <v>-8872.7974517192361</v>
      </c>
      <c r="I162" s="63">
        <f>' 5-Forecast Cash Flow + Profits'!AO162</f>
        <v>-8872.7974517192361</v>
      </c>
      <c r="J162" s="63">
        <f>' 5-Forecast Cash Flow + Profits'!AP162</f>
        <v>-14872.797451719236</v>
      </c>
      <c r="O162" s="23">
        <v>159</v>
      </c>
      <c r="P162" s="23" t="str">
        <f>VLOOKUP(O162,$A$4:$B$247,2,FALSE)</f>
        <v>W166</v>
      </c>
      <c r="Q162" s="23" t="str">
        <f>VLOOKUP(O162,$A$4:$F$247,5,FALSE)</f>
        <v>Miami</v>
      </c>
      <c r="R162" s="23" t="str">
        <f>VLOOKUP(O162,$A$4:$F$247,6,FALSE)</f>
        <v>FL</v>
      </c>
      <c r="S162" s="68">
        <f>O162*' 5-Forecast Cash Flow + Profits'!$AG$7</f>
        <v>4770000</v>
      </c>
      <c r="T162" s="68">
        <f>VLOOKUP(O162,$A$4:$C$247,3,FALSE)</f>
        <v>-7444.0416325204133</v>
      </c>
      <c r="U162" s="68">
        <f>VLOOKUP(O162,$A$4:$D$247,4,FALSE)</f>
        <v>-11628.441632520411</v>
      </c>
      <c r="V162" s="89" t="str">
        <f>IF(S162&lt;$L$6,IF(U162&gt;' 5-Forecast Cash Flow + Profits'!$AG$29,"YES","NO"),"NO")</f>
        <v>NO</v>
      </c>
      <c r="W162" s="89" t="str">
        <f>IF(U162&gt;' 5-Forecast Cash Flow + Profits'!$AG$29, "YES", "NO")</f>
        <v>NO</v>
      </c>
      <c r="X162" s="68">
        <f>T162+X161</f>
        <v>1323114.5939449482</v>
      </c>
      <c r="Y162" s="68">
        <f>VLOOKUP($O162,$A$4:$J$247,7,FALSE)</f>
        <v>-29628.441632520411</v>
      </c>
      <c r="Z162" s="68">
        <f>VLOOKUP($O162,$A$4:$J$247,8,FALSE)</f>
        <v>-5628.4416325204111</v>
      </c>
      <c r="AA162" s="68">
        <f>VLOOKUP($O162,$A$4:$J$247,9,FALSE)</f>
        <v>-5628.4416325204111</v>
      </c>
      <c r="AB162" s="68">
        <f>VLOOKUP($O162,$A$4:$J$247,10,FALSE)</f>
        <v>-11628.441632520411</v>
      </c>
    </row>
    <row r="163" spans="1:28">
      <c r="A163" s="23">
        <f>_xlfn.RANK.EQ(' 5-Forecast Cash Flow + Profits'!AP163,' 5-Forecast Cash Flow + Profits'!$AP$4:$AP$247,0)</f>
        <v>195</v>
      </c>
      <c r="B163" s="23" t="str">
        <f>' 5-Forecast Cash Flow + Profits'!A163</f>
        <v>W242</v>
      </c>
      <c r="C163" s="68">
        <f>' 5-Forecast Cash Flow + Profits'!AD163+' 5-Forecast Cash Flow + Profits'!AI163</f>
        <v>-10165.099224672693</v>
      </c>
      <c r="D163" s="68">
        <f>' 5-Forecast Cash Flow + Profits'!AP163</f>
        <v>-15517.099224672693</v>
      </c>
      <c r="E163" t="s">
        <v>436</v>
      </c>
      <c r="F163" t="s">
        <v>437</v>
      </c>
      <c r="G163" s="63">
        <f>' 5-Forecast Cash Flow + Profits'!AM163</f>
        <v>-33517.099224672696</v>
      </c>
      <c r="H163" s="63">
        <f>' 5-Forecast Cash Flow + Profits'!AN163</f>
        <v>-9517.0992246726928</v>
      </c>
      <c r="I163" s="63">
        <f>' 5-Forecast Cash Flow + Profits'!AO163</f>
        <v>-9517.0992246726928</v>
      </c>
      <c r="J163" s="63">
        <f>' 5-Forecast Cash Flow + Profits'!AP163</f>
        <v>-15517.099224672693</v>
      </c>
      <c r="O163" s="23">
        <v>160</v>
      </c>
      <c r="P163" s="23" t="str">
        <f>VLOOKUP(O163,$A$4:$B$247,2,FALSE)</f>
        <v>W84</v>
      </c>
      <c r="Q163" s="23" t="str">
        <f>VLOOKUP(O163,$A$4:$F$247,5,FALSE)</f>
        <v>San Francisco</v>
      </c>
      <c r="R163" s="23" t="str">
        <f>VLOOKUP(O163,$A$4:$F$247,6,FALSE)</f>
        <v>CA</v>
      </c>
      <c r="S163" s="68">
        <f>O163*' 5-Forecast Cash Flow + Profits'!$AG$7</f>
        <v>4800000</v>
      </c>
      <c r="T163" s="68">
        <f>VLOOKUP(O163,$A$4:$C$247,3,FALSE)</f>
        <v>5332.4087844328897</v>
      </c>
      <c r="U163" s="68">
        <f>VLOOKUP(O163,$A$4:$D$247,4,FALSE)</f>
        <v>-11695.59121556711</v>
      </c>
      <c r="V163" s="89" t="str">
        <f>IF(S163&lt;$L$6,IF(U163&gt;' 5-Forecast Cash Flow + Profits'!$AG$29,"YES","NO"),"NO")</f>
        <v>NO</v>
      </c>
      <c r="W163" s="89" t="str">
        <f>IF(U163&gt;' 5-Forecast Cash Flow + Profits'!$AG$29, "YES", "NO")</f>
        <v>NO</v>
      </c>
      <c r="X163" s="68">
        <f>T163+X162</f>
        <v>1328447.002729381</v>
      </c>
      <c r="Y163" s="68">
        <f>VLOOKUP($O163,$A$4:$J$247,7,FALSE)</f>
        <v>-29695.59121556711</v>
      </c>
      <c r="Z163" s="68">
        <f>VLOOKUP($O163,$A$4:$J$247,8,FALSE)</f>
        <v>-5695.5912155671103</v>
      </c>
      <c r="AA163" s="68">
        <f>VLOOKUP($O163,$A$4:$J$247,9,FALSE)</f>
        <v>-5695.5912155671103</v>
      </c>
      <c r="AB163" s="68">
        <f>VLOOKUP($O163,$A$4:$J$247,10,FALSE)</f>
        <v>-11695.59121556711</v>
      </c>
    </row>
    <row r="164" spans="1:28">
      <c r="A164" s="23">
        <f>_xlfn.RANK.EQ(' 5-Forecast Cash Flow + Profits'!AP164,' 5-Forecast Cash Flow + Profits'!$AP$4:$AP$247,0)</f>
        <v>72</v>
      </c>
      <c r="B164" s="23" t="str">
        <f>' 5-Forecast Cash Flow + Profits'!A164</f>
        <v>W243</v>
      </c>
      <c r="C164" s="68">
        <f>' 5-Forecast Cash Flow + Profits'!AD164+' 5-Forecast Cash Flow + Profits'!AI164</f>
        <v>1368.2906830979045</v>
      </c>
      <c r="D164" s="68">
        <f>' 5-Forecast Cash Flow + Profits'!AP164</f>
        <v>686.69068309790237</v>
      </c>
      <c r="E164" t="s">
        <v>436</v>
      </c>
      <c r="F164" t="s">
        <v>437</v>
      </c>
      <c r="G164" s="63">
        <f>' 5-Forecast Cash Flow + Profits'!AM164</f>
        <v>-17313.309316902094</v>
      </c>
      <c r="H164" s="63">
        <f>' 5-Forecast Cash Flow + Profits'!AN164</f>
        <v>6686.6906830979024</v>
      </c>
      <c r="I164" s="63">
        <f>' 5-Forecast Cash Flow + Profits'!AO164</f>
        <v>6686.6906830979024</v>
      </c>
      <c r="J164" s="63">
        <f>' 5-Forecast Cash Flow + Profits'!AP164</f>
        <v>686.69068309790237</v>
      </c>
      <c r="O164" s="23">
        <v>161</v>
      </c>
      <c r="P164" s="23" t="str">
        <f>VLOOKUP(O164,$A$4:$B$247,2,FALSE)</f>
        <v>W14</v>
      </c>
      <c r="Q164" s="23" t="str">
        <f>VLOOKUP(O164,$A$4:$F$247,5,FALSE)</f>
        <v>Chapel Hill</v>
      </c>
      <c r="R164" s="23" t="str">
        <f>VLOOKUP(O164,$A$4:$F$247,6,FALSE)</f>
        <v>NC</v>
      </c>
      <c r="S164" s="68">
        <f>O164*' 5-Forecast Cash Flow + Profits'!$AG$7</f>
        <v>4830000</v>
      </c>
      <c r="T164" s="68">
        <f>VLOOKUP(O164,$A$4:$C$247,3,FALSE)</f>
        <v>-19866.04058797341</v>
      </c>
      <c r="U164" s="68">
        <f>VLOOKUP(O164,$A$4:$D$247,4,FALSE)</f>
        <v>-11790.640587973414</v>
      </c>
      <c r="V164" s="89" t="str">
        <f>IF(S164&lt;$L$6,IF(U164&gt;' 5-Forecast Cash Flow + Profits'!$AG$29,"YES","NO"),"NO")</f>
        <v>NO</v>
      </c>
      <c r="W164" s="89" t="str">
        <f>IF(U164&gt;' 5-Forecast Cash Flow + Profits'!$AG$29, "YES", "NO")</f>
        <v>NO</v>
      </c>
      <c r="X164" s="68">
        <f>T164+X163</f>
        <v>1308580.9621414077</v>
      </c>
      <c r="Y164" s="68">
        <f>VLOOKUP($O164,$A$4:$J$247,7,FALSE)</f>
        <v>-29790.640587973408</v>
      </c>
      <c r="Z164" s="68">
        <f>VLOOKUP($O164,$A$4:$J$247,8,FALSE)</f>
        <v>-5790.6405879734139</v>
      </c>
      <c r="AA164" s="68">
        <f>VLOOKUP($O164,$A$4:$J$247,9,FALSE)</f>
        <v>-5790.6405879734139</v>
      </c>
      <c r="AB164" s="68">
        <f>VLOOKUP($O164,$A$4:$J$247,10,FALSE)</f>
        <v>-11790.640587973414</v>
      </c>
    </row>
    <row r="165" spans="1:28">
      <c r="A165" s="23">
        <f>_xlfn.RANK.EQ(' 5-Forecast Cash Flow + Profits'!AP165,' 5-Forecast Cash Flow + Profits'!$AP$4:$AP$247,0)</f>
        <v>148</v>
      </c>
      <c r="B165" s="23" t="str">
        <f>' 5-Forecast Cash Flow + Profits'!A165</f>
        <v>W244</v>
      </c>
      <c r="C165" s="68">
        <f>' 5-Forecast Cash Flow + Profits'!AD165+' 5-Forecast Cash Flow + Profits'!AI165</f>
        <v>-3050.9793460574292</v>
      </c>
      <c r="D165" s="68">
        <f>' 5-Forecast Cash Flow + Profits'!AP165</f>
        <v>-10154.379346057427</v>
      </c>
      <c r="E165" t="s">
        <v>436</v>
      </c>
      <c r="F165" t="s">
        <v>437</v>
      </c>
      <c r="G165" s="63">
        <f>' 5-Forecast Cash Flow + Profits'!AM165</f>
        <v>-28154.379346057427</v>
      </c>
      <c r="H165" s="63">
        <f>' 5-Forecast Cash Flow + Profits'!AN165</f>
        <v>-4154.379346057427</v>
      </c>
      <c r="I165" s="63">
        <f>' 5-Forecast Cash Flow + Profits'!AO165</f>
        <v>-4154.379346057427</v>
      </c>
      <c r="J165" s="63">
        <f>' 5-Forecast Cash Flow + Profits'!AP165</f>
        <v>-10154.379346057427</v>
      </c>
      <c r="O165" s="23">
        <v>162</v>
      </c>
      <c r="P165" s="23" t="str">
        <f>VLOOKUP(O165,$A$4:$B$247,2,FALSE)</f>
        <v>W218</v>
      </c>
      <c r="Q165" s="23" t="str">
        <f>VLOOKUP(O165,$A$4:$F$247,5,FALSE)</f>
        <v>Richmond</v>
      </c>
      <c r="R165" s="23" t="str">
        <f>VLOOKUP(O165,$A$4:$F$247,6,FALSE)</f>
        <v>VA</v>
      </c>
      <c r="S165" s="68">
        <f>O165*' 5-Forecast Cash Flow + Profits'!$AG$7</f>
        <v>4860000</v>
      </c>
      <c r="T165" s="68">
        <f>VLOOKUP(O165,$A$4:$C$247,3,FALSE)</f>
        <v>-15857.08613541488</v>
      </c>
      <c r="U165" s="68">
        <f>VLOOKUP(O165,$A$4:$D$247,4,FALSE)</f>
        <v>-11868.286135414883</v>
      </c>
      <c r="V165" s="89" t="str">
        <f>IF(S165&lt;$L$6,IF(U165&gt;' 5-Forecast Cash Flow + Profits'!$AG$29,"YES","NO"),"NO")</f>
        <v>NO</v>
      </c>
      <c r="W165" s="89" t="str">
        <f>IF(U165&gt;' 5-Forecast Cash Flow + Profits'!$AG$29, "YES", "NO")</f>
        <v>NO</v>
      </c>
      <c r="X165" s="68">
        <f>T165+X164</f>
        <v>1292723.8760059928</v>
      </c>
      <c r="Y165" s="68">
        <f>VLOOKUP($O165,$A$4:$J$247,7,FALSE)</f>
        <v>-29868.286135414877</v>
      </c>
      <c r="Z165" s="68">
        <f>VLOOKUP($O165,$A$4:$J$247,8,FALSE)</f>
        <v>-5868.2861354148827</v>
      </c>
      <c r="AA165" s="68">
        <f>VLOOKUP($O165,$A$4:$J$247,9,FALSE)</f>
        <v>-5868.2861354148827</v>
      </c>
      <c r="AB165" s="68">
        <f>VLOOKUP($O165,$A$4:$J$247,10,FALSE)</f>
        <v>-11868.286135414883</v>
      </c>
    </row>
    <row r="166" spans="1:28">
      <c r="A166" s="23">
        <f>_xlfn.RANK.EQ(' 5-Forecast Cash Flow + Profits'!AP166,' 5-Forecast Cash Flow + Profits'!$AP$4:$AP$247,0)</f>
        <v>152</v>
      </c>
      <c r="B166" s="23" t="str">
        <f>' 5-Forecast Cash Flow + Profits'!A166</f>
        <v>W25</v>
      </c>
      <c r="C166" s="68">
        <f>' 5-Forecast Cash Flow + Profits'!AD166+' 5-Forecast Cash Flow + Profits'!AI166</f>
        <v>-10011.950814547461</v>
      </c>
      <c r="D166" s="68">
        <f>' 5-Forecast Cash Flow + Profits'!AP166</f>
        <v>-10693.55081454746</v>
      </c>
      <c r="E166" t="s">
        <v>429</v>
      </c>
      <c r="F166" t="s">
        <v>430</v>
      </c>
      <c r="G166" s="63">
        <f>' 5-Forecast Cash Flow + Profits'!AM166</f>
        <v>-28693.55081454746</v>
      </c>
      <c r="H166" s="63">
        <f>' 5-Forecast Cash Flow + Profits'!AN166</f>
        <v>-4693.5508145474614</v>
      </c>
      <c r="I166" s="63">
        <f>' 5-Forecast Cash Flow + Profits'!AO166</f>
        <v>-4693.5508145474614</v>
      </c>
      <c r="J166" s="63">
        <f>' 5-Forecast Cash Flow + Profits'!AP166</f>
        <v>-10693.55081454746</v>
      </c>
      <c r="O166" s="23">
        <v>163</v>
      </c>
      <c r="P166" s="23" t="str">
        <f>VLOOKUP(O166,$A$4:$B$247,2,FALSE)</f>
        <v>W233</v>
      </c>
      <c r="Q166" s="23" t="str">
        <f>VLOOKUP(O166,$A$4:$F$247,5,FALSE)</f>
        <v>Charleston</v>
      </c>
      <c r="R166" s="23" t="str">
        <f>VLOOKUP(O166,$A$4:$F$247,6,FALSE)</f>
        <v>SC</v>
      </c>
      <c r="S166" s="68">
        <f>O166*' 5-Forecast Cash Flow + Profits'!$AG$7</f>
        <v>4890000</v>
      </c>
      <c r="T166" s="68">
        <f>VLOOKUP(O166,$A$4:$C$247,3,FALSE)</f>
        <v>-16374.009824567875</v>
      </c>
      <c r="U166" s="68">
        <f>VLOOKUP(O166,$A$4:$D$247,4,FALSE)</f>
        <v>-11976.549824567877</v>
      </c>
      <c r="V166" s="89" t="str">
        <f>IF(S166&lt;$L$6,IF(U166&gt;' 5-Forecast Cash Flow + Profits'!$AG$29,"YES","NO"),"NO")</f>
        <v>NO</v>
      </c>
      <c r="W166" s="89" t="str">
        <f>IF(U166&gt;' 5-Forecast Cash Flow + Profits'!$AG$29, "YES", "NO")</f>
        <v>NO</v>
      </c>
      <c r="X166" s="68">
        <f>T166+X165</f>
        <v>1276349.8661814248</v>
      </c>
      <c r="Y166" s="68">
        <f>VLOOKUP($O166,$A$4:$J$247,7,FALSE)</f>
        <v>-29976.549824567875</v>
      </c>
      <c r="Z166" s="68">
        <f>VLOOKUP($O166,$A$4:$J$247,8,FALSE)</f>
        <v>-5976.5498245678773</v>
      </c>
      <c r="AA166" s="68">
        <f>VLOOKUP($O166,$A$4:$J$247,9,FALSE)</f>
        <v>-5976.5498245678773</v>
      </c>
      <c r="AB166" s="68">
        <f>VLOOKUP($O166,$A$4:$J$247,10,FALSE)</f>
        <v>-11976.549824567877</v>
      </c>
    </row>
    <row r="167" spans="1:28">
      <c r="A167" s="23">
        <f>_xlfn.RANK.EQ(' 5-Forecast Cash Flow + Profits'!AP167,' 5-Forecast Cash Flow + Profits'!$AP$4:$AP$247,0)</f>
        <v>172</v>
      </c>
      <c r="B167" s="23" t="str">
        <f>' 5-Forecast Cash Flow + Profits'!A167</f>
        <v>W26</v>
      </c>
      <c r="C167" s="68">
        <f>' 5-Forecast Cash Flow + Profits'!AD167+' 5-Forecast Cash Flow + Profits'!AI167</f>
        <v>-6395.3416814980956</v>
      </c>
      <c r="D167" s="68">
        <f>' 5-Forecast Cash Flow + Profits'!AP167</f>
        <v>-12914.94168149809</v>
      </c>
      <c r="E167" t="s">
        <v>429</v>
      </c>
      <c r="F167" t="s">
        <v>430</v>
      </c>
      <c r="G167" s="63">
        <f>' 5-Forecast Cash Flow + Profits'!AM167</f>
        <v>-30914.941681498094</v>
      </c>
      <c r="H167" s="63">
        <f>' 5-Forecast Cash Flow + Profits'!AN167</f>
        <v>-6914.9416814980905</v>
      </c>
      <c r="I167" s="63">
        <f>' 5-Forecast Cash Flow + Profits'!AO167</f>
        <v>-6914.9416814980905</v>
      </c>
      <c r="J167" s="63">
        <f>' 5-Forecast Cash Flow + Profits'!AP167</f>
        <v>-12914.94168149809</v>
      </c>
      <c r="O167" s="23">
        <v>164</v>
      </c>
      <c r="P167" s="23" t="str">
        <f>VLOOKUP(O167,$A$4:$B$247,2,FALSE)</f>
        <v>W185</v>
      </c>
      <c r="Q167" s="23" t="str">
        <f>VLOOKUP(O167,$A$4:$F$247,5,FALSE)</f>
        <v>San Diego</v>
      </c>
      <c r="R167" s="23" t="str">
        <f>VLOOKUP(O167,$A$4:$F$247,6,FALSE)</f>
        <v>CA</v>
      </c>
      <c r="S167" s="68">
        <f>O167*' 5-Forecast Cash Flow + Profits'!$AG$7</f>
        <v>4920000</v>
      </c>
      <c r="T167" s="68">
        <f>VLOOKUP(O167,$A$4:$C$247,3,FALSE)</f>
        <v>-17162.31969021049</v>
      </c>
      <c r="U167" s="68">
        <f>VLOOKUP(O167,$A$4:$D$247,4,FALSE)</f>
        <v>-12005.91969021049</v>
      </c>
      <c r="V167" s="89" t="str">
        <f>IF(S167&lt;$L$6,IF(U167&gt;' 5-Forecast Cash Flow + Profits'!$AG$29,"YES","NO"),"NO")</f>
        <v>NO</v>
      </c>
      <c r="W167" s="89" t="str">
        <f>IF(U167&gt;' 5-Forecast Cash Flow + Profits'!$AG$29, "YES", "NO")</f>
        <v>NO</v>
      </c>
      <c r="X167" s="68">
        <f>T167+X166</f>
        <v>1259187.5464912143</v>
      </c>
      <c r="Y167" s="68">
        <f>VLOOKUP($O167,$A$4:$J$247,7,FALSE)</f>
        <v>-30005.919690210489</v>
      </c>
      <c r="Z167" s="68">
        <f>VLOOKUP($O167,$A$4:$J$247,8,FALSE)</f>
        <v>-6005.9196902104904</v>
      </c>
      <c r="AA167" s="68">
        <f>VLOOKUP($O167,$A$4:$J$247,9,FALSE)</f>
        <v>-6005.9196902104904</v>
      </c>
      <c r="AB167" s="68">
        <f>VLOOKUP($O167,$A$4:$J$247,10,FALSE)</f>
        <v>-12005.91969021049</v>
      </c>
    </row>
    <row r="168" spans="1:28">
      <c r="A168" s="23">
        <f>_xlfn.RANK.EQ(' 5-Forecast Cash Flow + Profits'!AP168,' 5-Forecast Cash Flow + Profits'!$AP$4:$AP$247,0)</f>
        <v>56</v>
      </c>
      <c r="B168" s="23" t="str">
        <f>' 5-Forecast Cash Flow + Profits'!A168</f>
        <v>W27</v>
      </c>
      <c r="C168" s="68">
        <f>' 5-Forecast Cash Flow + Profits'!AD168+' 5-Forecast Cash Flow + Profits'!AI168</f>
        <v>-514.11036040794716</v>
      </c>
      <c r="D168" s="68">
        <f>' 5-Forecast Cash Flow + Profits'!AP168</f>
        <v>3474.6896395920594</v>
      </c>
      <c r="E168" t="s">
        <v>429</v>
      </c>
      <c r="F168" t="s">
        <v>430</v>
      </c>
      <c r="G168" s="63">
        <f>' 5-Forecast Cash Flow + Profits'!AM168</f>
        <v>-14525.310360407944</v>
      </c>
      <c r="H168" s="63">
        <f>' 5-Forecast Cash Flow + Profits'!AN168</f>
        <v>9474.6896395920594</v>
      </c>
      <c r="I168" s="63">
        <f>' 5-Forecast Cash Flow + Profits'!AO168</f>
        <v>9474.6896395920594</v>
      </c>
      <c r="J168" s="63">
        <f>' 5-Forecast Cash Flow + Profits'!AP168</f>
        <v>3474.6896395920594</v>
      </c>
      <c r="O168" s="23">
        <v>165</v>
      </c>
      <c r="P168" s="23" t="str">
        <f>VLOOKUP(O168,$A$4:$B$247,2,FALSE)</f>
        <v>W181</v>
      </c>
      <c r="Q168" s="23" t="str">
        <f>VLOOKUP(O168,$A$4:$F$247,5,FALSE)</f>
        <v>Omaha</v>
      </c>
      <c r="R168" s="23" t="str">
        <f>VLOOKUP(O168,$A$4:$F$247,6,FALSE)</f>
        <v>NE</v>
      </c>
      <c r="S168" s="68">
        <f>O168*' 5-Forecast Cash Flow + Profits'!$AG$7</f>
        <v>4950000</v>
      </c>
      <c r="T168" s="68">
        <f>VLOOKUP(O168,$A$4:$C$247,3,FALSE)</f>
        <v>-21977.219034697777</v>
      </c>
      <c r="U168" s="68">
        <f>VLOOKUP(O168,$A$4:$D$247,4,FALSE)</f>
        <v>-12150.419034697778</v>
      </c>
      <c r="V168" s="89" t="str">
        <f>IF(S168&lt;$L$6,IF(U168&gt;' 5-Forecast Cash Flow + Profits'!$AG$29,"YES","NO"),"NO")</f>
        <v>NO</v>
      </c>
      <c r="W168" s="89" t="str">
        <f>IF(U168&gt;' 5-Forecast Cash Flow + Profits'!$AG$29, "YES", "NO")</f>
        <v>NO</v>
      </c>
      <c r="X168" s="68">
        <f>T168+X167</f>
        <v>1237210.3274565164</v>
      </c>
      <c r="Y168" s="68">
        <f>VLOOKUP($O168,$A$4:$J$247,7,FALSE)</f>
        <v>-30150.419034697778</v>
      </c>
      <c r="Z168" s="68">
        <f>VLOOKUP($O168,$A$4:$J$247,8,FALSE)</f>
        <v>-6150.4190346977757</v>
      </c>
      <c r="AA168" s="68">
        <f>VLOOKUP($O168,$A$4:$J$247,9,FALSE)</f>
        <v>-6150.4190346977757</v>
      </c>
      <c r="AB168" s="68">
        <f>VLOOKUP($O168,$A$4:$J$247,10,FALSE)</f>
        <v>-12150.419034697778</v>
      </c>
    </row>
    <row r="169" spans="1:28">
      <c r="A169" s="23">
        <f>_xlfn.RANK.EQ(' 5-Forecast Cash Flow + Profits'!AP169,' 5-Forecast Cash Flow + Profits'!$AP$4:$AP$247,0)</f>
        <v>35</v>
      </c>
      <c r="B169" s="23" t="str">
        <f>' 5-Forecast Cash Flow + Profits'!A169</f>
        <v>W28</v>
      </c>
      <c r="C169" s="68">
        <f>' 5-Forecast Cash Flow + Profits'!AD169+' 5-Forecast Cash Flow + Profits'!AI169</f>
        <v>14749.911307959395</v>
      </c>
      <c r="D169" s="68">
        <f>' 5-Forecast Cash Flow + Profits'!AP169</f>
        <v>8230.3113079593968</v>
      </c>
      <c r="E169" t="s">
        <v>429</v>
      </c>
      <c r="F169" t="s">
        <v>430</v>
      </c>
      <c r="G169" s="63">
        <f>' 5-Forecast Cash Flow + Profits'!AM169</f>
        <v>-9769.6886920406032</v>
      </c>
      <c r="H169" s="63">
        <f>' 5-Forecast Cash Flow + Profits'!AN169</f>
        <v>14230.311307959397</v>
      </c>
      <c r="I169" s="63">
        <f>' 5-Forecast Cash Flow + Profits'!AO169</f>
        <v>14230.311307959397</v>
      </c>
      <c r="J169" s="63">
        <f>' 5-Forecast Cash Flow + Profits'!AP169</f>
        <v>8230.3113079593968</v>
      </c>
      <c r="O169" s="23">
        <v>166</v>
      </c>
      <c r="P169" s="23" t="str">
        <f>VLOOKUP(O169,$A$4:$B$247,2,FALSE)</f>
        <v>W161</v>
      </c>
      <c r="Q169" s="23" t="str">
        <f>VLOOKUP(O169,$A$4:$F$247,5,FALSE)</f>
        <v>Miami</v>
      </c>
      <c r="R169" s="23" t="str">
        <f>VLOOKUP(O169,$A$4:$F$247,6,FALSE)</f>
        <v>FL</v>
      </c>
      <c r="S169" s="68">
        <f>O169*' 5-Forecast Cash Flow + Profits'!$AG$7</f>
        <v>4980000</v>
      </c>
      <c r="T169" s="68">
        <f>VLOOKUP(O169,$A$4:$C$247,3,FALSE)</f>
        <v>-11612.250441939585</v>
      </c>
      <c r="U169" s="68">
        <f>VLOOKUP(O169,$A$4:$D$247,4,FALSE)</f>
        <v>-12293.850441939583</v>
      </c>
      <c r="V169" s="89" t="str">
        <f>IF(S169&lt;$L$6,IF(U169&gt;' 5-Forecast Cash Flow + Profits'!$AG$29,"YES","NO"),"NO")</f>
        <v>NO</v>
      </c>
      <c r="W169" s="89" t="str">
        <f>IF(U169&gt;' 5-Forecast Cash Flow + Profits'!$AG$29, "YES", "NO")</f>
        <v>NO</v>
      </c>
      <c r="X169" s="68">
        <f>T169+X168</f>
        <v>1225598.0770145769</v>
      </c>
      <c r="Y169" s="68">
        <f>VLOOKUP($O169,$A$4:$J$247,7,FALSE)</f>
        <v>-30293.850441939583</v>
      </c>
      <c r="Z169" s="68">
        <f>VLOOKUP($O169,$A$4:$J$247,8,FALSE)</f>
        <v>-6293.8504419395831</v>
      </c>
      <c r="AA169" s="68">
        <f>VLOOKUP($O169,$A$4:$J$247,9,FALSE)</f>
        <v>-6293.8504419395831</v>
      </c>
      <c r="AB169" s="68">
        <f>VLOOKUP($O169,$A$4:$J$247,10,FALSE)</f>
        <v>-12293.850441939583</v>
      </c>
    </row>
    <row r="170" spans="1:28">
      <c r="A170" s="23">
        <f>_xlfn.RANK.EQ(' 5-Forecast Cash Flow + Profits'!AP170,' 5-Forecast Cash Flow + Profits'!$AP$4:$AP$247,0)</f>
        <v>211</v>
      </c>
      <c r="B170" s="23" t="str">
        <f>' 5-Forecast Cash Flow + Profits'!A170</f>
        <v>W29</v>
      </c>
      <c r="C170" s="68">
        <f>' 5-Forecast Cash Flow + Profits'!AD170+' 5-Forecast Cash Flow + Profits'!AI170</f>
        <v>-6864.2673739518577</v>
      </c>
      <c r="D170" s="68">
        <f>' 5-Forecast Cash Flow + Profits'!AP170</f>
        <v>-18054.267373951858</v>
      </c>
      <c r="E170" t="s">
        <v>429</v>
      </c>
      <c r="F170" t="s">
        <v>430</v>
      </c>
      <c r="G170" s="63">
        <f>' 5-Forecast Cash Flow + Profits'!AM170</f>
        <v>-36054.267373951858</v>
      </c>
      <c r="H170" s="63">
        <f>' 5-Forecast Cash Flow + Profits'!AN170</f>
        <v>-12054.267373951858</v>
      </c>
      <c r="I170" s="63">
        <f>' 5-Forecast Cash Flow + Profits'!AO170</f>
        <v>-12054.267373951858</v>
      </c>
      <c r="J170" s="63">
        <f>' 5-Forecast Cash Flow + Profits'!AP170</f>
        <v>-18054.267373951858</v>
      </c>
      <c r="O170" s="23">
        <v>167</v>
      </c>
      <c r="P170" s="23" t="str">
        <f>VLOOKUP(O170,$A$4:$B$247,2,FALSE)</f>
        <v>W96</v>
      </c>
      <c r="Q170" s="23" t="str">
        <f>VLOOKUP(O170,$A$4:$F$247,5,FALSE)</f>
        <v>San Francisco</v>
      </c>
      <c r="R170" s="23" t="str">
        <f>VLOOKUP(O170,$A$4:$F$247,6,FALSE)</f>
        <v>CA</v>
      </c>
      <c r="S170" s="68">
        <f>O170*' 5-Forecast Cash Flow + Profits'!$AG$7</f>
        <v>5010000</v>
      </c>
      <c r="T170" s="68">
        <f>VLOOKUP(O170,$A$4:$C$247,3,FALSE)</f>
        <v>29085.925741736908</v>
      </c>
      <c r="U170" s="68">
        <f>VLOOKUP(O170,$A$4:$D$247,4,FALSE)</f>
        <v>-12461.67425826309</v>
      </c>
      <c r="V170" s="89" t="str">
        <f>IF(S170&lt;$L$6,IF(U170&gt;' 5-Forecast Cash Flow + Profits'!$AG$29,"YES","NO"),"NO")</f>
        <v>NO</v>
      </c>
      <c r="W170" s="89" t="str">
        <f>IF(U170&gt;' 5-Forecast Cash Flow + Profits'!$AG$29, "YES", "NO")</f>
        <v>NO</v>
      </c>
      <c r="X170" s="68">
        <f>T170+X169</f>
        <v>1254684.0027563139</v>
      </c>
      <c r="Y170" s="68">
        <f>VLOOKUP($O170,$A$4:$J$247,7,FALSE)</f>
        <v>-30461.67425826309</v>
      </c>
      <c r="Z170" s="68">
        <f>VLOOKUP($O170,$A$4:$J$247,8,FALSE)</f>
        <v>-6461.6742582630905</v>
      </c>
      <c r="AA170" s="68">
        <f>VLOOKUP($O170,$A$4:$J$247,9,FALSE)</f>
        <v>-6461.6742582630905</v>
      </c>
      <c r="AB170" s="68">
        <f>VLOOKUP($O170,$A$4:$J$247,10,FALSE)</f>
        <v>-12461.67425826309</v>
      </c>
    </row>
    <row r="171" spans="1:28">
      <c r="A171" s="23">
        <f>_xlfn.RANK.EQ(' 5-Forecast Cash Flow + Profits'!AP171,' 5-Forecast Cash Flow + Profits'!$AP$4:$AP$247,0)</f>
        <v>234</v>
      </c>
      <c r="B171" s="23" t="str">
        <f>' 5-Forecast Cash Flow + Profits'!A171</f>
        <v>W3</v>
      </c>
      <c r="C171" s="68">
        <f>' 5-Forecast Cash Flow + Profits'!AD171+' 5-Forecast Cash Flow + Profits'!AI171</f>
        <v>-20099.191793342816</v>
      </c>
      <c r="D171" s="68">
        <f>' 5-Forecast Cash Flow + Profits'!AP171</f>
        <v>-25451.191793342816</v>
      </c>
      <c r="E171" t="s">
        <v>415</v>
      </c>
      <c r="F171" t="s">
        <v>416</v>
      </c>
      <c r="G171" s="63">
        <f>' 5-Forecast Cash Flow + Profits'!AM171</f>
        <v>-43451.191793342819</v>
      </c>
      <c r="H171" s="63">
        <f>' 5-Forecast Cash Flow + Profits'!AN171</f>
        <v>-19451.191793342816</v>
      </c>
      <c r="I171" s="63">
        <f>' 5-Forecast Cash Flow + Profits'!AO171</f>
        <v>-19451.191793342816</v>
      </c>
      <c r="J171" s="63">
        <f>' 5-Forecast Cash Flow + Profits'!AP171</f>
        <v>-25451.191793342816</v>
      </c>
      <c r="O171" s="23">
        <v>168</v>
      </c>
      <c r="P171" s="23" t="str">
        <f>VLOOKUP(O171,$A$4:$B$247,2,FALSE)</f>
        <v>W44</v>
      </c>
      <c r="Q171" s="23" t="str">
        <f>VLOOKUP(O171,$A$4:$F$247,5,FALSE)</f>
        <v>New York</v>
      </c>
      <c r="R171" s="23" t="str">
        <f>VLOOKUP(O171,$A$4:$F$247,6,FALSE)</f>
        <v>NY</v>
      </c>
      <c r="S171" s="68">
        <f>O171*' 5-Forecast Cash Flow + Profits'!$AG$7</f>
        <v>5040000</v>
      </c>
      <c r="T171" s="68">
        <f>VLOOKUP(O171,$A$4:$C$247,3,FALSE)</f>
        <v>4443.287672135586</v>
      </c>
      <c r="U171" s="68">
        <f>VLOOKUP(O171,$A$4:$D$247,4,FALSE)</f>
        <v>-12584.712327864414</v>
      </c>
      <c r="V171" s="89" t="str">
        <f>IF(S171&lt;$L$6,IF(U171&gt;' 5-Forecast Cash Flow + Profits'!$AG$29,"YES","NO"),"NO")</f>
        <v>NO</v>
      </c>
      <c r="W171" s="89" t="str">
        <f>IF(U171&gt;' 5-Forecast Cash Flow + Profits'!$AG$29, "YES", "NO")</f>
        <v>NO</v>
      </c>
      <c r="X171" s="68">
        <f>T171+X170</f>
        <v>1259127.2904284494</v>
      </c>
      <c r="Y171" s="68">
        <f>VLOOKUP($O171,$A$4:$J$247,7,FALSE)</f>
        <v>-30584.712327864414</v>
      </c>
      <c r="Z171" s="68">
        <f>VLOOKUP($O171,$A$4:$J$247,8,FALSE)</f>
        <v>-6584.712327864414</v>
      </c>
      <c r="AA171" s="68">
        <f>VLOOKUP($O171,$A$4:$J$247,9,FALSE)</f>
        <v>-6584.712327864414</v>
      </c>
      <c r="AB171" s="68">
        <f>VLOOKUP($O171,$A$4:$J$247,10,FALSE)</f>
        <v>-12584.712327864414</v>
      </c>
    </row>
    <row r="172" spans="1:28">
      <c r="A172" s="23">
        <f>_xlfn.RANK.EQ(' 5-Forecast Cash Flow + Profits'!AP172,' 5-Forecast Cash Flow + Profits'!$AP$4:$AP$247,0)</f>
        <v>114</v>
      </c>
      <c r="B172" s="23" t="str">
        <f>' 5-Forecast Cash Flow + Profits'!A172</f>
        <v>W30</v>
      </c>
      <c r="C172" s="68">
        <f>' 5-Forecast Cash Flow + Profits'!AD172+' 5-Forecast Cash Flow + Profits'!AI172</f>
        <v>5316.2030241949979</v>
      </c>
      <c r="D172" s="68">
        <f>' 5-Forecast Cash Flow + Profits'!AP172</f>
        <v>-5873.7969758050021</v>
      </c>
      <c r="E172" t="s">
        <v>429</v>
      </c>
      <c r="F172" t="s">
        <v>430</v>
      </c>
      <c r="G172" s="63">
        <f>' 5-Forecast Cash Flow + Profits'!AM172</f>
        <v>-23873.796975805002</v>
      </c>
      <c r="H172" s="63">
        <f>' 5-Forecast Cash Flow + Profits'!AN172</f>
        <v>126.20302419499603</v>
      </c>
      <c r="I172" s="63">
        <f>' 5-Forecast Cash Flow + Profits'!AO172</f>
        <v>126.20302419499603</v>
      </c>
      <c r="J172" s="63">
        <f>' 5-Forecast Cash Flow + Profits'!AP172</f>
        <v>-5873.7969758050021</v>
      </c>
      <c r="O172" s="23">
        <v>169</v>
      </c>
      <c r="P172" s="23" t="str">
        <f>VLOOKUP(O172,$A$4:$B$247,2,FALSE)</f>
        <v>W235</v>
      </c>
      <c r="Q172" s="23" t="str">
        <f>VLOOKUP(O172,$A$4:$F$247,5,FALSE)</f>
        <v>Charleston</v>
      </c>
      <c r="R172" s="23" t="str">
        <f>VLOOKUP(O172,$A$4:$F$247,6,FALSE)</f>
        <v>SC</v>
      </c>
      <c r="S172" s="68">
        <f>O172*' 5-Forecast Cash Flow + Profits'!$AG$7</f>
        <v>5070000</v>
      </c>
      <c r="T172" s="68">
        <f>VLOOKUP(O172,$A$4:$C$247,3,FALSE)</f>
        <v>-14432.850921494402</v>
      </c>
      <c r="U172" s="68">
        <f>VLOOKUP(O172,$A$4:$D$247,4,FALSE)</f>
        <v>-12779.250921494402</v>
      </c>
      <c r="V172" s="89" t="str">
        <f>IF(S172&lt;$L$6,IF(U172&gt;' 5-Forecast Cash Flow + Profits'!$AG$29,"YES","NO"),"NO")</f>
        <v>NO</v>
      </c>
      <c r="W172" s="89" t="str">
        <f>IF(U172&gt;' 5-Forecast Cash Flow + Profits'!$AG$29, "YES", "NO")</f>
        <v>NO</v>
      </c>
      <c r="X172" s="68">
        <f>T172+X171</f>
        <v>1244694.439506955</v>
      </c>
      <c r="Y172" s="68">
        <f>VLOOKUP($O172,$A$4:$J$247,7,FALSE)</f>
        <v>-30779.2509214944</v>
      </c>
      <c r="Z172" s="68">
        <f>VLOOKUP($O172,$A$4:$J$247,8,FALSE)</f>
        <v>-6779.2509214944021</v>
      </c>
      <c r="AA172" s="68">
        <f>VLOOKUP($O172,$A$4:$J$247,9,FALSE)</f>
        <v>-6779.2509214944021</v>
      </c>
      <c r="AB172" s="68">
        <f>VLOOKUP($O172,$A$4:$J$247,10,FALSE)</f>
        <v>-12779.250921494402</v>
      </c>
    </row>
    <row r="173" spans="1:28">
      <c r="A173" s="23">
        <f>_xlfn.RANK.EQ(' 5-Forecast Cash Flow + Profits'!AP173,' 5-Forecast Cash Flow + Profits'!$AP$4:$AP$247,0)</f>
        <v>49</v>
      </c>
      <c r="B173" s="23" t="str">
        <f>' 5-Forecast Cash Flow + Profits'!A173</f>
        <v>W31</v>
      </c>
      <c r="C173" s="68">
        <f>' 5-Forecast Cash Flow + Profits'!AD173+' 5-Forecast Cash Flow + Profits'!AI173</f>
        <v>18713.455643141242</v>
      </c>
      <c r="D173" s="68">
        <f>' 5-Forecast Cash Flow + Profits'!AP173</f>
        <v>4604.4556431412384</v>
      </c>
      <c r="E173" t="s">
        <v>429</v>
      </c>
      <c r="F173" t="s">
        <v>430</v>
      </c>
      <c r="G173" s="63">
        <f>' 5-Forecast Cash Flow + Profits'!AM173</f>
        <v>-13395.544356858758</v>
      </c>
      <c r="H173" s="63">
        <f>' 5-Forecast Cash Flow + Profits'!AN173</f>
        <v>10604.455643141238</v>
      </c>
      <c r="I173" s="63">
        <f>' 5-Forecast Cash Flow + Profits'!AO173</f>
        <v>10604.455643141238</v>
      </c>
      <c r="J173" s="63">
        <f>' 5-Forecast Cash Flow + Profits'!AP173</f>
        <v>4604.4556431412384</v>
      </c>
      <c r="O173" s="23">
        <v>170</v>
      </c>
      <c r="P173" s="23" t="str">
        <f>VLOOKUP(O173,$A$4:$B$247,2,FALSE)</f>
        <v>W93</v>
      </c>
      <c r="Q173" s="23" t="str">
        <f>VLOOKUP(O173,$A$4:$F$247,5,FALSE)</f>
        <v>San Francisco</v>
      </c>
      <c r="R173" s="23" t="str">
        <f>VLOOKUP(O173,$A$4:$F$247,6,FALSE)</f>
        <v>CA</v>
      </c>
      <c r="S173" s="68">
        <f>O173*' 5-Forecast Cash Flow + Profits'!$AG$7</f>
        <v>5100000</v>
      </c>
      <c r="T173" s="68">
        <f>VLOOKUP(O173,$A$4:$C$247,3,FALSE)</f>
        <v>-479.02185637249204</v>
      </c>
      <c r="U173" s="68">
        <f>VLOOKUP(O173,$A$4:$D$247,4,FALSE)</f>
        <v>-12836.621856372491</v>
      </c>
      <c r="V173" s="89" t="str">
        <f>IF(S173&lt;$L$6,IF(U173&gt;' 5-Forecast Cash Flow + Profits'!$AG$29,"YES","NO"),"NO")</f>
        <v>NO</v>
      </c>
      <c r="W173" s="89" t="str">
        <f>IF(U173&gt;' 5-Forecast Cash Flow + Profits'!$AG$29, "YES", "NO")</f>
        <v>NO</v>
      </c>
      <c r="X173" s="68">
        <f>T173+X172</f>
        <v>1244215.4176505825</v>
      </c>
      <c r="Y173" s="68">
        <f>VLOOKUP($O173,$A$4:$J$247,7,FALSE)</f>
        <v>-30836.621856372491</v>
      </c>
      <c r="Z173" s="68">
        <f>VLOOKUP($O173,$A$4:$J$247,8,FALSE)</f>
        <v>-6836.6218563724888</v>
      </c>
      <c r="AA173" s="68">
        <f>VLOOKUP($O173,$A$4:$J$247,9,FALSE)</f>
        <v>-6836.6218563724888</v>
      </c>
      <c r="AB173" s="68">
        <f>VLOOKUP($O173,$A$4:$J$247,10,FALSE)</f>
        <v>-12836.621856372491</v>
      </c>
    </row>
    <row r="174" spans="1:28">
      <c r="A174" s="23">
        <f>_xlfn.RANK.EQ(' 5-Forecast Cash Flow + Profits'!AP174,' 5-Forecast Cash Flow + Profits'!$AP$4:$AP$247,0)</f>
        <v>184</v>
      </c>
      <c r="B174" s="23" t="str">
        <f>' 5-Forecast Cash Flow + Profits'!A174</f>
        <v>W32</v>
      </c>
      <c r="C174" s="68">
        <f>' 5-Forecast Cash Flow + Profits'!AD174+' 5-Forecast Cash Flow + Profits'!AI174</f>
        <v>-11525.129528444431</v>
      </c>
      <c r="D174" s="68">
        <f>' 5-Forecast Cash Flow + Profits'!AP174</f>
        <v>-14541.929528444431</v>
      </c>
      <c r="E174" t="s">
        <v>429</v>
      </c>
      <c r="F174" t="s">
        <v>430</v>
      </c>
      <c r="G174" s="63">
        <f>' 5-Forecast Cash Flow + Profits'!AM174</f>
        <v>-32541.929528444431</v>
      </c>
      <c r="H174" s="63">
        <f>' 5-Forecast Cash Flow + Profits'!AN174</f>
        <v>-8541.9295284444288</v>
      </c>
      <c r="I174" s="63">
        <f>' 5-Forecast Cash Flow + Profits'!AO174</f>
        <v>-8541.9295284444288</v>
      </c>
      <c r="J174" s="63">
        <f>' 5-Forecast Cash Flow + Profits'!AP174</f>
        <v>-14541.929528444431</v>
      </c>
      <c r="O174" s="23">
        <v>171</v>
      </c>
      <c r="P174" s="23" t="str">
        <f>VLOOKUP(O174,$A$4:$B$247,2,FALSE)</f>
        <v>W150</v>
      </c>
      <c r="Q174" s="23" t="str">
        <f>VLOOKUP(O174,$A$4:$F$247,5,FALSE)</f>
        <v>Miami</v>
      </c>
      <c r="R174" s="23" t="str">
        <f>VLOOKUP(O174,$A$4:$F$247,6,FALSE)</f>
        <v>FL</v>
      </c>
      <c r="S174" s="68">
        <f>O174*' 5-Forecast Cash Flow + Profits'!$AG$7</f>
        <v>5130000</v>
      </c>
      <c r="T174" s="68">
        <f>VLOOKUP(O174,$A$4:$C$247,3,FALSE)</f>
        <v>-15734.986249689169</v>
      </c>
      <c r="U174" s="68">
        <f>VLOOKUP(O174,$A$4:$D$247,4,FALSE)</f>
        <v>-12913.786249689168</v>
      </c>
      <c r="V174" s="89" t="str">
        <f>IF(S174&lt;$L$6,IF(U174&gt;' 5-Forecast Cash Flow + Profits'!$AG$29,"YES","NO"),"NO")</f>
        <v>NO</v>
      </c>
      <c r="W174" s="89" t="str">
        <f>IF(U174&gt;' 5-Forecast Cash Flow + Profits'!$AG$29, "YES", "NO")</f>
        <v>NO</v>
      </c>
      <c r="X174" s="68">
        <f>T174+X173</f>
        <v>1228480.4314008933</v>
      </c>
      <c r="Y174" s="68">
        <f>VLOOKUP($O174,$A$4:$J$247,7,FALSE)</f>
        <v>-30913.786249689168</v>
      </c>
      <c r="Z174" s="68">
        <f>VLOOKUP($O174,$A$4:$J$247,8,FALSE)</f>
        <v>-6913.7862496891685</v>
      </c>
      <c r="AA174" s="68">
        <f>VLOOKUP($O174,$A$4:$J$247,9,FALSE)</f>
        <v>-6913.7862496891685</v>
      </c>
      <c r="AB174" s="68">
        <f>VLOOKUP($O174,$A$4:$J$247,10,FALSE)</f>
        <v>-12913.786249689168</v>
      </c>
    </row>
    <row r="175" spans="1:28">
      <c r="A175" s="23">
        <f>_xlfn.RANK.EQ(' 5-Forecast Cash Flow + Profits'!AP175,' 5-Forecast Cash Flow + Profits'!$AP$4:$AP$247,0)</f>
        <v>127</v>
      </c>
      <c r="B175" s="23" t="str">
        <f>' 5-Forecast Cash Flow + Profits'!A175</f>
        <v>W33</v>
      </c>
      <c r="C175" s="68">
        <f>' 5-Forecast Cash Flow + Profits'!AD175+' 5-Forecast Cash Flow + Profits'!AI175</f>
        <v>9723.7825880077507</v>
      </c>
      <c r="D175" s="68">
        <f>' 5-Forecast Cash Flow + Profits'!AP175</f>
        <v>-7304.2174119922529</v>
      </c>
      <c r="E175" t="s">
        <v>429</v>
      </c>
      <c r="F175" t="s">
        <v>430</v>
      </c>
      <c r="G175" s="63">
        <f>' 5-Forecast Cash Flow + Profits'!AM175</f>
        <v>-25304.217411992249</v>
      </c>
      <c r="H175" s="63">
        <f>' 5-Forecast Cash Flow + Profits'!AN175</f>
        <v>-1304.2174119922529</v>
      </c>
      <c r="I175" s="63">
        <f>' 5-Forecast Cash Flow + Profits'!AO175</f>
        <v>-1304.2174119922529</v>
      </c>
      <c r="J175" s="63">
        <f>' 5-Forecast Cash Flow + Profits'!AP175</f>
        <v>-7304.2174119922529</v>
      </c>
      <c r="O175" s="23">
        <v>172</v>
      </c>
      <c r="P175" s="23" t="str">
        <f>VLOOKUP(O175,$A$4:$B$247,2,FALSE)</f>
        <v>W26</v>
      </c>
      <c r="Q175" s="23" t="str">
        <f>VLOOKUP(O175,$A$4:$F$247,5,FALSE)</f>
        <v>Chicago</v>
      </c>
      <c r="R175" s="23" t="str">
        <f>VLOOKUP(O175,$A$4:$F$247,6,FALSE)</f>
        <v>IL</v>
      </c>
      <c r="S175" s="68">
        <f>O175*' 5-Forecast Cash Flow + Profits'!$AG$7</f>
        <v>5160000</v>
      </c>
      <c r="T175" s="68">
        <f>VLOOKUP(O175,$A$4:$C$247,3,FALSE)</f>
        <v>-6395.3416814980956</v>
      </c>
      <c r="U175" s="68">
        <f>VLOOKUP(O175,$A$4:$D$247,4,FALSE)</f>
        <v>-12914.94168149809</v>
      </c>
      <c r="V175" s="89" t="str">
        <f>IF(S175&lt;$L$6,IF(U175&gt;' 5-Forecast Cash Flow + Profits'!$AG$29,"YES","NO"),"NO")</f>
        <v>NO</v>
      </c>
      <c r="W175" s="89" t="str">
        <f>IF(U175&gt;' 5-Forecast Cash Flow + Profits'!$AG$29, "YES", "NO")</f>
        <v>NO</v>
      </c>
      <c r="X175" s="68">
        <f>T175+X174</f>
        <v>1222085.0897193952</v>
      </c>
      <c r="Y175" s="68">
        <f>VLOOKUP($O175,$A$4:$J$247,7,FALSE)</f>
        <v>-30914.941681498094</v>
      </c>
      <c r="Z175" s="68">
        <f>VLOOKUP($O175,$A$4:$J$247,8,FALSE)</f>
        <v>-6914.9416814980905</v>
      </c>
      <c r="AA175" s="68">
        <f>VLOOKUP($O175,$A$4:$J$247,9,FALSE)</f>
        <v>-6914.9416814980905</v>
      </c>
      <c r="AB175" s="68">
        <f>VLOOKUP($O175,$A$4:$J$247,10,FALSE)</f>
        <v>-12914.94168149809</v>
      </c>
    </row>
    <row r="176" spans="1:28">
      <c r="A176" s="23">
        <f>_xlfn.RANK.EQ(' 5-Forecast Cash Flow + Profits'!AP176,' 5-Forecast Cash Flow + Profits'!$AP$4:$AP$247,0)</f>
        <v>67</v>
      </c>
      <c r="B176" s="23" t="str">
        <f>' 5-Forecast Cash Flow + Profits'!A176</f>
        <v>W34</v>
      </c>
      <c r="C176" s="68">
        <f>' 5-Forecast Cash Flow + Profits'!AD176+' 5-Forecast Cash Flow + Profits'!AI176</f>
        <v>7039.9507841207378</v>
      </c>
      <c r="D176" s="68">
        <f>' 5-Forecast Cash Flow + Profits'!AP176</f>
        <v>1687.9507841207414</v>
      </c>
      <c r="E176" t="s">
        <v>429</v>
      </c>
      <c r="F176" t="s">
        <v>430</v>
      </c>
      <c r="G176" s="63">
        <f>' 5-Forecast Cash Flow + Profits'!AM176</f>
        <v>-16312.049215879262</v>
      </c>
      <c r="H176" s="63">
        <f>' 5-Forecast Cash Flow + Profits'!AN176</f>
        <v>7687.9507841207414</v>
      </c>
      <c r="I176" s="63">
        <f>' 5-Forecast Cash Flow + Profits'!AO176</f>
        <v>7687.9507841207414</v>
      </c>
      <c r="J176" s="63">
        <f>' 5-Forecast Cash Flow + Profits'!AP176</f>
        <v>1687.9507841207414</v>
      </c>
      <c r="O176" s="23">
        <v>173</v>
      </c>
      <c r="P176" s="23" t="str">
        <f>VLOOKUP(O176,$A$4:$B$247,2,FALSE)</f>
        <v>W149</v>
      </c>
      <c r="Q176" s="23" t="str">
        <f>VLOOKUP(O176,$A$4:$F$247,5,FALSE)</f>
        <v>Miami</v>
      </c>
      <c r="R176" s="23" t="str">
        <f>VLOOKUP(O176,$A$4:$F$247,6,FALSE)</f>
        <v>FL</v>
      </c>
      <c r="S176" s="68">
        <f>O176*' 5-Forecast Cash Flow + Profits'!$AG$7</f>
        <v>5190000</v>
      </c>
      <c r="T176" s="68">
        <f>VLOOKUP(O176,$A$4:$C$247,3,FALSE)</f>
        <v>-21764.895043201897</v>
      </c>
      <c r="U176" s="68">
        <f>VLOOKUP(O176,$A$4:$D$247,4,FALSE)</f>
        <v>-13105.695043201897</v>
      </c>
      <c r="V176" s="89" t="str">
        <f>IF(S176&lt;$L$6,IF(U176&gt;' 5-Forecast Cash Flow + Profits'!$AG$29,"YES","NO"),"NO")</f>
        <v>NO</v>
      </c>
      <c r="W176" s="89" t="str">
        <f>IF(U176&gt;' 5-Forecast Cash Flow + Profits'!$AG$29, "YES", "NO")</f>
        <v>NO</v>
      </c>
      <c r="X176" s="68">
        <f>T176+X175</f>
        <v>1200320.1946761932</v>
      </c>
      <c r="Y176" s="68">
        <f>VLOOKUP($O176,$A$4:$J$247,7,FALSE)</f>
        <v>-31105.695043201897</v>
      </c>
      <c r="Z176" s="68">
        <f>VLOOKUP($O176,$A$4:$J$247,8,FALSE)</f>
        <v>-7105.6950432018966</v>
      </c>
      <c r="AA176" s="68">
        <f>VLOOKUP($O176,$A$4:$J$247,9,FALSE)</f>
        <v>-7105.6950432018966</v>
      </c>
      <c r="AB176" s="68">
        <f>VLOOKUP($O176,$A$4:$J$247,10,FALSE)</f>
        <v>-13105.695043201897</v>
      </c>
    </row>
    <row r="177" spans="1:28">
      <c r="A177" s="23">
        <f>_xlfn.RANK.EQ(' 5-Forecast Cash Flow + Profits'!AP177,' 5-Forecast Cash Flow + Profits'!$AP$4:$AP$247,0)</f>
        <v>54</v>
      </c>
      <c r="B177" s="23" t="str">
        <f>' 5-Forecast Cash Flow + Profits'!A177</f>
        <v>W35</v>
      </c>
      <c r="C177" s="68">
        <f>' 5-Forecast Cash Flow + Profits'!AD177+' 5-Forecast Cash Flow + Profits'!AI177</f>
        <v>20053.893277330382</v>
      </c>
      <c r="D177" s="68">
        <f>' 5-Forecast Cash Flow + Profits'!AP177</f>
        <v>3609.6932773303852</v>
      </c>
      <c r="E177" t="s">
        <v>429</v>
      </c>
      <c r="F177" t="s">
        <v>430</v>
      </c>
      <c r="G177" s="63">
        <f>' 5-Forecast Cash Flow + Profits'!AM177</f>
        <v>-14390.306722669615</v>
      </c>
      <c r="H177" s="63">
        <f>' 5-Forecast Cash Flow + Profits'!AN177</f>
        <v>9609.6932773303852</v>
      </c>
      <c r="I177" s="63">
        <f>' 5-Forecast Cash Flow + Profits'!AO177</f>
        <v>9609.6932773303852</v>
      </c>
      <c r="J177" s="63">
        <f>' 5-Forecast Cash Flow + Profits'!AP177</f>
        <v>3609.6932773303852</v>
      </c>
      <c r="O177" s="23">
        <v>174</v>
      </c>
      <c r="P177" s="23" t="str">
        <f>VLOOKUP(O177,$A$4:$B$247,2,FALSE)</f>
        <v>W21</v>
      </c>
      <c r="Q177" s="23" t="str">
        <f>VLOOKUP(O177,$A$4:$F$247,5,FALSE)</f>
        <v>Chicago</v>
      </c>
      <c r="R177" s="23" t="str">
        <f>VLOOKUP(O177,$A$4:$F$247,6,FALSE)</f>
        <v>IL</v>
      </c>
      <c r="S177" s="68">
        <f>O177*' 5-Forecast Cash Flow + Profits'!$AG$7</f>
        <v>5220000</v>
      </c>
      <c r="T177" s="68">
        <f>VLOOKUP(O177,$A$4:$C$247,3,FALSE)</f>
        <v>397.71421077993</v>
      </c>
      <c r="U177" s="68">
        <f>VLOOKUP(O177,$A$4:$D$247,4,FALSE)</f>
        <v>-13127.485789220071</v>
      </c>
      <c r="V177" s="89" t="str">
        <f>IF(S177&lt;$L$6,IF(U177&gt;' 5-Forecast Cash Flow + Profits'!$AG$29,"YES","NO"),"NO")</f>
        <v>NO</v>
      </c>
      <c r="W177" s="89" t="str">
        <f>IF(U177&gt;' 5-Forecast Cash Flow + Profits'!$AG$29, "YES", "NO")</f>
        <v>NO</v>
      </c>
      <c r="X177" s="68">
        <f>T177+X176</f>
        <v>1200717.908886973</v>
      </c>
      <c r="Y177" s="68">
        <f>VLOOKUP($O177,$A$4:$J$247,7,FALSE)</f>
        <v>-31127.485789220071</v>
      </c>
      <c r="Z177" s="68">
        <f>VLOOKUP($O177,$A$4:$J$247,8,FALSE)</f>
        <v>-7127.4857892200725</v>
      </c>
      <c r="AA177" s="68">
        <f>VLOOKUP($O177,$A$4:$J$247,9,FALSE)</f>
        <v>-7127.4857892200725</v>
      </c>
      <c r="AB177" s="68">
        <f>VLOOKUP($O177,$A$4:$J$247,10,FALSE)</f>
        <v>-13127.485789220071</v>
      </c>
    </row>
    <row r="178" spans="1:28">
      <c r="A178" s="23">
        <f>_xlfn.RANK.EQ(' 5-Forecast Cash Flow + Profits'!AP178,' 5-Forecast Cash Flow + Profits'!$AP$4:$AP$247,0)</f>
        <v>149</v>
      </c>
      <c r="B178" s="23" t="str">
        <f>' 5-Forecast Cash Flow + Profits'!A178</f>
        <v>W36</v>
      </c>
      <c r="C178" s="68">
        <f>' 5-Forecast Cash Flow + Profits'!AD178+' 5-Forecast Cash Flow + Profits'!AI178</f>
        <v>-8549.4362048723196</v>
      </c>
      <c r="D178" s="68">
        <f>' 5-Forecast Cash Flow + Profits'!AP178</f>
        <v>-10398.63620487232</v>
      </c>
      <c r="E178" t="s">
        <v>429</v>
      </c>
      <c r="F178" t="s">
        <v>430</v>
      </c>
      <c r="G178" s="63">
        <f>' 5-Forecast Cash Flow + Profits'!AM178</f>
        <v>-28398.63620487232</v>
      </c>
      <c r="H178" s="63">
        <f>' 5-Forecast Cash Flow + Profits'!AN178</f>
        <v>-4398.6362048723222</v>
      </c>
      <c r="I178" s="63">
        <f>' 5-Forecast Cash Flow + Profits'!AO178</f>
        <v>-4398.6362048723222</v>
      </c>
      <c r="J178" s="63">
        <f>' 5-Forecast Cash Flow + Profits'!AP178</f>
        <v>-10398.63620487232</v>
      </c>
      <c r="O178" s="23">
        <v>175</v>
      </c>
      <c r="P178" s="23" t="str">
        <f>VLOOKUP(O178,$A$4:$B$247,2,FALSE)</f>
        <v>W193</v>
      </c>
      <c r="Q178" s="23" t="str">
        <f>VLOOKUP(O178,$A$4:$F$247,5,FALSE)</f>
        <v>San Diego</v>
      </c>
      <c r="R178" s="23" t="str">
        <f>VLOOKUP(O178,$A$4:$F$247,6,FALSE)</f>
        <v>CA</v>
      </c>
      <c r="S178" s="68">
        <f>O178*' 5-Forecast Cash Flow + Profits'!$AG$7</f>
        <v>5250000</v>
      </c>
      <c r="T178" s="68">
        <f>VLOOKUP(O178,$A$4:$C$247,3,FALSE)</f>
        <v>-15055.513811476536</v>
      </c>
      <c r="U178" s="68">
        <f>VLOOKUP(O178,$A$4:$D$247,4,FALSE)</f>
        <v>-13401.913811476532</v>
      </c>
      <c r="V178" s="89" t="str">
        <f>IF(S178&lt;$L$6,IF(U178&gt;' 5-Forecast Cash Flow + Profits'!$AG$29,"YES","NO"),"NO")</f>
        <v>NO</v>
      </c>
      <c r="W178" s="89" t="str">
        <f>IF(U178&gt;' 5-Forecast Cash Flow + Profits'!$AG$29, "YES", "NO")</f>
        <v>NO</v>
      </c>
      <c r="X178" s="68">
        <f>T178+X177</f>
        <v>1185662.3950754965</v>
      </c>
      <c r="Y178" s="68">
        <f>VLOOKUP($O178,$A$4:$J$247,7,FALSE)</f>
        <v>-31401.913811476537</v>
      </c>
      <c r="Z178" s="68">
        <f>VLOOKUP($O178,$A$4:$J$247,8,FALSE)</f>
        <v>-7401.9138114765319</v>
      </c>
      <c r="AA178" s="68">
        <f>VLOOKUP($O178,$A$4:$J$247,9,FALSE)</f>
        <v>-7401.9138114765319</v>
      </c>
      <c r="AB178" s="68">
        <f>VLOOKUP($O178,$A$4:$J$247,10,FALSE)</f>
        <v>-13401.913811476532</v>
      </c>
    </row>
    <row r="179" spans="1:28">
      <c r="A179" s="23">
        <f>_xlfn.RANK.EQ(' 5-Forecast Cash Flow + Profits'!AP179,' 5-Forecast Cash Flow + Profits'!$AP$4:$AP$247,0)</f>
        <v>222</v>
      </c>
      <c r="B179" s="23" t="str">
        <f>' 5-Forecast Cash Flow + Profits'!A179</f>
        <v>W37</v>
      </c>
      <c r="C179" s="68">
        <f>' 5-Forecast Cash Flow + Profits'!AD179+' 5-Forecast Cash Flow + Profits'!AI179</f>
        <v>-4271.4849760505385</v>
      </c>
      <c r="D179" s="68">
        <f>' 5-Forecast Cash Flow + Profits'!AP179</f>
        <v>-21299.484976050539</v>
      </c>
      <c r="E179" t="s">
        <v>438</v>
      </c>
      <c r="F179" t="s">
        <v>439</v>
      </c>
      <c r="G179" s="63">
        <f>' 5-Forecast Cash Flow + Profits'!AM179</f>
        <v>-39299.484976050539</v>
      </c>
      <c r="H179" s="63">
        <f>' 5-Forecast Cash Flow + Profits'!AN179</f>
        <v>-15299.484976050537</v>
      </c>
      <c r="I179" s="63">
        <f>' 5-Forecast Cash Flow + Profits'!AO179</f>
        <v>-15299.484976050537</v>
      </c>
      <c r="J179" s="63">
        <f>' 5-Forecast Cash Flow + Profits'!AP179</f>
        <v>-21299.484976050539</v>
      </c>
      <c r="O179" s="23">
        <v>176</v>
      </c>
      <c r="P179" s="23" t="str">
        <f>VLOOKUP(O179,$A$4:$B$247,2,FALSE)</f>
        <v>W237</v>
      </c>
      <c r="Q179" s="23" t="str">
        <f>VLOOKUP(O179,$A$4:$F$247,5,FALSE)</f>
        <v>Charleston</v>
      </c>
      <c r="R179" s="23" t="str">
        <f>VLOOKUP(O179,$A$4:$F$247,6,FALSE)</f>
        <v>SC</v>
      </c>
      <c r="S179" s="68">
        <f>O179*' 5-Forecast Cash Flow + Profits'!$AG$7</f>
        <v>5280000</v>
      </c>
      <c r="T179" s="68">
        <f>VLOOKUP(O179,$A$4:$C$247,3,FALSE)</f>
        <v>-22530.738839108377</v>
      </c>
      <c r="U179" s="68">
        <f>VLOOKUP(O179,$A$4:$D$247,4,FALSE)</f>
        <v>-13404.498839108377</v>
      </c>
      <c r="V179" s="89" t="str">
        <f>IF(S179&lt;$L$6,IF(U179&gt;' 5-Forecast Cash Flow + Profits'!$AG$29,"YES","NO"),"NO")</f>
        <v>NO</v>
      </c>
      <c r="W179" s="89" t="str">
        <f>IF(U179&gt;' 5-Forecast Cash Flow + Profits'!$AG$29, "YES", "NO")</f>
        <v>NO</v>
      </c>
      <c r="X179" s="68">
        <f>T179+X178</f>
        <v>1163131.6562363883</v>
      </c>
      <c r="Y179" s="68">
        <f>VLOOKUP($O179,$A$4:$J$247,7,FALSE)</f>
        <v>-31404.498839108375</v>
      </c>
      <c r="Z179" s="68">
        <f>VLOOKUP($O179,$A$4:$J$247,8,FALSE)</f>
        <v>-7404.4988391083771</v>
      </c>
      <c r="AA179" s="68">
        <f>VLOOKUP($O179,$A$4:$J$247,9,FALSE)</f>
        <v>-7404.4988391083771</v>
      </c>
      <c r="AB179" s="68">
        <f>VLOOKUP($O179,$A$4:$J$247,10,FALSE)</f>
        <v>-13404.498839108377</v>
      </c>
    </row>
    <row r="180" spans="1:28">
      <c r="A180" s="23">
        <f>_xlfn.RANK.EQ(' 5-Forecast Cash Flow + Profits'!AP180,' 5-Forecast Cash Flow + Profits'!$AP$4:$AP$247,0)</f>
        <v>224</v>
      </c>
      <c r="B180" s="23" t="str">
        <f>' 5-Forecast Cash Flow + Profits'!A180</f>
        <v>W38</v>
      </c>
      <c r="C180" s="68">
        <f>' 5-Forecast Cash Flow + Profits'!AD180+' 5-Forecast Cash Flow + Profits'!AI180</f>
        <v>-2419.6091190061925</v>
      </c>
      <c r="D180" s="68">
        <f>' 5-Forecast Cash Flow + Profits'!AP180</f>
        <v>-21782.809119006193</v>
      </c>
      <c r="E180" t="s">
        <v>438</v>
      </c>
      <c r="F180" t="s">
        <v>439</v>
      </c>
      <c r="G180" s="63">
        <f>' 5-Forecast Cash Flow + Profits'!AM180</f>
        <v>-39782.80911900619</v>
      </c>
      <c r="H180" s="63">
        <f>' 5-Forecast Cash Flow + Profits'!AN180</f>
        <v>-15782.809119006193</v>
      </c>
      <c r="I180" s="63">
        <f>' 5-Forecast Cash Flow + Profits'!AO180</f>
        <v>-15782.809119006193</v>
      </c>
      <c r="J180" s="63">
        <f>' 5-Forecast Cash Flow + Profits'!AP180</f>
        <v>-21782.809119006193</v>
      </c>
      <c r="O180" s="23">
        <v>177</v>
      </c>
      <c r="P180" s="23" t="str">
        <f>VLOOKUP(O180,$A$4:$B$247,2,FALSE)</f>
        <v>W132</v>
      </c>
      <c r="Q180" s="23" t="str">
        <f>VLOOKUP(O180,$A$4:$F$247,5,FALSE)</f>
        <v>Denver</v>
      </c>
      <c r="R180" s="23" t="str">
        <f>VLOOKUP(O180,$A$4:$F$247,6,FALSE)</f>
        <v>CO</v>
      </c>
      <c r="S180" s="68">
        <f>O180*' 5-Forecast Cash Flow + Profits'!$AG$7</f>
        <v>5310000</v>
      </c>
      <c r="T180" s="68">
        <f>VLOOKUP(O180,$A$4:$C$247,3,FALSE)</f>
        <v>-17530.703695681332</v>
      </c>
      <c r="U180" s="68">
        <f>VLOOKUP(O180,$A$4:$D$247,4,FALSE)</f>
        <v>-13541.903695681327</v>
      </c>
      <c r="V180" s="89" t="str">
        <f>IF(S180&lt;$L$6,IF(U180&gt;' 5-Forecast Cash Flow + Profits'!$AG$29,"YES","NO"),"NO")</f>
        <v>NO</v>
      </c>
      <c r="W180" s="89" t="str">
        <f>IF(U180&gt;' 5-Forecast Cash Flow + Profits'!$AG$29, "YES", "NO")</f>
        <v>NO</v>
      </c>
      <c r="X180" s="68">
        <f>T180+X179</f>
        <v>1145600.9525407068</v>
      </c>
      <c r="Y180" s="68">
        <f>VLOOKUP($O180,$A$4:$J$247,7,FALSE)</f>
        <v>-31541.903695681329</v>
      </c>
      <c r="Z180" s="68">
        <f>VLOOKUP($O180,$A$4:$J$247,8,FALSE)</f>
        <v>-7541.903695681327</v>
      </c>
      <c r="AA180" s="68">
        <f>VLOOKUP($O180,$A$4:$J$247,9,FALSE)</f>
        <v>-7541.903695681327</v>
      </c>
      <c r="AB180" s="68">
        <f>VLOOKUP($O180,$A$4:$J$247,10,FALSE)</f>
        <v>-13541.903695681327</v>
      </c>
    </row>
    <row r="181" spans="1:28">
      <c r="A181" s="23">
        <f>_xlfn.RANK.EQ(' 5-Forecast Cash Flow + Profits'!AP181,' 5-Forecast Cash Flow + Profits'!$AP$4:$AP$247,0)</f>
        <v>130</v>
      </c>
      <c r="B181" s="23" t="str">
        <f>' 5-Forecast Cash Flow + Profits'!A181</f>
        <v>W39</v>
      </c>
      <c r="C181" s="68">
        <f>' 5-Forecast Cash Flow + Profits'!AD181+' 5-Forecast Cash Flow + Profits'!AI181</f>
        <v>26821.109519514925</v>
      </c>
      <c r="D181" s="68">
        <f>' 5-Forecast Cash Flow + Profits'!AP181</f>
        <v>-7720.890480485079</v>
      </c>
      <c r="E181" t="s">
        <v>438</v>
      </c>
      <c r="F181" t="s">
        <v>439</v>
      </c>
      <c r="G181" s="63">
        <f>' 5-Forecast Cash Flow + Profits'!AM181</f>
        <v>-25720.890480485075</v>
      </c>
      <c r="H181" s="63">
        <f>' 5-Forecast Cash Flow + Profits'!AN181</f>
        <v>-1720.890480485079</v>
      </c>
      <c r="I181" s="63">
        <f>' 5-Forecast Cash Flow + Profits'!AO181</f>
        <v>-1720.890480485079</v>
      </c>
      <c r="J181" s="63">
        <f>' 5-Forecast Cash Flow + Profits'!AP181</f>
        <v>-7720.890480485079</v>
      </c>
      <c r="O181" s="23">
        <v>178</v>
      </c>
      <c r="P181" s="23" t="str">
        <f>VLOOKUP(O181,$A$4:$B$247,2,FALSE)</f>
        <v>W223</v>
      </c>
      <c r="Q181" s="23" t="str">
        <f>VLOOKUP(O181,$A$4:$F$247,5,FALSE)</f>
        <v>Richmond</v>
      </c>
      <c r="R181" s="23" t="str">
        <f>VLOOKUP(O181,$A$4:$F$247,6,FALSE)</f>
        <v>VA</v>
      </c>
      <c r="S181" s="68">
        <f>O181*' 5-Forecast Cash Flow + Profits'!$AG$7</f>
        <v>5340000</v>
      </c>
      <c r="T181" s="68">
        <f>VLOOKUP(O181,$A$4:$C$247,3,FALSE)</f>
        <v>-17893.12709192378</v>
      </c>
      <c r="U181" s="68">
        <f>VLOOKUP(O181,$A$4:$D$247,4,FALSE)</f>
        <v>-13612.427091923779</v>
      </c>
      <c r="V181" s="89" t="str">
        <f>IF(S181&lt;$L$6,IF(U181&gt;' 5-Forecast Cash Flow + Profits'!$AG$29,"YES","NO"),"NO")</f>
        <v>NO</v>
      </c>
      <c r="W181" s="89" t="str">
        <f>IF(U181&gt;' 5-Forecast Cash Flow + Profits'!$AG$29, "YES", "NO")</f>
        <v>NO</v>
      </c>
      <c r="X181" s="68">
        <f>T181+X180</f>
        <v>1127707.8254487831</v>
      </c>
      <c r="Y181" s="68">
        <f>VLOOKUP($O181,$A$4:$J$247,7,FALSE)</f>
        <v>-31612.427091923779</v>
      </c>
      <c r="Z181" s="68">
        <f>VLOOKUP($O181,$A$4:$J$247,8,FALSE)</f>
        <v>-7612.4270919237788</v>
      </c>
      <c r="AA181" s="68">
        <f>VLOOKUP($O181,$A$4:$J$247,9,FALSE)</f>
        <v>-7612.4270919237788</v>
      </c>
      <c r="AB181" s="68">
        <f>VLOOKUP($O181,$A$4:$J$247,10,FALSE)</f>
        <v>-13612.427091923779</v>
      </c>
    </row>
    <row r="182" spans="1:28">
      <c r="A182" s="23">
        <f>_xlfn.RANK.EQ(' 5-Forecast Cash Flow + Profits'!AP182,' 5-Forecast Cash Flow + Profits'!$AP$4:$AP$247,0)</f>
        <v>203</v>
      </c>
      <c r="B182" s="23" t="str">
        <f>' 5-Forecast Cash Flow + Profits'!A182</f>
        <v>W4</v>
      </c>
      <c r="C182" s="68">
        <f>' 5-Forecast Cash Flow + Profits'!AD182+' 5-Forecast Cash Flow + Profits'!AI182</f>
        <v>-25635.729132402616</v>
      </c>
      <c r="D182" s="68">
        <f>' 5-Forecast Cash Flow + Profits'!AP182</f>
        <v>-16976.529132402618</v>
      </c>
      <c r="E182" t="s">
        <v>415</v>
      </c>
      <c r="F182" t="s">
        <v>416</v>
      </c>
      <c r="G182" s="63">
        <f>' 5-Forecast Cash Flow + Profits'!AM182</f>
        <v>-34976.529132402611</v>
      </c>
      <c r="H182" s="63">
        <f>' 5-Forecast Cash Flow + Profits'!AN182</f>
        <v>-10976.529132402617</v>
      </c>
      <c r="I182" s="63">
        <f>' 5-Forecast Cash Flow + Profits'!AO182</f>
        <v>-10976.529132402617</v>
      </c>
      <c r="J182" s="63">
        <f>' 5-Forecast Cash Flow + Profits'!AP182</f>
        <v>-16976.529132402618</v>
      </c>
      <c r="O182" s="23">
        <v>179</v>
      </c>
      <c r="P182" s="23" t="str">
        <f>VLOOKUP(O182,$A$4:$B$247,2,FALSE)</f>
        <v>W13</v>
      </c>
      <c r="Q182" s="23" t="str">
        <f>VLOOKUP(O182,$A$4:$F$247,5,FALSE)</f>
        <v>Chapel Hill</v>
      </c>
      <c r="R182" s="23" t="str">
        <f>VLOOKUP(O182,$A$4:$F$247,6,FALSE)</f>
        <v>NC</v>
      </c>
      <c r="S182" s="68">
        <f>O182*' 5-Forecast Cash Flow + Profits'!$AG$7</f>
        <v>5370000</v>
      </c>
      <c r="T182" s="68">
        <f>VLOOKUP(O182,$A$4:$C$247,3,FALSE)</f>
        <v>-21105.289959945418</v>
      </c>
      <c r="U182" s="68">
        <f>VLOOKUP(O182,$A$4:$D$247,4,FALSE)</f>
        <v>-13847.209959945421</v>
      </c>
      <c r="V182" s="89" t="str">
        <f>IF(S182&lt;$L$6,IF(U182&gt;' 5-Forecast Cash Flow + Profits'!$AG$29,"YES","NO"),"NO")</f>
        <v>NO</v>
      </c>
      <c r="W182" s="89" t="str">
        <f>IF(U182&gt;' 5-Forecast Cash Flow + Profits'!$AG$29, "YES", "NO")</f>
        <v>NO</v>
      </c>
      <c r="X182" s="68">
        <f>T182+X181</f>
        <v>1106602.5354888376</v>
      </c>
      <c r="Y182" s="68">
        <f>VLOOKUP($O182,$A$4:$J$247,7,FALSE)</f>
        <v>-31847.209959945416</v>
      </c>
      <c r="Z182" s="68">
        <f>VLOOKUP($O182,$A$4:$J$247,8,FALSE)</f>
        <v>-7847.2099599454214</v>
      </c>
      <c r="AA182" s="68">
        <f>VLOOKUP($O182,$A$4:$J$247,9,FALSE)</f>
        <v>-7847.2099599454214</v>
      </c>
      <c r="AB182" s="68">
        <f>VLOOKUP($O182,$A$4:$J$247,10,FALSE)</f>
        <v>-13847.209959945421</v>
      </c>
    </row>
    <row r="183" spans="1:28">
      <c r="A183" s="23">
        <f>_xlfn.RANK.EQ(' 5-Forecast Cash Flow + Profits'!AP183,' 5-Forecast Cash Flow + Profits'!$AP$4:$AP$247,0)</f>
        <v>220</v>
      </c>
      <c r="B183" s="23" t="str">
        <f>' 5-Forecast Cash Flow + Profits'!A183</f>
        <v>W40</v>
      </c>
      <c r="C183" s="68">
        <f>' 5-Forecast Cash Flow + Profits'!AD183+' 5-Forecast Cash Flow + Profits'!AI183</f>
        <v>14169.647717060427</v>
      </c>
      <c r="D183" s="68">
        <f>' 5-Forecast Cash Flow + Profits'!AP183</f>
        <v>-20372.352282939573</v>
      </c>
      <c r="E183" t="s">
        <v>438</v>
      </c>
      <c r="F183" t="s">
        <v>439</v>
      </c>
      <c r="G183" s="63">
        <f>' 5-Forecast Cash Flow + Profits'!AM183</f>
        <v>-38372.352282939573</v>
      </c>
      <c r="H183" s="63">
        <f>' 5-Forecast Cash Flow + Profits'!AN183</f>
        <v>-14372.352282939575</v>
      </c>
      <c r="I183" s="63">
        <f>' 5-Forecast Cash Flow + Profits'!AO183</f>
        <v>-14372.352282939575</v>
      </c>
      <c r="J183" s="63">
        <f>' 5-Forecast Cash Flow + Profits'!AP183</f>
        <v>-20372.352282939573</v>
      </c>
      <c r="O183" s="23">
        <v>180</v>
      </c>
      <c r="P183" s="23" t="str">
        <f>VLOOKUP(O183,$A$4:$B$247,2,FALSE)</f>
        <v>W214</v>
      </c>
      <c r="Q183" s="23" t="str">
        <f>VLOOKUP(O183,$A$4:$F$247,5,FALSE)</f>
        <v>Columbus</v>
      </c>
      <c r="R183" s="23" t="str">
        <f>VLOOKUP(O183,$A$4:$F$247,6,FALSE)</f>
        <v>OH</v>
      </c>
      <c r="S183" s="68">
        <f>O183*' 5-Forecast Cash Flow + Profits'!$AG$7</f>
        <v>5400000</v>
      </c>
      <c r="T183" s="68">
        <f>VLOOKUP(O183,$A$4:$C$247,3,FALSE)</f>
        <v>-21250.042547902562</v>
      </c>
      <c r="U183" s="68">
        <f>VLOOKUP(O183,$A$4:$D$247,4,FALSE)</f>
        <v>-13991.962547902562</v>
      </c>
      <c r="V183" s="89" t="str">
        <f>IF(S183&lt;$L$6,IF(U183&gt;' 5-Forecast Cash Flow + Profits'!$AG$29,"YES","NO"),"NO")</f>
        <v>NO</v>
      </c>
      <c r="W183" s="89" t="str">
        <f>IF(U183&gt;' 5-Forecast Cash Flow + Profits'!$AG$29, "YES", "NO")</f>
        <v>NO</v>
      </c>
      <c r="X183" s="68">
        <f>T183+X182</f>
        <v>1085352.4929409351</v>
      </c>
      <c r="Y183" s="68">
        <f>VLOOKUP($O183,$A$4:$J$247,7,FALSE)</f>
        <v>-31991.962547902564</v>
      </c>
      <c r="Z183" s="68">
        <f>VLOOKUP($O183,$A$4:$J$247,8,FALSE)</f>
        <v>-7991.9625479025617</v>
      </c>
      <c r="AA183" s="68">
        <f>VLOOKUP($O183,$A$4:$J$247,9,FALSE)</f>
        <v>-7991.9625479025617</v>
      </c>
      <c r="AB183" s="68">
        <f>VLOOKUP($O183,$A$4:$J$247,10,FALSE)</f>
        <v>-13991.962547902562</v>
      </c>
    </row>
    <row r="184" spans="1:28">
      <c r="A184" s="23">
        <f>_xlfn.RANK.EQ(' 5-Forecast Cash Flow + Profits'!AP184,' 5-Forecast Cash Flow + Profits'!$AP$4:$AP$247,0)</f>
        <v>239</v>
      </c>
      <c r="B184" s="23" t="str">
        <f>' 5-Forecast Cash Flow + Profits'!A184</f>
        <v>W41</v>
      </c>
      <c r="C184" s="68">
        <f>' 5-Forecast Cash Flow + Profits'!AD184+' 5-Forecast Cash Flow + Profits'!AI184</f>
        <v>17127.282028309673</v>
      </c>
      <c r="D184" s="68">
        <f>' 5-Forecast Cash Flow + Profits'!AP184</f>
        <v>-29090.717971690327</v>
      </c>
      <c r="E184" t="s">
        <v>438</v>
      </c>
      <c r="F184" t="s">
        <v>439</v>
      </c>
      <c r="G184" s="63">
        <f>' 5-Forecast Cash Flow + Profits'!AM184</f>
        <v>-47090.717971690327</v>
      </c>
      <c r="H184" s="63">
        <f>' 5-Forecast Cash Flow + Profits'!AN184</f>
        <v>-23090.717971690327</v>
      </c>
      <c r="I184" s="63">
        <f>' 5-Forecast Cash Flow + Profits'!AO184</f>
        <v>-23090.717971690327</v>
      </c>
      <c r="J184" s="63">
        <f>' 5-Forecast Cash Flow + Profits'!AP184</f>
        <v>-29090.717971690327</v>
      </c>
      <c r="O184" s="23">
        <v>181</v>
      </c>
      <c r="P184" s="23" t="str">
        <f>VLOOKUP(O184,$A$4:$B$247,2,FALSE)</f>
        <v>W225</v>
      </c>
      <c r="Q184" s="23" t="str">
        <f>VLOOKUP(O184,$A$4:$F$247,5,FALSE)</f>
        <v>Richmond</v>
      </c>
      <c r="R184" s="23" t="str">
        <f>VLOOKUP(O184,$A$4:$F$247,6,FALSE)</f>
        <v>VA</v>
      </c>
      <c r="S184" s="68">
        <f>O184*' 5-Forecast Cash Flow + Profits'!$AG$7</f>
        <v>5430000</v>
      </c>
      <c r="T184" s="68">
        <f>VLOOKUP(O184,$A$4:$C$247,3,FALSE)</f>
        <v>-23756.342512205898</v>
      </c>
      <c r="U184" s="68">
        <f>VLOOKUP(O184,$A$4:$D$247,4,FALSE)</f>
        <v>-14034.626512205894</v>
      </c>
      <c r="V184" s="89" t="str">
        <f>IF(S184&lt;$L$6,IF(U184&gt;' 5-Forecast Cash Flow + Profits'!$AG$29,"YES","NO"),"NO")</f>
        <v>NO</v>
      </c>
      <c r="W184" s="89" t="str">
        <f>IF(U184&gt;' 5-Forecast Cash Flow + Profits'!$AG$29, "YES", "NO")</f>
        <v>NO</v>
      </c>
      <c r="X184" s="68">
        <f>T184+X183</f>
        <v>1061596.1504287291</v>
      </c>
      <c r="Y184" s="68">
        <f>VLOOKUP($O184,$A$4:$J$247,7,FALSE)</f>
        <v>-32034.626512205898</v>
      </c>
      <c r="Z184" s="68">
        <f>VLOOKUP($O184,$A$4:$J$247,8,FALSE)</f>
        <v>-8034.626512205894</v>
      </c>
      <c r="AA184" s="68">
        <f>VLOOKUP($O184,$A$4:$J$247,9,FALSE)</f>
        <v>-8034.626512205894</v>
      </c>
      <c r="AB184" s="68">
        <f>VLOOKUP($O184,$A$4:$J$247,10,FALSE)</f>
        <v>-14034.626512205894</v>
      </c>
    </row>
    <row r="185" spans="1:28">
      <c r="A185" s="23">
        <f>_xlfn.RANK.EQ(' 5-Forecast Cash Flow + Profits'!AP185,' 5-Forecast Cash Flow + Profits'!$AP$4:$AP$247,0)</f>
        <v>85</v>
      </c>
      <c r="B185" s="23" t="str">
        <f>' 5-Forecast Cash Flow + Profits'!A185</f>
        <v>W42</v>
      </c>
      <c r="C185" s="68">
        <f>' 5-Forecast Cash Flow + Profits'!AD185+' 5-Forecast Cash Flow + Profits'!AI185</f>
        <v>21417.195736925467</v>
      </c>
      <c r="D185" s="68">
        <f>' 5-Forecast Cash Flow + Profits'!AP185</f>
        <v>-1448.8042630745294</v>
      </c>
      <c r="E185" t="s">
        <v>438</v>
      </c>
      <c r="F185" t="s">
        <v>439</v>
      </c>
      <c r="G185" s="63">
        <f>' 5-Forecast Cash Flow + Profits'!AM185</f>
        <v>-19448.804263074533</v>
      </c>
      <c r="H185" s="63">
        <f>' 5-Forecast Cash Flow + Profits'!AN185</f>
        <v>4551.1957369254706</v>
      </c>
      <c r="I185" s="63">
        <f>' 5-Forecast Cash Flow + Profits'!AO185</f>
        <v>4551.1957369254706</v>
      </c>
      <c r="J185" s="63">
        <f>' 5-Forecast Cash Flow + Profits'!AP185</f>
        <v>-1448.8042630745294</v>
      </c>
      <c r="O185" s="23">
        <v>182</v>
      </c>
      <c r="P185" s="23" t="str">
        <f>VLOOKUP(O185,$A$4:$B$247,2,FALSE)</f>
        <v>W206</v>
      </c>
      <c r="Q185" s="23" t="str">
        <f>VLOOKUP(O185,$A$4:$F$247,5,FALSE)</f>
        <v>Columbus</v>
      </c>
      <c r="R185" s="23" t="str">
        <f>VLOOKUP(O185,$A$4:$F$247,6,FALSE)</f>
        <v>OH</v>
      </c>
      <c r="S185" s="68">
        <f>O185*' 5-Forecast Cash Flow + Profits'!$AG$7</f>
        <v>5460000</v>
      </c>
      <c r="T185" s="68">
        <f>VLOOKUP(O185,$A$4:$C$247,3,FALSE)</f>
        <v>-20316.743270715826</v>
      </c>
      <c r="U185" s="68">
        <f>VLOOKUP(O185,$A$4:$D$247,4,FALSE)</f>
        <v>-14459.783270715829</v>
      </c>
      <c r="V185" s="89" t="str">
        <f>IF(S185&lt;$L$6,IF(U185&gt;' 5-Forecast Cash Flow + Profits'!$AG$29,"YES","NO"),"NO")</f>
        <v>NO</v>
      </c>
      <c r="W185" s="89" t="str">
        <f>IF(U185&gt;' 5-Forecast Cash Flow + Profits'!$AG$29, "YES", "NO")</f>
        <v>NO</v>
      </c>
      <c r="X185" s="68">
        <f>T185+X184</f>
        <v>1041279.4071580133</v>
      </c>
      <c r="Y185" s="68">
        <f>VLOOKUP($O185,$A$4:$J$247,7,FALSE)</f>
        <v>-32459.783270715823</v>
      </c>
      <c r="Z185" s="68">
        <f>VLOOKUP($O185,$A$4:$J$247,8,FALSE)</f>
        <v>-8459.7832707158286</v>
      </c>
      <c r="AA185" s="68">
        <f>VLOOKUP($O185,$A$4:$J$247,9,FALSE)</f>
        <v>-8459.7832707158286</v>
      </c>
      <c r="AB185" s="68">
        <f>VLOOKUP($O185,$A$4:$J$247,10,FALSE)</f>
        <v>-14459.783270715829</v>
      </c>
    </row>
    <row r="186" spans="1:28">
      <c r="A186" s="23">
        <f>_xlfn.RANK.EQ(' 5-Forecast Cash Flow + Profits'!AP186,' 5-Forecast Cash Flow + Profits'!$AP$4:$AP$247,0)</f>
        <v>194</v>
      </c>
      <c r="B186" s="23" t="str">
        <f>' 5-Forecast Cash Flow + Profits'!A186</f>
        <v>W43</v>
      </c>
      <c r="C186" s="68">
        <f>' 5-Forecast Cash Flow + Profits'!AD186+' 5-Forecast Cash Flow + Profits'!AI186</f>
        <v>13329.090175011916</v>
      </c>
      <c r="D186" s="68">
        <f>' 5-Forecast Cash Flow + Profits'!AP186</f>
        <v>-15374.909824988084</v>
      </c>
      <c r="E186" t="s">
        <v>438</v>
      </c>
      <c r="F186" t="s">
        <v>439</v>
      </c>
      <c r="G186" s="63">
        <f>' 5-Forecast Cash Flow + Profits'!AM186</f>
        <v>-33374.909824988084</v>
      </c>
      <c r="H186" s="63">
        <f>' 5-Forecast Cash Flow + Profits'!AN186</f>
        <v>-9374.9098249880826</v>
      </c>
      <c r="I186" s="63">
        <f>' 5-Forecast Cash Flow + Profits'!AO186</f>
        <v>-9374.9098249880826</v>
      </c>
      <c r="J186" s="63">
        <f>' 5-Forecast Cash Flow + Profits'!AP186</f>
        <v>-15374.909824988084</v>
      </c>
      <c r="O186" s="23">
        <v>183</v>
      </c>
      <c r="P186" s="23" t="str">
        <f>VLOOKUP(O186,$A$4:$B$247,2,FALSE)</f>
        <v>W8</v>
      </c>
      <c r="Q186" s="23" t="str">
        <f>VLOOKUP(O186,$A$4:$F$247,5,FALSE)</f>
        <v>Chapel Hill</v>
      </c>
      <c r="R186" s="23" t="str">
        <f>VLOOKUP(O186,$A$4:$F$247,6,FALSE)</f>
        <v>NC</v>
      </c>
      <c r="S186" s="68">
        <f>O186*' 5-Forecast Cash Flow + Profits'!$AG$7</f>
        <v>5490000</v>
      </c>
      <c r="T186" s="68">
        <f>VLOOKUP(O186,$A$4:$C$247,3,FALSE)</f>
        <v>-26658.935522403634</v>
      </c>
      <c r="U186" s="68">
        <f>VLOOKUP(O186,$A$4:$D$247,4,FALSE)</f>
        <v>-14496.935522403634</v>
      </c>
      <c r="V186" s="89" t="str">
        <f>IF(S186&lt;$L$6,IF(U186&gt;' 5-Forecast Cash Flow + Profits'!$AG$29,"YES","NO"),"NO")</f>
        <v>NO</v>
      </c>
      <c r="W186" s="89" t="str">
        <f>IF(U186&gt;' 5-Forecast Cash Flow + Profits'!$AG$29, "YES", "NO")</f>
        <v>NO</v>
      </c>
      <c r="X186" s="68">
        <f>T186+X185</f>
        <v>1014620.4716356096</v>
      </c>
      <c r="Y186" s="68">
        <f>VLOOKUP($O186,$A$4:$J$247,7,FALSE)</f>
        <v>-32496.935522403634</v>
      </c>
      <c r="Z186" s="68">
        <f>VLOOKUP($O186,$A$4:$J$247,8,FALSE)</f>
        <v>-8496.9355224036353</v>
      </c>
      <c r="AA186" s="68">
        <f>VLOOKUP($O186,$A$4:$J$247,9,FALSE)</f>
        <v>-8496.9355224036353</v>
      </c>
      <c r="AB186" s="68">
        <f>VLOOKUP($O186,$A$4:$J$247,10,FALSE)</f>
        <v>-14496.935522403634</v>
      </c>
    </row>
    <row r="187" spans="1:28">
      <c r="A187" s="23">
        <f>_xlfn.RANK.EQ(' 5-Forecast Cash Flow + Profits'!AP187,' 5-Forecast Cash Flow + Profits'!$AP$4:$AP$247,0)</f>
        <v>168</v>
      </c>
      <c r="B187" s="23" t="str">
        <f>' 5-Forecast Cash Flow + Profits'!A187</f>
        <v>W44</v>
      </c>
      <c r="C187" s="68">
        <f>' 5-Forecast Cash Flow + Profits'!AD187+' 5-Forecast Cash Flow + Profits'!AI187</f>
        <v>4443.287672135586</v>
      </c>
      <c r="D187" s="68">
        <f>' 5-Forecast Cash Flow + Profits'!AP187</f>
        <v>-12584.712327864414</v>
      </c>
      <c r="E187" t="s">
        <v>438</v>
      </c>
      <c r="F187" t="s">
        <v>439</v>
      </c>
      <c r="G187" s="63">
        <f>' 5-Forecast Cash Flow + Profits'!AM187</f>
        <v>-30584.712327864414</v>
      </c>
      <c r="H187" s="63">
        <f>' 5-Forecast Cash Flow + Profits'!AN187</f>
        <v>-6584.712327864414</v>
      </c>
      <c r="I187" s="63">
        <f>' 5-Forecast Cash Flow + Profits'!AO187</f>
        <v>-6584.712327864414</v>
      </c>
      <c r="J187" s="63">
        <f>' 5-Forecast Cash Flow + Profits'!AP187</f>
        <v>-12584.712327864414</v>
      </c>
      <c r="O187" s="23">
        <v>184</v>
      </c>
      <c r="P187" s="23" t="str">
        <f>VLOOKUP(O187,$A$4:$B$247,2,FALSE)</f>
        <v>W32</v>
      </c>
      <c r="Q187" s="23" t="str">
        <f>VLOOKUP(O187,$A$4:$F$247,5,FALSE)</f>
        <v>Chicago</v>
      </c>
      <c r="R187" s="23" t="str">
        <f>VLOOKUP(O187,$A$4:$F$247,6,FALSE)</f>
        <v>IL</v>
      </c>
      <c r="S187" s="68">
        <f>O187*' 5-Forecast Cash Flow + Profits'!$AG$7</f>
        <v>5520000</v>
      </c>
      <c r="T187" s="68">
        <f>VLOOKUP(O187,$A$4:$C$247,3,FALSE)</f>
        <v>-11525.129528444431</v>
      </c>
      <c r="U187" s="68">
        <f>VLOOKUP(O187,$A$4:$D$247,4,FALSE)</f>
        <v>-14541.929528444431</v>
      </c>
      <c r="V187" s="89" t="str">
        <f>IF(S187&lt;$L$6,IF(U187&gt;' 5-Forecast Cash Flow + Profits'!$AG$29,"YES","NO"),"NO")</f>
        <v>NO</v>
      </c>
      <c r="W187" s="89" t="str">
        <f>IF(U187&gt;' 5-Forecast Cash Flow + Profits'!$AG$29, "YES", "NO")</f>
        <v>NO</v>
      </c>
      <c r="X187" s="68">
        <f>T187+X186</f>
        <v>1003095.3421071653</v>
      </c>
      <c r="Y187" s="68">
        <f>VLOOKUP($O187,$A$4:$J$247,7,FALSE)</f>
        <v>-32541.929528444431</v>
      </c>
      <c r="Z187" s="68">
        <f>VLOOKUP($O187,$A$4:$J$247,8,FALSE)</f>
        <v>-8541.9295284444288</v>
      </c>
      <c r="AA187" s="68">
        <f>VLOOKUP($O187,$A$4:$J$247,9,FALSE)</f>
        <v>-8541.9295284444288</v>
      </c>
      <c r="AB187" s="68">
        <f>VLOOKUP($O187,$A$4:$J$247,10,FALSE)</f>
        <v>-14541.929528444431</v>
      </c>
    </row>
    <row r="188" spans="1:28">
      <c r="A188" s="23">
        <f>_xlfn.RANK.EQ(' 5-Forecast Cash Flow + Profits'!AP188,' 5-Forecast Cash Flow + Profits'!$AP$4:$AP$247,0)</f>
        <v>244</v>
      </c>
      <c r="B188" s="23" t="str">
        <f>' 5-Forecast Cash Flow + Profits'!A188</f>
        <v>W45</v>
      </c>
      <c r="C188" s="68">
        <f>' 5-Forecast Cash Flow + Profits'!AD188+' 5-Forecast Cash Flow + Profits'!AI188</f>
        <v>7921.1060794870573</v>
      </c>
      <c r="D188" s="68">
        <f>' 5-Forecast Cash Flow + Profits'!AP188</f>
        <v>-39464.493920512941</v>
      </c>
      <c r="E188" t="s">
        <v>438</v>
      </c>
      <c r="F188" t="s">
        <v>439</v>
      </c>
      <c r="G188" s="63">
        <f>' 5-Forecast Cash Flow + Profits'!AM188</f>
        <v>-57464.493920512941</v>
      </c>
      <c r="H188" s="63">
        <f>' 5-Forecast Cash Flow + Profits'!AN188</f>
        <v>-33464.493920512941</v>
      </c>
      <c r="I188" s="63">
        <f>' 5-Forecast Cash Flow + Profits'!AO188</f>
        <v>-33464.493920512941</v>
      </c>
      <c r="J188" s="63">
        <f>' 5-Forecast Cash Flow + Profits'!AP188</f>
        <v>-39464.493920512941</v>
      </c>
      <c r="O188" s="23">
        <v>185</v>
      </c>
      <c r="P188" s="23" t="str">
        <f>VLOOKUP(O188,$A$4:$B$247,2,FALSE)</f>
        <v>W77</v>
      </c>
      <c r="Q188" s="23" t="str">
        <f>VLOOKUP(O188,$A$4:$F$247,5,FALSE)</f>
        <v>Palo Alto</v>
      </c>
      <c r="R188" s="23" t="str">
        <f>VLOOKUP(O188,$A$4:$F$247,6,FALSE)</f>
        <v>CA</v>
      </c>
      <c r="S188" s="68">
        <f>O188*' 5-Forecast Cash Flow + Profits'!$AG$7</f>
        <v>5550000</v>
      </c>
      <c r="T188" s="68">
        <f>VLOOKUP(O188,$A$4:$C$247,3,FALSE)</f>
        <v>-3554.4837848628595</v>
      </c>
      <c r="U188" s="68">
        <f>VLOOKUP(O188,$A$4:$D$247,4,FALSE)</f>
        <v>-14744.483784862863</v>
      </c>
      <c r="V188" s="89" t="str">
        <f>IF(S188&lt;$L$6,IF(U188&gt;' 5-Forecast Cash Flow + Profits'!$AG$29,"YES","NO"),"NO")</f>
        <v>NO</v>
      </c>
      <c r="W188" s="89" t="str">
        <f>IF(U188&gt;' 5-Forecast Cash Flow + Profits'!$AG$29, "YES", "NO")</f>
        <v>NO</v>
      </c>
      <c r="X188" s="68">
        <f>T188+X187</f>
        <v>999540.85832230235</v>
      </c>
      <c r="Y188" s="68">
        <f>VLOOKUP($O188,$A$4:$J$247,7,FALSE)</f>
        <v>-32744.483784862859</v>
      </c>
      <c r="Z188" s="68">
        <f>VLOOKUP($O188,$A$4:$J$247,8,FALSE)</f>
        <v>-8744.4837848628631</v>
      </c>
      <c r="AA188" s="68">
        <f>VLOOKUP($O188,$A$4:$J$247,9,FALSE)</f>
        <v>-8744.4837848628631</v>
      </c>
      <c r="AB188" s="68">
        <f>VLOOKUP($O188,$A$4:$J$247,10,FALSE)</f>
        <v>-14744.483784862863</v>
      </c>
    </row>
    <row r="189" spans="1:28">
      <c r="A189" s="23">
        <f>_xlfn.RANK.EQ(' 5-Forecast Cash Flow + Profits'!AP189,' 5-Forecast Cash Flow + Profits'!$AP$4:$AP$247,0)</f>
        <v>14</v>
      </c>
      <c r="B189" s="23" t="str">
        <f>' 5-Forecast Cash Flow + Profits'!A189</f>
        <v>W46</v>
      </c>
      <c r="C189" s="68">
        <f>' 5-Forecast Cash Flow + Profits'!AD189+' 5-Forecast Cash Flow + Profits'!AI189</f>
        <v>46281.801531752193</v>
      </c>
      <c r="D189" s="68">
        <f>' 5-Forecast Cash Flow + Profits'!AP189</f>
        <v>26918.601531752196</v>
      </c>
      <c r="E189" t="s">
        <v>438</v>
      </c>
      <c r="F189" t="s">
        <v>439</v>
      </c>
      <c r="G189" s="63">
        <f>' 5-Forecast Cash Flow + Profits'!AM189</f>
        <v>8918.601531752196</v>
      </c>
      <c r="H189" s="63">
        <f>' 5-Forecast Cash Flow + Profits'!AN189</f>
        <v>32918.601531752196</v>
      </c>
      <c r="I189" s="63">
        <f>' 5-Forecast Cash Flow + Profits'!AO189</f>
        <v>32918.601531752196</v>
      </c>
      <c r="J189" s="63">
        <f>' 5-Forecast Cash Flow + Profits'!AP189</f>
        <v>26918.601531752196</v>
      </c>
      <c r="O189" s="23">
        <v>186</v>
      </c>
      <c r="P189" s="23" t="str">
        <f>VLOOKUP(O189,$A$4:$B$247,2,FALSE)</f>
        <v>W79</v>
      </c>
      <c r="Q189" s="23" t="str">
        <f>VLOOKUP(O189,$A$4:$F$247,5,FALSE)</f>
        <v>Palo Alto</v>
      </c>
      <c r="R189" s="23" t="str">
        <f>VLOOKUP(O189,$A$4:$F$247,6,FALSE)</f>
        <v>CA</v>
      </c>
      <c r="S189" s="68">
        <f>O189*' 5-Forecast Cash Flow + Profits'!$AG$7</f>
        <v>5580000</v>
      </c>
      <c r="T189" s="68">
        <f>VLOOKUP(O189,$A$4:$C$247,3,FALSE)</f>
        <v>19704.934492269305</v>
      </c>
      <c r="U189" s="68">
        <f>VLOOKUP(O189,$A$4:$D$247,4,FALSE)</f>
        <v>-14837.065507730695</v>
      </c>
      <c r="V189" s="89" t="str">
        <f>IF(S189&lt;$L$6,IF(U189&gt;' 5-Forecast Cash Flow + Profits'!$AG$29,"YES","NO"),"NO")</f>
        <v>NO</v>
      </c>
      <c r="W189" s="89" t="str">
        <f>IF(U189&gt;' 5-Forecast Cash Flow + Profits'!$AG$29, "YES", "NO")</f>
        <v>NO</v>
      </c>
      <c r="X189" s="68">
        <f>T189+X188</f>
        <v>1019245.7928145716</v>
      </c>
      <c r="Y189" s="68">
        <f>VLOOKUP($O189,$A$4:$J$247,7,FALSE)</f>
        <v>-32837.065507730695</v>
      </c>
      <c r="Z189" s="68">
        <f>VLOOKUP($O189,$A$4:$J$247,8,FALSE)</f>
        <v>-8837.0655077306947</v>
      </c>
      <c r="AA189" s="68">
        <f>VLOOKUP($O189,$A$4:$J$247,9,FALSE)</f>
        <v>-8837.0655077306947</v>
      </c>
      <c r="AB189" s="68">
        <f>VLOOKUP($O189,$A$4:$J$247,10,FALSE)</f>
        <v>-14837.065507730695</v>
      </c>
    </row>
    <row r="190" spans="1:28">
      <c r="A190" s="23">
        <f>_xlfn.RANK.EQ(' 5-Forecast Cash Flow + Profits'!AP190,' 5-Forecast Cash Flow + Profits'!$AP$4:$AP$247,0)</f>
        <v>27</v>
      </c>
      <c r="B190" s="23" t="str">
        <f>' 5-Forecast Cash Flow + Profits'!A190</f>
        <v>W47</v>
      </c>
      <c r="C190" s="68">
        <f>' 5-Forecast Cash Flow + Profits'!AD190+' 5-Forecast Cash Flow + Profits'!AI190</f>
        <v>36441.46797209989</v>
      </c>
      <c r="D190" s="68">
        <f>' 5-Forecast Cash Flow + Profits'!AP190</f>
        <v>13575.46797209989</v>
      </c>
      <c r="E190" t="s">
        <v>438</v>
      </c>
      <c r="F190" t="s">
        <v>439</v>
      </c>
      <c r="G190" s="63">
        <f>' 5-Forecast Cash Flow + Profits'!AM190</f>
        <v>-4424.5320279001098</v>
      </c>
      <c r="H190" s="63">
        <f>' 5-Forecast Cash Flow + Profits'!AN190</f>
        <v>19575.46797209989</v>
      </c>
      <c r="I190" s="63">
        <f>' 5-Forecast Cash Flow + Profits'!AO190</f>
        <v>19575.46797209989</v>
      </c>
      <c r="J190" s="63">
        <f>' 5-Forecast Cash Flow + Profits'!AP190</f>
        <v>13575.46797209989</v>
      </c>
      <c r="O190" s="23">
        <v>187</v>
      </c>
      <c r="P190" s="23" t="str">
        <f>VLOOKUP(O190,$A$4:$B$247,2,FALSE)</f>
        <v>W134</v>
      </c>
      <c r="Q190" s="23" t="str">
        <f>VLOOKUP(O190,$A$4:$F$247,5,FALSE)</f>
        <v>Denver</v>
      </c>
      <c r="R190" s="23" t="str">
        <f>VLOOKUP(O190,$A$4:$F$247,6,FALSE)</f>
        <v>CO</v>
      </c>
      <c r="S190" s="68">
        <f>O190*' 5-Forecast Cash Flow + Profits'!$AG$7</f>
        <v>5610000</v>
      </c>
      <c r="T190" s="68">
        <f>VLOOKUP(O190,$A$4:$C$247,3,FALSE)</f>
        <v>-13022.68639534212</v>
      </c>
      <c r="U190" s="68">
        <f>VLOOKUP(O190,$A$4:$D$247,4,FALSE)</f>
        <v>-14871.886395342124</v>
      </c>
      <c r="V190" s="89" t="str">
        <f>IF(S190&lt;$L$6,IF(U190&gt;' 5-Forecast Cash Flow + Profits'!$AG$29,"YES","NO"),"NO")</f>
        <v>NO</v>
      </c>
      <c r="W190" s="89" t="str">
        <f>IF(U190&gt;' 5-Forecast Cash Flow + Profits'!$AG$29, "YES", "NO")</f>
        <v>NO</v>
      </c>
      <c r="X190" s="68">
        <f>T190+X189</f>
        <v>1006223.1064192295</v>
      </c>
      <c r="Y190" s="68">
        <f>VLOOKUP($O190,$A$4:$J$247,7,FALSE)</f>
        <v>-32871.886395342124</v>
      </c>
      <c r="Z190" s="68">
        <f>VLOOKUP($O190,$A$4:$J$247,8,FALSE)</f>
        <v>-8871.8863953421242</v>
      </c>
      <c r="AA190" s="68">
        <f>VLOOKUP($O190,$A$4:$J$247,9,FALSE)</f>
        <v>-8871.8863953421242</v>
      </c>
      <c r="AB190" s="68">
        <f>VLOOKUP($O190,$A$4:$J$247,10,FALSE)</f>
        <v>-14871.886395342124</v>
      </c>
    </row>
    <row r="191" spans="1:28">
      <c r="A191" s="23">
        <f>_xlfn.RANK.EQ(' 5-Forecast Cash Flow + Profits'!AP191,' 5-Forecast Cash Flow + Profits'!$AP$4:$AP$247,0)</f>
        <v>214</v>
      </c>
      <c r="B191" s="23" t="str">
        <f>' 5-Forecast Cash Flow + Profits'!A191</f>
        <v>W48</v>
      </c>
      <c r="C191" s="68">
        <f>' 5-Forecast Cash Flow + Profits'!AD191+' 5-Forecast Cash Flow + Profits'!AI191</f>
        <v>3341.9293639050011</v>
      </c>
      <c r="D191" s="68">
        <f>' 5-Forecast Cash Flow + Profits'!AP191</f>
        <v>-18356.470636095</v>
      </c>
      <c r="E191" t="s">
        <v>438</v>
      </c>
      <c r="F191" t="s">
        <v>439</v>
      </c>
      <c r="G191" s="63">
        <f>' 5-Forecast Cash Flow + Profits'!AM191</f>
        <v>-36356.470636095</v>
      </c>
      <c r="H191" s="63">
        <f>' 5-Forecast Cash Flow + Profits'!AN191</f>
        <v>-12356.470636095</v>
      </c>
      <c r="I191" s="63">
        <f>' 5-Forecast Cash Flow + Profits'!AO191</f>
        <v>-12356.470636095</v>
      </c>
      <c r="J191" s="63">
        <f>' 5-Forecast Cash Flow + Profits'!AP191</f>
        <v>-18356.470636095</v>
      </c>
      <c r="O191" s="23">
        <v>188</v>
      </c>
      <c r="P191" s="23" t="str">
        <f>VLOOKUP(O191,$A$4:$B$247,2,FALSE)</f>
        <v>W241</v>
      </c>
      <c r="Q191" s="23" t="str">
        <f>VLOOKUP(O191,$A$4:$F$247,5,FALSE)</f>
        <v>Charleston</v>
      </c>
      <c r="R191" s="23" t="str">
        <f>VLOOKUP(O191,$A$4:$F$247,6,FALSE)</f>
        <v>SC</v>
      </c>
      <c r="S191" s="68">
        <f>O191*' 5-Forecast Cash Flow + Profits'!$AG$7</f>
        <v>5640000</v>
      </c>
      <c r="T191" s="68">
        <f>VLOOKUP(O191,$A$4:$C$247,3,FALSE)</f>
        <v>-19445.39745171924</v>
      </c>
      <c r="U191" s="68">
        <f>VLOOKUP(O191,$A$4:$D$247,4,FALSE)</f>
        <v>-14872.797451719236</v>
      </c>
      <c r="V191" s="89" t="str">
        <f>IF(S191&lt;$L$6,IF(U191&gt;' 5-Forecast Cash Flow + Profits'!$AG$29,"YES","NO"),"NO")</f>
        <v>NO</v>
      </c>
      <c r="W191" s="89" t="str">
        <f>IF(U191&gt;' 5-Forecast Cash Flow + Profits'!$AG$29, "YES", "NO")</f>
        <v>NO</v>
      </c>
      <c r="X191" s="68">
        <f>T191+X190</f>
        <v>986777.70896751026</v>
      </c>
      <c r="Y191" s="68">
        <f>VLOOKUP($O191,$A$4:$J$247,7,FALSE)</f>
        <v>-32872.797451719242</v>
      </c>
      <c r="Z191" s="68">
        <f>VLOOKUP($O191,$A$4:$J$247,8,FALSE)</f>
        <v>-8872.7974517192361</v>
      </c>
      <c r="AA191" s="68">
        <f>VLOOKUP($O191,$A$4:$J$247,9,FALSE)</f>
        <v>-8872.7974517192361</v>
      </c>
      <c r="AB191" s="68">
        <f>VLOOKUP($O191,$A$4:$J$247,10,FALSE)</f>
        <v>-14872.797451719236</v>
      </c>
    </row>
    <row r="192" spans="1:28">
      <c r="A192" s="23">
        <f>_xlfn.RANK.EQ(' 5-Forecast Cash Flow + Profits'!AP192,' 5-Forecast Cash Flow + Profits'!$AP$4:$AP$247,0)</f>
        <v>218</v>
      </c>
      <c r="B192" s="23" t="str">
        <f>' 5-Forecast Cash Flow + Profits'!A192</f>
        <v>W49</v>
      </c>
      <c r="C192" s="68">
        <f>' 5-Forecast Cash Flow + Profits'!AD192+' 5-Forecast Cash Flow + Profits'!AI192</f>
        <v>11257.368466000902</v>
      </c>
      <c r="D192" s="68">
        <f>' 5-Forecast Cash Flow + Profits'!AP192</f>
        <v>-19781.831533999091</v>
      </c>
      <c r="E192" t="s">
        <v>438</v>
      </c>
      <c r="F192" t="s">
        <v>439</v>
      </c>
      <c r="G192" s="63">
        <f>' 5-Forecast Cash Flow + Profits'!AM192</f>
        <v>-37781.831533999095</v>
      </c>
      <c r="H192" s="63">
        <f>' 5-Forecast Cash Flow + Profits'!AN192</f>
        <v>-13781.831533999091</v>
      </c>
      <c r="I192" s="63">
        <f>' 5-Forecast Cash Flow + Profits'!AO192</f>
        <v>-13781.831533999091</v>
      </c>
      <c r="J192" s="63">
        <f>' 5-Forecast Cash Flow + Profits'!AP192</f>
        <v>-19781.831533999091</v>
      </c>
      <c r="O192" s="23">
        <v>189</v>
      </c>
      <c r="P192" s="23" t="str">
        <f>VLOOKUP(O192,$A$4:$B$247,2,FALSE)</f>
        <v>W1</v>
      </c>
      <c r="Q192" s="23" t="str">
        <f>VLOOKUP(O192,$A$4:$F$247,5,FALSE)</f>
        <v>Chapel Hill</v>
      </c>
      <c r="R192" s="23" t="str">
        <f>VLOOKUP(O192,$A$4:$F$247,6,FALSE)</f>
        <v>NC</v>
      </c>
      <c r="S192" s="68">
        <f>O192*' 5-Forecast Cash Flow + Profits'!$AG$7</f>
        <v>5670000</v>
      </c>
      <c r="T192" s="68">
        <f>VLOOKUP(O192,$A$4:$C$247,3,FALSE)</f>
        <v>-20513.879943023225</v>
      </c>
      <c r="U192" s="68">
        <f>VLOOKUP(O192,$A$4:$D$247,4,FALSE)</f>
        <v>-14890.439943023228</v>
      </c>
      <c r="V192" s="89" t="str">
        <f>IF(S192&lt;$L$6,IF(U192&gt;' 5-Forecast Cash Flow + Profits'!$AG$29,"YES","NO"),"NO")</f>
        <v>NO</v>
      </c>
      <c r="W192" s="89" t="str">
        <f>IF(U192&gt;' 5-Forecast Cash Flow + Profits'!$AG$29, "YES", "NO")</f>
        <v>NO</v>
      </c>
      <c r="X192" s="68">
        <f>T192+X191</f>
        <v>966263.82902448706</v>
      </c>
      <c r="Y192" s="68">
        <f>VLOOKUP($O192,$A$4:$J$247,7,FALSE)</f>
        <v>-32890.439943023222</v>
      </c>
      <c r="Z192" s="68">
        <f>VLOOKUP($O192,$A$4:$J$247,8,FALSE)</f>
        <v>-8890.4399430232279</v>
      </c>
      <c r="AA192" s="68">
        <f>VLOOKUP($O192,$A$4:$J$247,9,FALSE)</f>
        <v>-8890.4399430232279</v>
      </c>
      <c r="AB192" s="68">
        <f>VLOOKUP($O192,$A$4:$J$247,10,FALSE)</f>
        <v>-14890.439943023228</v>
      </c>
    </row>
    <row r="193" spans="1:28">
      <c r="A193" s="23">
        <f>_xlfn.RANK.EQ(' 5-Forecast Cash Flow + Profits'!AP193,' 5-Forecast Cash Flow + Profits'!$AP$4:$AP$247,0)</f>
        <v>197</v>
      </c>
      <c r="B193" s="23" t="str">
        <f>' 5-Forecast Cash Flow + Profits'!A193</f>
        <v>W5</v>
      </c>
      <c r="C193" s="68">
        <f>' 5-Forecast Cash Flow + Profits'!AD193+' 5-Forecast Cash Flow + Profits'!AI193</f>
        <v>-21105.289959945418</v>
      </c>
      <c r="D193" s="68">
        <f>' 5-Forecast Cash Flow + Profits'!AP193</f>
        <v>-15948.889959945422</v>
      </c>
      <c r="E193" t="s">
        <v>415</v>
      </c>
      <c r="F193" t="s">
        <v>416</v>
      </c>
      <c r="G193" s="63">
        <f>' 5-Forecast Cash Flow + Profits'!AM193</f>
        <v>-33948.889959945416</v>
      </c>
      <c r="H193" s="63">
        <f>' 5-Forecast Cash Flow + Profits'!AN193</f>
        <v>-9948.8899599454217</v>
      </c>
      <c r="I193" s="63">
        <f>' 5-Forecast Cash Flow + Profits'!AO193</f>
        <v>-9948.8899599454217</v>
      </c>
      <c r="J193" s="63">
        <f>' 5-Forecast Cash Flow + Profits'!AP193</f>
        <v>-15948.889959945422</v>
      </c>
      <c r="O193" s="23">
        <v>190</v>
      </c>
      <c r="P193" s="23" t="str">
        <f>VLOOKUP(O193,$A$4:$B$247,2,FALSE)</f>
        <v>W64</v>
      </c>
      <c r="Q193" s="23" t="str">
        <f>VLOOKUP(O193,$A$4:$F$247,5,FALSE)</f>
        <v>Palo Alto</v>
      </c>
      <c r="R193" s="23" t="str">
        <f>VLOOKUP(O193,$A$4:$F$247,6,FALSE)</f>
        <v>CA</v>
      </c>
      <c r="S193" s="68">
        <f>O193*' 5-Forecast Cash Flow + Profits'!$AG$7</f>
        <v>5700000</v>
      </c>
      <c r="T193" s="68">
        <f>VLOOKUP(O193,$A$4:$C$247,3,FALSE)</f>
        <v>-6231.637464778345</v>
      </c>
      <c r="U193" s="68">
        <f>VLOOKUP(O193,$A$4:$D$247,4,FALSE)</f>
        <v>-15028.057464778347</v>
      </c>
      <c r="V193" s="89" t="str">
        <f>IF(S193&lt;$L$6,IF(U193&gt;' 5-Forecast Cash Flow + Profits'!$AG$29,"YES","NO"),"NO")</f>
        <v>NO</v>
      </c>
      <c r="W193" s="89" t="str">
        <f>IF(U193&gt;' 5-Forecast Cash Flow + Profits'!$AG$29, "YES", "NO")</f>
        <v>NO</v>
      </c>
      <c r="X193" s="68">
        <f>T193+X192</f>
        <v>960032.19155970868</v>
      </c>
      <c r="Y193" s="68">
        <f>VLOOKUP($O193,$A$4:$J$247,7,FALSE)</f>
        <v>-33028.057464778343</v>
      </c>
      <c r="Z193" s="68">
        <f>VLOOKUP($O193,$A$4:$J$247,8,FALSE)</f>
        <v>-9028.0574647783469</v>
      </c>
      <c r="AA193" s="68">
        <f>VLOOKUP($O193,$A$4:$J$247,9,FALSE)</f>
        <v>-9028.0574647783469</v>
      </c>
      <c r="AB193" s="68">
        <f>VLOOKUP($O193,$A$4:$J$247,10,FALSE)</f>
        <v>-15028.057464778347</v>
      </c>
    </row>
    <row r="194" spans="1:28">
      <c r="A194" s="23">
        <f>_xlfn.RANK.EQ(' 5-Forecast Cash Flow + Profits'!AP194,' 5-Forecast Cash Flow + Profits'!$AP$4:$AP$247,0)</f>
        <v>30</v>
      </c>
      <c r="B194" s="23" t="str">
        <f>' 5-Forecast Cash Flow + Profits'!A194</f>
        <v>W50</v>
      </c>
      <c r="C194" s="68">
        <f>' 5-Forecast Cash Flow + Profits'!AD194+' 5-Forecast Cash Flow + Profits'!AI194</f>
        <v>29491.960731291707</v>
      </c>
      <c r="D194" s="68">
        <f>' 5-Forecast Cash Flow + Profits'!AP194</f>
        <v>12463.960731291707</v>
      </c>
      <c r="E194" t="s">
        <v>438</v>
      </c>
      <c r="F194" t="s">
        <v>439</v>
      </c>
      <c r="G194" s="63">
        <f>' 5-Forecast Cash Flow + Profits'!AM194</f>
        <v>-5536.0392687082931</v>
      </c>
      <c r="H194" s="63">
        <f>' 5-Forecast Cash Flow + Profits'!AN194</f>
        <v>18463.960731291707</v>
      </c>
      <c r="I194" s="63">
        <f>' 5-Forecast Cash Flow + Profits'!AO194</f>
        <v>18463.960731291707</v>
      </c>
      <c r="J194" s="63">
        <f>' 5-Forecast Cash Flow + Profits'!AP194</f>
        <v>12463.960731291707</v>
      </c>
      <c r="O194" s="23">
        <v>191</v>
      </c>
      <c r="P194" s="23" t="str">
        <f>VLOOKUP(O194,$A$4:$B$247,2,FALSE)</f>
        <v>W136</v>
      </c>
      <c r="Q194" s="23" t="str">
        <f>VLOOKUP(O194,$A$4:$F$247,5,FALSE)</f>
        <v>Denver</v>
      </c>
      <c r="R194" s="23" t="str">
        <f>VLOOKUP(O194,$A$4:$F$247,6,FALSE)</f>
        <v>CO</v>
      </c>
      <c r="S194" s="68">
        <f>O194*' 5-Forecast Cash Flow + Profits'!$AG$7</f>
        <v>5730000</v>
      </c>
      <c r="T194" s="68">
        <f>VLOOKUP(O194,$A$4:$C$247,3,FALSE)</f>
        <v>-10894.167575889795</v>
      </c>
      <c r="U194" s="68">
        <f>VLOOKUP(O194,$A$4:$D$247,4,FALSE)</f>
        <v>-15078.567575889792</v>
      </c>
      <c r="V194" s="89" t="str">
        <f>IF(S194&lt;$L$6,IF(U194&gt;' 5-Forecast Cash Flow + Profits'!$AG$29,"YES","NO"),"NO")</f>
        <v>NO</v>
      </c>
      <c r="W194" s="89" t="str">
        <f>IF(U194&gt;' 5-Forecast Cash Flow + Profits'!$AG$29, "YES", "NO")</f>
        <v>NO</v>
      </c>
      <c r="X194" s="68">
        <f>T194+X193</f>
        <v>949138.02398381883</v>
      </c>
      <c r="Y194" s="68">
        <f>VLOOKUP($O194,$A$4:$J$247,7,FALSE)</f>
        <v>-33078.567575889792</v>
      </c>
      <c r="Z194" s="68">
        <f>VLOOKUP($O194,$A$4:$J$247,8,FALSE)</f>
        <v>-9078.5675758897924</v>
      </c>
      <c r="AA194" s="68">
        <f>VLOOKUP($O194,$A$4:$J$247,9,FALSE)</f>
        <v>-9078.5675758897924</v>
      </c>
      <c r="AB194" s="68">
        <f>VLOOKUP($O194,$A$4:$J$247,10,FALSE)</f>
        <v>-15078.567575889792</v>
      </c>
    </row>
    <row r="195" spans="1:28">
      <c r="A195" s="23">
        <f>_xlfn.RANK.EQ(' 5-Forecast Cash Flow + Profits'!AP195,' 5-Forecast Cash Flow + Profits'!$AP$4:$AP$247,0)</f>
        <v>88</v>
      </c>
      <c r="B195" s="23" t="str">
        <f>' 5-Forecast Cash Flow + Profits'!A195</f>
        <v>W51</v>
      </c>
      <c r="C195" s="68">
        <f>' 5-Forecast Cash Flow + Profits'!AD195+' 5-Forecast Cash Flow + Profits'!AI195</f>
        <v>25850.009824458619</v>
      </c>
      <c r="D195" s="68">
        <f>' 5-Forecast Cash Flow + Profits'!AP195</f>
        <v>-1686.390175541379</v>
      </c>
      <c r="E195" t="s">
        <v>438</v>
      </c>
      <c r="F195" t="s">
        <v>439</v>
      </c>
      <c r="G195" s="63">
        <f>' 5-Forecast Cash Flow + Profits'!AM195</f>
        <v>-19686.390175541383</v>
      </c>
      <c r="H195" s="63">
        <f>' 5-Forecast Cash Flow + Profits'!AN195</f>
        <v>4313.609824458621</v>
      </c>
      <c r="I195" s="63">
        <f>' 5-Forecast Cash Flow + Profits'!AO195</f>
        <v>4313.609824458621</v>
      </c>
      <c r="J195" s="63">
        <f>' 5-Forecast Cash Flow + Profits'!AP195</f>
        <v>-1686.390175541379</v>
      </c>
      <c r="O195" s="23">
        <v>192</v>
      </c>
      <c r="P195" s="23" t="str">
        <f>VLOOKUP(O195,$A$4:$B$247,2,FALSE)</f>
        <v>W145</v>
      </c>
      <c r="Q195" s="23" t="str">
        <f>VLOOKUP(O195,$A$4:$F$247,5,FALSE)</f>
        <v>Denver</v>
      </c>
      <c r="R195" s="23" t="str">
        <f>VLOOKUP(O195,$A$4:$F$247,6,FALSE)</f>
        <v>CO</v>
      </c>
      <c r="S195" s="68">
        <f>O195*' 5-Forecast Cash Flow + Profits'!$AG$7</f>
        <v>5760000</v>
      </c>
      <c r="T195" s="68">
        <f>VLOOKUP(O195,$A$4:$C$247,3,FALSE)</f>
        <v>-22697.709356534153</v>
      </c>
      <c r="U195" s="68">
        <f>VLOOKUP(O195,$A$4:$D$247,4,FALSE)</f>
        <v>-15206.109356534153</v>
      </c>
      <c r="V195" s="89" t="str">
        <f>IF(S195&lt;$L$6,IF(U195&gt;' 5-Forecast Cash Flow + Profits'!$AG$29,"YES","NO"),"NO")</f>
        <v>NO</v>
      </c>
      <c r="W195" s="89" t="str">
        <f>IF(U195&gt;' 5-Forecast Cash Flow + Profits'!$AG$29, "YES", "NO")</f>
        <v>NO</v>
      </c>
      <c r="X195" s="68">
        <f>T195+X194</f>
        <v>926440.31462728465</v>
      </c>
      <c r="Y195" s="68">
        <f>VLOOKUP($O195,$A$4:$J$247,7,FALSE)</f>
        <v>-33206.109356534151</v>
      </c>
      <c r="Z195" s="68">
        <f>VLOOKUP($O195,$A$4:$J$247,8,FALSE)</f>
        <v>-9206.1093565341525</v>
      </c>
      <c r="AA195" s="68">
        <f>VLOOKUP($O195,$A$4:$J$247,9,FALSE)</f>
        <v>-9206.1093565341525</v>
      </c>
      <c r="AB195" s="68">
        <f>VLOOKUP($O195,$A$4:$J$247,10,FALSE)</f>
        <v>-15206.109356534153</v>
      </c>
    </row>
    <row r="196" spans="1:28">
      <c r="A196" s="23">
        <f>_xlfn.RANK.EQ(' 5-Forecast Cash Flow + Profits'!AP196,' 5-Forecast Cash Flow + Profits'!$AP$4:$AP$247,0)</f>
        <v>137</v>
      </c>
      <c r="B196" s="23" t="str">
        <f>' 5-Forecast Cash Flow + Profits'!A196</f>
        <v>W52</v>
      </c>
      <c r="C196" s="68">
        <f>' 5-Forecast Cash Flow + Profits'!AD196+' 5-Forecast Cash Flow + Profits'!AI196</f>
        <v>15838.832758167679</v>
      </c>
      <c r="D196" s="68">
        <f>' 5-Forecast Cash Flow + Profits'!AP196</f>
        <v>-8194.7672418323164</v>
      </c>
      <c r="E196" t="s">
        <v>438</v>
      </c>
      <c r="F196" t="s">
        <v>439</v>
      </c>
      <c r="G196" s="63">
        <f>' 5-Forecast Cash Flow + Profits'!AM196</f>
        <v>-26194.76724183232</v>
      </c>
      <c r="H196" s="63">
        <f>' 5-Forecast Cash Flow + Profits'!AN196</f>
        <v>-2194.7672418323164</v>
      </c>
      <c r="I196" s="63">
        <f>' 5-Forecast Cash Flow + Profits'!AO196</f>
        <v>-2194.7672418323164</v>
      </c>
      <c r="J196" s="63">
        <f>' 5-Forecast Cash Flow + Profits'!AP196</f>
        <v>-8194.7672418323164</v>
      </c>
      <c r="O196" s="23">
        <v>193</v>
      </c>
      <c r="P196" s="23" t="str">
        <f>VLOOKUP(O196,$A$4:$B$247,2,FALSE)</f>
        <v>W133</v>
      </c>
      <c r="Q196" s="23" t="str">
        <f>VLOOKUP(O196,$A$4:$F$247,5,FALSE)</f>
        <v>Denver</v>
      </c>
      <c r="R196" s="23" t="str">
        <f>VLOOKUP(O196,$A$4:$F$247,6,FALSE)</f>
        <v>CO</v>
      </c>
      <c r="S196" s="68">
        <f>O196*' 5-Forecast Cash Flow + Profits'!$AG$7</f>
        <v>5790000</v>
      </c>
      <c r="T196" s="68">
        <f>VLOOKUP(O196,$A$4:$C$247,3,FALSE)</f>
        <v>-18148.239875334457</v>
      </c>
      <c r="U196" s="68">
        <f>VLOOKUP(O196,$A$4:$D$247,4,FALSE)</f>
        <v>-15327.03987533446</v>
      </c>
      <c r="V196" s="89" t="str">
        <f>IF(S196&lt;$L$6,IF(U196&gt;' 5-Forecast Cash Flow + Profits'!$AG$29,"YES","NO"),"NO")</f>
        <v>NO</v>
      </c>
      <c r="W196" s="89" t="str">
        <f>IF(U196&gt;' 5-Forecast Cash Flow + Profits'!$AG$29, "YES", "NO")</f>
        <v>NO</v>
      </c>
      <c r="X196" s="68">
        <f>T196+X195</f>
        <v>908292.07475195022</v>
      </c>
      <c r="Y196" s="68">
        <f>VLOOKUP($O196,$A$4:$J$247,7,FALSE)</f>
        <v>-33327.039875334456</v>
      </c>
      <c r="Z196" s="68">
        <f>VLOOKUP($O196,$A$4:$J$247,8,FALSE)</f>
        <v>-9327.0398753344598</v>
      </c>
      <c r="AA196" s="68">
        <f>VLOOKUP($O196,$A$4:$J$247,9,FALSE)</f>
        <v>-9327.0398753344598</v>
      </c>
      <c r="AB196" s="68">
        <f>VLOOKUP($O196,$A$4:$J$247,10,FALSE)</f>
        <v>-15327.03987533446</v>
      </c>
    </row>
    <row r="197" spans="1:28">
      <c r="A197" s="23">
        <f>_xlfn.RANK.EQ(' 5-Forecast Cash Flow + Profits'!AP197,' 5-Forecast Cash Flow + Profits'!$AP$4:$AP$247,0)</f>
        <v>233</v>
      </c>
      <c r="B197" s="23" t="str">
        <f>' 5-Forecast Cash Flow + Profits'!A197</f>
        <v>W53</v>
      </c>
      <c r="C197" s="68">
        <f>' 5-Forecast Cash Flow + Profits'!AD197+' 5-Forecast Cash Flow + Profits'!AI197</f>
        <v>-2181.4508356255246</v>
      </c>
      <c r="D197" s="68">
        <f>' 5-Forecast Cash Flow + Profits'!AP197</f>
        <v>-25047.450835625525</v>
      </c>
      <c r="E197" t="s">
        <v>438</v>
      </c>
      <c r="F197" t="s">
        <v>439</v>
      </c>
      <c r="G197" s="63">
        <f>' 5-Forecast Cash Flow + Profits'!AM197</f>
        <v>-43047.450835625525</v>
      </c>
      <c r="H197" s="63">
        <f>' 5-Forecast Cash Flow + Profits'!AN197</f>
        <v>-19047.450835625525</v>
      </c>
      <c r="I197" s="63">
        <f>' 5-Forecast Cash Flow + Profits'!AO197</f>
        <v>-19047.450835625525</v>
      </c>
      <c r="J197" s="63">
        <f>' 5-Forecast Cash Flow + Profits'!AP197</f>
        <v>-25047.450835625525</v>
      </c>
      <c r="O197" s="23">
        <v>194</v>
      </c>
      <c r="P197" s="23" t="str">
        <f>VLOOKUP(O197,$A$4:$B$247,2,FALSE)</f>
        <v>W43</v>
      </c>
      <c r="Q197" s="23" t="str">
        <f>VLOOKUP(O197,$A$4:$F$247,5,FALSE)</f>
        <v>New York</v>
      </c>
      <c r="R197" s="23" t="str">
        <f>VLOOKUP(O197,$A$4:$F$247,6,FALSE)</f>
        <v>NY</v>
      </c>
      <c r="S197" s="68">
        <f>O197*' 5-Forecast Cash Flow + Profits'!$AG$7</f>
        <v>5820000</v>
      </c>
      <c r="T197" s="68">
        <f>VLOOKUP(O197,$A$4:$C$247,3,FALSE)</f>
        <v>13329.090175011916</v>
      </c>
      <c r="U197" s="68">
        <f>VLOOKUP(O197,$A$4:$D$247,4,FALSE)</f>
        <v>-15374.909824988084</v>
      </c>
      <c r="V197" s="89" t="str">
        <f>IF(S197&lt;$L$6,IF(U197&gt;' 5-Forecast Cash Flow + Profits'!$AG$29,"YES","NO"),"NO")</f>
        <v>NO</v>
      </c>
      <c r="W197" s="89" t="str">
        <f>IF(U197&gt;' 5-Forecast Cash Flow + Profits'!$AG$29, "YES", "NO")</f>
        <v>NO</v>
      </c>
      <c r="X197" s="68">
        <f>T197+X196</f>
        <v>921621.16492696211</v>
      </c>
      <c r="Y197" s="68">
        <f>VLOOKUP($O197,$A$4:$J$247,7,FALSE)</f>
        <v>-33374.909824988084</v>
      </c>
      <c r="Z197" s="68">
        <f>VLOOKUP($O197,$A$4:$J$247,8,FALSE)</f>
        <v>-9374.9098249880826</v>
      </c>
      <c r="AA197" s="68">
        <f>VLOOKUP($O197,$A$4:$J$247,9,FALSE)</f>
        <v>-9374.9098249880826</v>
      </c>
      <c r="AB197" s="68">
        <f>VLOOKUP($O197,$A$4:$J$247,10,FALSE)</f>
        <v>-15374.909824988084</v>
      </c>
    </row>
    <row r="198" spans="1:28">
      <c r="A198" s="23">
        <f>_xlfn.RANK.EQ(' 5-Forecast Cash Flow + Profits'!AP198,' 5-Forecast Cash Flow + Profits'!$AP$4:$AP$247,0)</f>
        <v>39</v>
      </c>
      <c r="B198" s="23" t="str">
        <f>' 5-Forecast Cash Flow + Profits'!A198</f>
        <v>W54</v>
      </c>
      <c r="C198" s="68">
        <f>' 5-Forecast Cash Flow + Profits'!AD198+' 5-Forecast Cash Flow + Profits'!AI198</f>
        <v>18187.63016245624</v>
      </c>
      <c r="D198" s="68">
        <f>' 5-Forecast Cash Flow + Profits'!AP198</f>
        <v>6997.6301624562402</v>
      </c>
      <c r="E198" t="s">
        <v>438</v>
      </c>
      <c r="F198" t="s">
        <v>439</v>
      </c>
      <c r="G198" s="63">
        <f>' 5-Forecast Cash Flow + Profits'!AM198</f>
        <v>-11002.36983754376</v>
      </c>
      <c r="H198" s="63">
        <f>' 5-Forecast Cash Flow + Profits'!AN198</f>
        <v>12997.63016245624</v>
      </c>
      <c r="I198" s="63">
        <f>' 5-Forecast Cash Flow + Profits'!AO198</f>
        <v>12997.63016245624</v>
      </c>
      <c r="J198" s="63">
        <f>' 5-Forecast Cash Flow + Profits'!AP198</f>
        <v>6997.6301624562402</v>
      </c>
      <c r="O198" s="23">
        <v>195</v>
      </c>
      <c r="P198" s="23" t="str">
        <f>VLOOKUP(O198,$A$4:$B$247,2,FALSE)</f>
        <v>W242</v>
      </c>
      <c r="Q198" s="23" t="str">
        <f>VLOOKUP(O198,$A$4:$F$247,5,FALSE)</f>
        <v>Charleston</v>
      </c>
      <c r="R198" s="23" t="str">
        <f>VLOOKUP(O198,$A$4:$F$247,6,FALSE)</f>
        <v>SC</v>
      </c>
      <c r="S198" s="68">
        <f>O198*' 5-Forecast Cash Flow + Profits'!$AG$7</f>
        <v>5850000</v>
      </c>
      <c r="T198" s="68">
        <f>VLOOKUP(O198,$A$4:$C$247,3,FALSE)</f>
        <v>-10165.099224672693</v>
      </c>
      <c r="U198" s="68">
        <f>VLOOKUP(O198,$A$4:$D$247,4,FALSE)</f>
        <v>-15517.099224672693</v>
      </c>
      <c r="V198" s="89" t="str">
        <f>IF(S198&lt;$L$6,IF(U198&gt;' 5-Forecast Cash Flow + Profits'!$AG$29,"YES","NO"),"NO")</f>
        <v>NO</v>
      </c>
      <c r="W198" s="89" t="str">
        <f>IF(U198&gt;' 5-Forecast Cash Flow + Profits'!$AG$29, "YES", "NO")</f>
        <v>NO</v>
      </c>
      <c r="X198" s="68">
        <f>T198+X197</f>
        <v>911456.06570228946</v>
      </c>
      <c r="Y198" s="68">
        <f>VLOOKUP($O198,$A$4:$J$247,7,FALSE)</f>
        <v>-33517.099224672696</v>
      </c>
      <c r="Z198" s="68">
        <f>VLOOKUP($O198,$A$4:$J$247,8,FALSE)</f>
        <v>-9517.0992246726928</v>
      </c>
      <c r="AA198" s="68">
        <f>VLOOKUP($O198,$A$4:$J$247,9,FALSE)</f>
        <v>-9517.0992246726928</v>
      </c>
      <c r="AB198" s="68">
        <f>VLOOKUP($O198,$A$4:$J$247,10,FALSE)</f>
        <v>-15517.099224672693</v>
      </c>
    </row>
    <row r="199" spans="1:28">
      <c r="A199" s="23">
        <f>_xlfn.RANK.EQ(' 5-Forecast Cash Flow + Profits'!AP199,' 5-Forecast Cash Flow + Profits'!$AP$4:$AP$247,0)</f>
        <v>84</v>
      </c>
      <c r="B199" s="23" t="str">
        <f>' 5-Forecast Cash Flow + Profits'!A199</f>
        <v>W55</v>
      </c>
      <c r="C199" s="68">
        <f>' 5-Forecast Cash Flow + Profits'!AD199+' 5-Forecast Cash Flow + Profits'!AI199</f>
        <v>15779.822955318232</v>
      </c>
      <c r="D199" s="68">
        <f>' 5-Forecast Cash Flow + Profits'!AP199</f>
        <v>-1248.1770446817682</v>
      </c>
      <c r="E199" t="s">
        <v>438</v>
      </c>
      <c r="F199" t="s">
        <v>439</v>
      </c>
      <c r="G199" s="63">
        <f>' 5-Forecast Cash Flow + Profits'!AM199</f>
        <v>-19248.177044681768</v>
      </c>
      <c r="H199" s="63">
        <f>' 5-Forecast Cash Flow + Profits'!AN199</f>
        <v>4751.8229553182318</v>
      </c>
      <c r="I199" s="63">
        <f>' 5-Forecast Cash Flow + Profits'!AO199</f>
        <v>4751.8229553182318</v>
      </c>
      <c r="J199" s="63">
        <f>' 5-Forecast Cash Flow + Profits'!AP199</f>
        <v>-1248.1770446817682</v>
      </c>
      <c r="O199" s="23">
        <v>196</v>
      </c>
      <c r="P199" s="23" t="str">
        <f>VLOOKUP(O199,$A$4:$B$247,2,FALSE)</f>
        <v>W210</v>
      </c>
      <c r="Q199" s="23" t="str">
        <f>VLOOKUP(O199,$A$4:$F$247,5,FALSE)</f>
        <v>Columbus</v>
      </c>
      <c r="R199" s="23" t="str">
        <f>VLOOKUP(O199,$A$4:$F$247,6,FALSE)</f>
        <v>OH</v>
      </c>
      <c r="S199" s="68">
        <f>O199*' 5-Forecast Cash Flow + Profits'!$AG$7</f>
        <v>5880000</v>
      </c>
      <c r="T199" s="68">
        <f>VLOOKUP(O199,$A$4:$C$247,3,FALSE)</f>
        <v>-18345.376547641856</v>
      </c>
      <c r="U199" s="68">
        <f>VLOOKUP(O199,$A$4:$D$247,4,FALSE)</f>
        <v>-15524.176547641859</v>
      </c>
      <c r="V199" s="89" t="str">
        <f>IF(S199&lt;$L$6,IF(U199&gt;' 5-Forecast Cash Flow + Profits'!$AG$29,"YES","NO"),"NO")</f>
        <v>NO</v>
      </c>
      <c r="W199" s="89" t="str">
        <f>IF(U199&gt;' 5-Forecast Cash Flow + Profits'!$AG$29, "YES", "NO")</f>
        <v>NO</v>
      </c>
      <c r="X199" s="68">
        <f>T199+X198</f>
        <v>893110.68915464764</v>
      </c>
      <c r="Y199" s="68">
        <f>VLOOKUP($O199,$A$4:$J$247,7,FALSE)</f>
        <v>-33524.176547641851</v>
      </c>
      <c r="Z199" s="68">
        <f>VLOOKUP($O199,$A$4:$J$247,8,FALSE)</f>
        <v>-9524.1765476418586</v>
      </c>
      <c r="AA199" s="68">
        <f>VLOOKUP($O199,$A$4:$J$247,9,FALSE)</f>
        <v>-9524.1765476418586</v>
      </c>
      <c r="AB199" s="68">
        <f>VLOOKUP($O199,$A$4:$J$247,10,FALSE)</f>
        <v>-15524.176547641859</v>
      </c>
    </row>
    <row r="200" spans="1:28">
      <c r="A200" s="23">
        <f>_xlfn.RANK.EQ(' 5-Forecast Cash Flow + Profits'!AP200,' 5-Forecast Cash Flow + Profits'!$AP$4:$AP$247,0)</f>
        <v>231</v>
      </c>
      <c r="B200" s="23" t="str">
        <f>' 5-Forecast Cash Flow + Profits'!A200</f>
        <v>W56</v>
      </c>
      <c r="C200" s="68">
        <f>' 5-Forecast Cash Flow + Profits'!AD200+' 5-Forecast Cash Flow + Profits'!AI200</f>
        <v>-7181.29616568239</v>
      </c>
      <c r="D200" s="68">
        <f>' 5-Forecast Cash Flow + Profits'!AP200</f>
        <v>-24209.296165682394</v>
      </c>
      <c r="E200" t="s">
        <v>438</v>
      </c>
      <c r="F200" t="s">
        <v>439</v>
      </c>
      <c r="G200" s="63">
        <f>' 5-Forecast Cash Flow + Profits'!AM200</f>
        <v>-42209.29616568239</v>
      </c>
      <c r="H200" s="63">
        <f>' 5-Forecast Cash Flow + Profits'!AN200</f>
        <v>-18209.296165682394</v>
      </c>
      <c r="I200" s="63">
        <f>' 5-Forecast Cash Flow + Profits'!AO200</f>
        <v>-18209.296165682394</v>
      </c>
      <c r="J200" s="63">
        <f>' 5-Forecast Cash Flow + Profits'!AP200</f>
        <v>-24209.296165682394</v>
      </c>
      <c r="O200" s="23">
        <v>197</v>
      </c>
      <c r="P200" s="23" t="str">
        <f>VLOOKUP(O200,$A$4:$B$247,2,FALSE)</f>
        <v>W5</v>
      </c>
      <c r="Q200" s="23" t="str">
        <f>VLOOKUP(O200,$A$4:$F$247,5,FALSE)</f>
        <v>Chapel Hill</v>
      </c>
      <c r="R200" s="23" t="str">
        <f>VLOOKUP(O200,$A$4:$F$247,6,FALSE)</f>
        <v>NC</v>
      </c>
      <c r="S200" s="68">
        <f>O200*' 5-Forecast Cash Flow + Profits'!$AG$7</f>
        <v>5910000</v>
      </c>
      <c r="T200" s="68">
        <f>VLOOKUP(O200,$A$4:$C$247,3,FALSE)</f>
        <v>-21105.289959945418</v>
      </c>
      <c r="U200" s="68">
        <f>VLOOKUP(O200,$A$4:$D$247,4,FALSE)</f>
        <v>-15948.889959945422</v>
      </c>
      <c r="V200" s="89" t="str">
        <f>IF(S200&lt;$L$6,IF(U200&gt;' 5-Forecast Cash Flow + Profits'!$AG$29,"YES","NO"),"NO")</f>
        <v>NO</v>
      </c>
      <c r="W200" s="89" t="str">
        <f>IF(U200&gt;' 5-Forecast Cash Flow + Profits'!$AG$29, "YES", "NO")</f>
        <v>NO</v>
      </c>
      <c r="X200" s="68">
        <f>T200+X199</f>
        <v>872005.39919470227</v>
      </c>
      <c r="Y200" s="68">
        <f>VLOOKUP($O200,$A$4:$J$247,7,FALSE)</f>
        <v>-33948.889959945416</v>
      </c>
      <c r="Z200" s="68">
        <f>VLOOKUP($O200,$A$4:$J$247,8,FALSE)</f>
        <v>-9948.8899599454217</v>
      </c>
      <c r="AA200" s="68">
        <f>VLOOKUP($O200,$A$4:$J$247,9,FALSE)</f>
        <v>-9948.8899599454217</v>
      </c>
      <c r="AB200" s="68">
        <f>VLOOKUP($O200,$A$4:$J$247,10,FALSE)</f>
        <v>-15948.889959945422</v>
      </c>
    </row>
    <row r="201" spans="1:28">
      <c r="A201" s="23">
        <f>_xlfn.RANK.EQ(' 5-Forecast Cash Flow + Profits'!AP201,' 5-Forecast Cash Flow + Profits'!$AP$4:$AP$247,0)</f>
        <v>243</v>
      </c>
      <c r="B201" s="23" t="str">
        <f>' 5-Forecast Cash Flow + Profits'!A201</f>
        <v>W57</v>
      </c>
      <c r="C201" s="68">
        <f>' 5-Forecast Cash Flow + Profits'!AD201+' 5-Forecast Cash Flow + Profits'!AI201</f>
        <v>-11753.429561621488</v>
      </c>
      <c r="D201" s="68">
        <f>' 5-Forecast Cash Flow + Profits'!AP201</f>
        <v>-39289.829561621489</v>
      </c>
      <c r="E201" t="s">
        <v>438</v>
      </c>
      <c r="F201" t="s">
        <v>439</v>
      </c>
      <c r="G201" s="63">
        <f>' 5-Forecast Cash Flow + Profits'!AM201</f>
        <v>-57289.829561621489</v>
      </c>
      <c r="H201" s="63">
        <f>' 5-Forecast Cash Flow + Profits'!AN201</f>
        <v>-33289.829561621489</v>
      </c>
      <c r="I201" s="63">
        <f>' 5-Forecast Cash Flow + Profits'!AO201</f>
        <v>-33289.829561621489</v>
      </c>
      <c r="J201" s="63">
        <f>' 5-Forecast Cash Flow + Profits'!AP201</f>
        <v>-39289.829561621489</v>
      </c>
      <c r="O201" s="23">
        <v>198</v>
      </c>
      <c r="P201" s="23" t="str">
        <f>VLOOKUP(O201,$A$4:$B$247,2,FALSE)</f>
        <v>W213</v>
      </c>
      <c r="Q201" s="23" t="str">
        <f>VLOOKUP(O201,$A$4:$F$247,5,FALSE)</f>
        <v>Columbus</v>
      </c>
      <c r="R201" s="23" t="str">
        <f>VLOOKUP(O201,$A$4:$F$247,6,FALSE)</f>
        <v>OH</v>
      </c>
      <c r="S201" s="68">
        <f>O201*' 5-Forecast Cash Flow + Profits'!$AG$7</f>
        <v>5940000</v>
      </c>
      <c r="T201" s="68">
        <f>VLOOKUP(O201,$A$4:$C$247,3,FALSE)</f>
        <v>-26494.531307712547</v>
      </c>
      <c r="U201" s="68">
        <f>VLOOKUP(O201,$A$4:$D$247,4,FALSE)</f>
        <v>-16083.931307712541</v>
      </c>
      <c r="V201" s="89" t="str">
        <f>IF(S201&lt;$L$6,IF(U201&gt;' 5-Forecast Cash Flow + Profits'!$AG$29,"YES","NO"),"NO")</f>
        <v>NO</v>
      </c>
      <c r="W201" s="89" t="str">
        <f>IF(U201&gt;' 5-Forecast Cash Flow + Profits'!$AG$29, "YES", "NO")</f>
        <v>NO</v>
      </c>
      <c r="X201" s="68">
        <f>T201+X200</f>
        <v>845510.86788698973</v>
      </c>
      <c r="Y201" s="68">
        <f>VLOOKUP($O201,$A$4:$J$247,7,FALSE)</f>
        <v>-34083.931307712541</v>
      </c>
      <c r="Z201" s="68">
        <f>VLOOKUP($O201,$A$4:$J$247,8,FALSE)</f>
        <v>-10083.931307712541</v>
      </c>
      <c r="AA201" s="68">
        <f>VLOOKUP($O201,$A$4:$J$247,9,FALSE)</f>
        <v>-10083.931307712541</v>
      </c>
      <c r="AB201" s="68">
        <f>VLOOKUP($O201,$A$4:$J$247,10,FALSE)</f>
        <v>-16083.931307712541</v>
      </c>
    </row>
    <row r="202" spans="1:28">
      <c r="A202" s="23">
        <f>_xlfn.RANK.EQ(' 5-Forecast Cash Flow + Profits'!AP202,' 5-Forecast Cash Flow + Profits'!$AP$4:$AP$247,0)</f>
        <v>83</v>
      </c>
      <c r="B202" s="23" t="str">
        <f>' 5-Forecast Cash Flow + Profits'!A202</f>
        <v>W58</v>
      </c>
      <c r="C202" s="68">
        <f>' 5-Forecast Cash Flow + Profits'!AD202+' 5-Forecast Cash Flow + Profits'!AI202</f>
        <v>13644.922005501459</v>
      </c>
      <c r="D202" s="68">
        <f>' 5-Forecast Cash Flow + Profits'!AP202</f>
        <v>-1047.8779944985399</v>
      </c>
      <c r="E202" t="s">
        <v>438</v>
      </c>
      <c r="F202" t="s">
        <v>439</v>
      </c>
      <c r="G202" s="63">
        <f>' 5-Forecast Cash Flow + Profits'!AM202</f>
        <v>-19047.87799449854</v>
      </c>
      <c r="H202" s="63">
        <f>' 5-Forecast Cash Flow + Profits'!AN202</f>
        <v>4952.1220055014601</v>
      </c>
      <c r="I202" s="63">
        <f>' 5-Forecast Cash Flow + Profits'!AO202</f>
        <v>4952.1220055014601</v>
      </c>
      <c r="J202" s="63">
        <f>' 5-Forecast Cash Flow + Profits'!AP202</f>
        <v>-1047.8779944985399</v>
      </c>
      <c r="O202" s="23">
        <v>199</v>
      </c>
      <c r="P202" s="23" t="str">
        <f>VLOOKUP(O202,$A$4:$B$247,2,FALSE)</f>
        <v>W205</v>
      </c>
      <c r="Q202" s="23" t="str">
        <f>VLOOKUP(O202,$A$4:$F$247,5,FALSE)</f>
        <v>Columbus</v>
      </c>
      <c r="R202" s="23" t="str">
        <f>VLOOKUP(O202,$A$4:$F$247,6,FALSE)</f>
        <v>OH</v>
      </c>
      <c r="S202" s="68">
        <f>O202*' 5-Forecast Cash Flow + Profits'!$AG$7</f>
        <v>5970000</v>
      </c>
      <c r="T202" s="68">
        <f>VLOOKUP(O202,$A$4:$C$247,3,FALSE)</f>
        <v>-25442.296750708163</v>
      </c>
      <c r="U202" s="68">
        <f>VLOOKUP(O202,$A$4:$D$247,4,FALSE)</f>
        <v>-16199.296750708167</v>
      </c>
      <c r="V202" s="89" t="str">
        <f>IF(S202&lt;$L$6,IF(U202&gt;' 5-Forecast Cash Flow + Profits'!$AG$29,"YES","NO"),"NO")</f>
        <v>NO</v>
      </c>
      <c r="W202" s="89" t="str">
        <f>IF(U202&gt;' 5-Forecast Cash Flow + Profits'!$AG$29, "YES", "NO")</f>
        <v>NO</v>
      </c>
      <c r="X202" s="68">
        <f>T202+X201</f>
        <v>820068.57113628159</v>
      </c>
      <c r="Y202" s="68">
        <f>VLOOKUP($O202,$A$4:$J$247,7,FALSE)</f>
        <v>-34199.296750708163</v>
      </c>
      <c r="Z202" s="68">
        <f>VLOOKUP($O202,$A$4:$J$247,8,FALSE)</f>
        <v>-10199.296750708167</v>
      </c>
      <c r="AA202" s="68">
        <f>VLOOKUP($O202,$A$4:$J$247,9,FALSE)</f>
        <v>-10199.296750708167</v>
      </c>
      <c r="AB202" s="68">
        <f>VLOOKUP($O202,$A$4:$J$247,10,FALSE)</f>
        <v>-16199.296750708167</v>
      </c>
    </row>
    <row r="203" spans="1:28">
      <c r="A203" s="23">
        <f>_xlfn.RANK.EQ(' 5-Forecast Cash Flow + Profits'!AP203,' 5-Forecast Cash Flow + Profits'!$AP$4:$AP$247,0)</f>
        <v>142</v>
      </c>
      <c r="B203" s="23" t="str">
        <f>' 5-Forecast Cash Flow + Profits'!A203</f>
        <v>W59</v>
      </c>
      <c r="C203" s="68">
        <f>' 5-Forecast Cash Flow + Profits'!AD203+' 5-Forecast Cash Flow + Profits'!AI203</f>
        <v>13732.417585777883</v>
      </c>
      <c r="D203" s="68">
        <f>' 5-Forecast Cash Flow + Profits'!AP203</f>
        <v>-9133.5824142221172</v>
      </c>
      <c r="E203" t="s">
        <v>438</v>
      </c>
      <c r="F203" t="s">
        <v>439</v>
      </c>
      <c r="G203" s="63">
        <f>' 5-Forecast Cash Flow + Profits'!AM203</f>
        <v>-27133.582414222117</v>
      </c>
      <c r="H203" s="63">
        <f>' 5-Forecast Cash Flow + Profits'!AN203</f>
        <v>-3133.5824142221172</v>
      </c>
      <c r="I203" s="63">
        <f>' 5-Forecast Cash Flow + Profits'!AO203</f>
        <v>-3133.5824142221172</v>
      </c>
      <c r="J203" s="63">
        <f>' 5-Forecast Cash Flow + Profits'!AP203</f>
        <v>-9133.5824142221172</v>
      </c>
      <c r="O203" s="23">
        <v>200</v>
      </c>
      <c r="P203" s="23" t="str">
        <f>VLOOKUP(O203,$A$4:$B$247,2,FALSE)</f>
        <v>W221</v>
      </c>
      <c r="Q203" s="23" t="str">
        <f>VLOOKUP(O203,$A$4:$F$247,5,FALSE)</f>
        <v>Richmond</v>
      </c>
      <c r="R203" s="23" t="str">
        <f>VLOOKUP(O203,$A$4:$F$247,6,FALSE)</f>
        <v>VA</v>
      </c>
      <c r="S203" s="68">
        <f>O203*' 5-Forecast Cash Flow + Profits'!$AG$7</f>
        <v>6000000</v>
      </c>
      <c r="T203" s="68">
        <f>VLOOKUP(O203,$A$4:$C$247,3,FALSE)</f>
        <v>-21312.765244488361</v>
      </c>
      <c r="U203" s="68">
        <f>VLOOKUP(O203,$A$4:$D$247,4,FALSE)</f>
        <v>-16214.74524448836</v>
      </c>
      <c r="V203" s="89" t="str">
        <f>IF(S203&lt;$L$6,IF(U203&gt;' 5-Forecast Cash Flow + Profits'!$AG$29,"YES","NO"),"NO")</f>
        <v>NO</v>
      </c>
      <c r="W203" s="89" t="str">
        <f>IF(U203&gt;' 5-Forecast Cash Flow + Profits'!$AG$29, "YES", "NO")</f>
        <v>NO</v>
      </c>
      <c r="X203" s="68">
        <f>T203+X202</f>
        <v>798755.80589179322</v>
      </c>
      <c r="Y203" s="68">
        <f>VLOOKUP($O203,$A$4:$J$247,7,FALSE)</f>
        <v>-34214.74524448836</v>
      </c>
      <c r="Z203" s="68">
        <f>VLOOKUP($O203,$A$4:$J$247,8,FALSE)</f>
        <v>-10214.74524448836</v>
      </c>
      <c r="AA203" s="68">
        <f>VLOOKUP($O203,$A$4:$J$247,9,FALSE)</f>
        <v>-10214.74524448836</v>
      </c>
      <c r="AB203" s="68">
        <f>VLOOKUP($O203,$A$4:$J$247,10,FALSE)</f>
        <v>-16214.74524448836</v>
      </c>
    </row>
    <row r="204" spans="1:28">
      <c r="A204" s="23">
        <f>_xlfn.RANK.EQ(' 5-Forecast Cash Flow + Profits'!AP204,' 5-Forecast Cash Flow + Profits'!$AP$4:$AP$247,0)</f>
        <v>135</v>
      </c>
      <c r="B204" s="23" t="str">
        <f>' 5-Forecast Cash Flow + Profits'!A204</f>
        <v>W6</v>
      </c>
      <c r="C204" s="68">
        <f>' 5-Forecast Cash Flow + Profits'!AD204+' 5-Forecast Cash Flow + Profits'!AI204</f>
        <v>-15512.110419513021</v>
      </c>
      <c r="D204" s="68">
        <f>' 5-Forecast Cash Flow + Profits'!AP204</f>
        <v>-8020.5104195130207</v>
      </c>
      <c r="E204" t="s">
        <v>415</v>
      </c>
      <c r="F204" t="s">
        <v>416</v>
      </c>
      <c r="G204" s="63">
        <f>' 5-Forecast Cash Flow + Profits'!AM204</f>
        <v>-26020.510419513019</v>
      </c>
      <c r="H204" s="63">
        <f>' 5-Forecast Cash Flow + Profits'!AN204</f>
        <v>-2020.5104195130207</v>
      </c>
      <c r="I204" s="63">
        <f>' 5-Forecast Cash Flow + Profits'!AO204</f>
        <v>-2020.5104195130207</v>
      </c>
      <c r="J204" s="63">
        <f>' 5-Forecast Cash Flow + Profits'!AP204</f>
        <v>-8020.5104195130207</v>
      </c>
      <c r="O204" s="23">
        <v>201</v>
      </c>
      <c r="P204" s="23" t="str">
        <f>VLOOKUP(O204,$A$4:$B$247,2,FALSE)</f>
        <v>W141</v>
      </c>
      <c r="Q204" s="23" t="str">
        <f>VLOOKUP(O204,$A$4:$F$247,5,FALSE)</f>
        <v>Denver</v>
      </c>
      <c r="R204" s="23" t="str">
        <f>VLOOKUP(O204,$A$4:$F$247,6,FALSE)</f>
        <v>CO</v>
      </c>
      <c r="S204" s="68">
        <f>O204*' 5-Forecast Cash Flow + Profits'!$AG$7</f>
        <v>6030000</v>
      </c>
      <c r="T204" s="68">
        <f>VLOOKUP(O204,$A$4:$C$247,3,FALSE)</f>
        <v>-21441.468048797502</v>
      </c>
      <c r="U204" s="68">
        <f>VLOOKUP(O204,$A$4:$D$247,4,FALSE)</f>
        <v>-16285.068048797502</v>
      </c>
      <c r="V204" s="89" t="str">
        <f>IF(S204&lt;$L$6,IF(U204&gt;' 5-Forecast Cash Flow + Profits'!$AG$29,"YES","NO"),"NO")</f>
        <v>NO</v>
      </c>
      <c r="W204" s="89" t="str">
        <f>IF(U204&gt;' 5-Forecast Cash Flow + Profits'!$AG$29, "YES", "NO")</f>
        <v>NO</v>
      </c>
      <c r="X204" s="68">
        <f>T204+X203</f>
        <v>777314.33784299577</v>
      </c>
      <c r="Y204" s="68">
        <f>VLOOKUP($O204,$A$4:$J$247,7,FALSE)</f>
        <v>-34285.068048797504</v>
      </c>
      <c r="Z204" s="68">
        <f>VLOOKUP($O204,$A$4:$J$247,8,FALSE)</f>
        <v>-10285.068048797502</v>
      </c>
      <c r="AA204" s="68">
        <f>VLOOKUP($O204,$A$4:$J$247,9,FALSE)</f>
        <v>-10285.068048797502</v>
      </c>
      <c r="AB204" s="68">
        <f>VLOOKUP($O204,$A$4:$J$247,10,FALSE)</f>
        <v>-16285.068048797502</v>
      </c>
    </row>
    <row r="205" spans="1:28">
      <c r="A205" s="23">
        <f>_xlfn.RANK.EQ(' 5-Forecast Cash Flow + Profits'!AP205,' 5-Forecast Cash Flow + Profits'!$AP$4:$AP$247,0)</f>
        <v>230</v>
      </c>
      <c r="B205" s="23" t="str">
        <f>' 5-Forecast Cash Flow + Profits'!A205</f>
        <v>W60</v>
      </c>
      <c r="C205" s="68">
        <f>' 5-Forecast Cash Flow + Profits'!AD205+' 5-Forecast Cash Flow + Profits'!AI205</f>
        <v>-11477.948235971384</v>
      </c>
      <c r="D205" s="68">
        <f>' 5-Forecast Cash Flow + Profits'!AP205</f>
        <v>-23835.548235971382</v>
      </c>
      <c r="E205" t="s">
        <v>438</v>
      </c>
      <c r="F205" t="s">
        <v>439</v>
      </c>
      <c r="G205" s="63">
        <f>' 5-Forecast Cash Flow + Profits'!AM205</f>
        <v>-41835.548235971379</v>
      </c>
      <c r="H205" s="63">
        <f>' 5-Forecast Cash Flow + Profits'!AN205</f>
        <v>-17835.548235971382</v>
      </c>
      <c r="I205" s="63">
        <f>' 5-Forecast Cash Flow + Profits'!AO205</f>
        <v>-17835.548235971382</v>
      </c>
      <c r="J205" s="63">
        <f>' 5-Forecast Cash Flow + Profits'!AP205</f>
        <v>-23835.548235971382</v>
      </c>
      <c r="O205" s="23">
        <v>202</v>
      </c>
      <c r="P205" s="23" t="str">
        <f>VLOOKUP(O205,$A$4:$B$247,2,FALSE)</f>
        <v>W69</v>
      </c>
      <c r="Q205" s="23" t="str">
        <f>VLOOKUP(O205,$A$4:$F$247,5,FALSE)</f>
        <v>Palo Alto</v>
      </c>
      <c r="R205" s="23" t="str">
        <f>VLOOKUP(O205,$A$4:$F$247,6,FALSE)</f>
        <v>CA</v>
      </c>
      <c r="S205" s="68">
        <f>O205*' 5-Forecast Cash Flow + Profits'!$AG$7</f>
        <v>6060000</v>
      </c>
      <c r="T205" s="68">
        <f>VLOOKUP(O205,$A$4:$C$247,3,FALSE)</f>
        <v>-2974.678316255784</v>
      </c>
      <c r="U205" s="68">
        <f>VLOOKUP(O205,$A$4:$D$247,4,FALSE)</f>
        <v>-16499.878316255788</v>
      </c>
      <c r="V205" s="89" t="str">
        <f>IF(S205&lt;$L$6,IF(U205&gt;' 5-Forecast Cash Flow + Profits'!$AG$29,"YES","NO"),"NO")</f>
        <v>NO</v>
      </c>
      <c r="W205" s="89" t="str">
        <f>IF(U205&gt;' 5-Forecast Cash Flow + Profits'!$AG$29, "YES", "NO")</f>
        <v>NO</v>
      </c>
      <c r="X205" s="68">
        <f>T205+X204</f>
        <v>774339.65952673997</v>
      </c>
      <c r="Y205" s="68">
        <f>VLOOKUP($O205,$A$4:$J$247,7,FALSE)</f>
        <v>-34499.878316255781</v>
      </c>
      <c r="Z205" s="68">
        <f>VLOOKUP($O205,$A$4:$J$247,8,FALSE)</f>
        <v>-10499.878316255788</v>
      </c>
      <c r="AA205" s="68">
        <f>VLOOKUP($O205,$A$4:$J$247,9,FALSE)</f>
        <v>-10499.878316255788</v>
      </c>
      <c r="AB205" s="68">
        <f>VLOOKUP($O205,$A$4:$J$247,10,FALSE)</f>
        <v>-16499.878316255788</v>
      </c>
    </row>
    <row r="206" spans="1:28">
      <c r="A206" s="23">
        <f>_xlfn.RANK.EQ(' 5-Forecast Cash Flow + Profits'!AP206,' 5-Forecast Cash Flow + Profits'!$AP$4:$AP$247,0)</f>
        <v>90</v>
      </c>
      <c r="B206" s="23" t="str">
        <f>' 5-Forecast Cash Flow + Profits'!A206</f>
        <v>W61</v>
      </c>
      <c r="C206" s="68">
        <f>' 5-Forecast Cash Flow + Profits'!AD206+' 5-Forecast Cash Flow + Profits'!AI206</f>
        <v>10742.540045247777</v>
      </c>
      <c r="D206" s="68">
        <f>' 5-Forecast Cash Flow + Profits'!AP206</f>
        <v>-2724.2799547522227</v>
      </c>
      <c r="E206" t="s">
        <v>440</v>
      </c>
      <c r="F206" t="s">
        <v>418</v>
      </c>
      <c r="G206" s="63">
        <f>' 5-Forecast Cash Flow + Profits'!AM206</f>
        <v>-20724.279954752223</v>
      </c>
      <c r="H206" s="63">
        <f>' 5-Forecast Cash Flow + Profits'!AN206</f>
        <v>3275.7200452477773</v>
      </c>
      <c r="I206" s="63">
        <f>' 5-Forecast Cash Flow + Profits'!AO206</f>
        <v>3275.7200452477773</v>
      </c>
      <c r="J206" s="63">
        <f>' 5-Forecast Cash Flow + Profits'!AP206</f>
        <v>-2724.2799547522227</v>
      </c>
      <c r="O206" s="23">
        <v>203</v>
      </c>
      <c r="P206" s="23" t="str">
        <f>VLOOKUP(O206,$A$4:$B$247,2,FALSE)</f>
        <v>W4</v>
      </c>
      <c r="Q206" s="23" t="str">
        <f>VLOOKUP(O206,$A$4:$F$247,5,FALSE)</f>
        <v>Chapel Hill</v>
      </c>
      <c r="R206" s="23" t="str">
        <f>VLOOKUP(O206,$A$4:$F$247,6,FALSE)</f>
        <v>NC</v>
      </c>
      <c r="S206" s="68">
        <f>O206*' 5-Forecast Cash Flow + Profits'!$AG$7</f>
        <v>6090000</v>
      </c>
      <c r="T206" s="68">
        <f>VLOOKUP(O206,$A$4:$C$247,3,FALSE)</f>
        <v>-25635.729132402616</v>
      </c>
      <c r="U206" s="68">
        <f>VLOOKUP(O206,$A$4:$D$247,4,FALSE)</f>
        <v>-16976.529132402618</v>
      </c>
      <c r="V206" s="89" t="str">
        <f>IF(S206&lt;$L$6,IF(U206&gt;' 5-Forecast Cash Flow + Profits'!$AG$29,"YES","NO"),"NO")</f>
        <v>NO</v>
      </c>
      <c r="W206" s="89" t="str">
        <f>IF(U206&gt;' 5-Forecast Cash Flow + Profits'!$AG$29, "YES", "NO")</f>
        <v>NO</v>
      </c>
      <c r="X206" s="68">
        <f>T206+X205</f>
        <v>748703.9303943374</v>
      </c>
      <c r="Y206" s="68">
        <f>VLOOKUP($O206,$A$4:$J$247,7,FALSE)</f>
        <v>-34976.529132402611</v>
      </c>
      <c r="Z206" s="68">
        <f>VLOOKUP($O206,$A$4:$J$247,8,FALSE)</f>
        <v>-10976.529132402617</v>
      </c>
      <c r="AA206" s="68">
        <f>VLOOKUP($O206,$A$4:$J$247,9,FALSE)</f>
        <v>-10976.529132402617</v>
      </c>
      <c r="AB206" s="68">
        <f>VLOOKUP($O206,$A$4:$J$247,10,FALSE)</f>
        <v>-16976.529132402618</v>
      </c>
    </row>
    <row r="207" spans="1:28">
      <c r="A207" s="23">
        <f>_xlfn.RANK.EQ(' 5-Forecast Cash Flow + Profits'!AP207,' 5-Forecast Cash Flow + Profits'!$AP$4:$AP$247,0)</f>
        <v>117</v>
      </c>
      <c r="B207" s="23" t="str">
        <f>' 5-Forecast Cash Flow + Profits'!A207</f>
        <v>W62</v>
      </c>
      <c r="C207" s="68">
        <f>' 5-Forecast Cash Flow + Profits'!AD207+' 5-Forecast Cash Flow + Profits'!AI207</f>
        <v>10911.561450215471</v>
      </c>
      <c r="D207" s="68">
        <f>' 5-Forecast Cash Flow + Profits'!AP207</f>
        <v>-6116.4385497845324</v>
      </c>
      <c r="E207" t="s">
        <v>440</v>
      </c>
      <c r="F207" t="s">
        <v>418</v>
      </c>
      <c r="G207" s="63">
        <f>' 5-Forecast Cash Flow + Profits'!AM207</f>
        <v>-24116.438549784529</v>
      </c>
      <c r="H207" s="63">
        <f>' 5-Forecast Cash Flow + Profits'!AN207</f>
        <v>-116.43854978453237</v>
      </c>
      <c r="I207" s="63">
        <f>' 5-Forecast Cash Flow + Profits'!AO207</f>
        <v>-116.43854978453237</v>
      </c>
      <c r="J207" s="63">
        <f>' 5-Forecast Cash Flow + Profits'!AP207</f>
        <v>-6116.4385497845324</v>
      </c>
      <c r="O207" s="23">
        <v>204</v>
      </c>
      <c r="P207" s="23" t="str">
        <f>VLOOKUP(O207,$A$4:$B$247,2,FALSE)</f>
        <v>W229</v>
      </c>
      <c r="Q207" s="23" t="str">
        <f>VLOOKUP(O207,$A$4:$F$247,5,FALSE)</f>
        <v>Richmond</v>
      </c>
      <c r="R207" s="23" t="str">
        <f>VLOOKUP(O207,$A$4:$F$247,6,FALSE)</f>
        <v>VA</v>
      </c>
      <c r="S207" s="68">
        <f>O207*' 5-Forecast Cash Flow + Profits'!$AG$7</f>
        <v>6120000</v>
      </c>
      <c r="T207" s="68">
        <f>VLOOKUP(O207,$A$4:$C$247,3,FALSE)</f>
        <v>-24493.287382995346</v>
      </c>
      <c r="U207" s="68">
        <f>VLOOKUP(O207,$A$4:$D$247,4,FALSE)</f>
        <v>-17001.687382995347</v>
      </c>
      <c r="V207" s="89" t="str">
        <f>IF(S207&lt;$L$6,IF(U207&gt;' 5-Forecast Cash Flow + Profits'!$AG$29,"YES","NO"),"NO")</f>
        <v>NO</v>
      </c>
      <c r="W207" s="89" t="str">
        <f>IF(U207&gt;' 5-Forecast Cash Flow + Profits'!$AG$29, "YES", "NO")</f>
        <v>NO</v>
      </c>
      <c r="X207" s="68">
        <f>T207+X206</f>
        <v>724210.64301134204</v>
      </c>
      <c r="Y207" s="68">
        <f>VLOOKUP($O207,$A$4:$J$247,7,FALSE)</f>
        <v>-35001.687382995347</v>
      </c>
      <c r="Z207" s="68">
        <f>VLOOKUP($O207,$A$4:$J$247,8,FALSE)</f>
        <v>-11001.687382995346</v>
      </c>
      <c r="AA207" s="68">
        <f>VLOOKUP($O207,$A$4:$J$247,9,FALSE)</f>
        <v>-11001.687382995346</v>
      </c>
      <c r="AB207" s="68">
        <f>VLOOKUP($O207,$A$4:$J$247,10,FALSE)</f>
        <v>-17001.687382995347</v>
      </c>
    </row>
    <row r="208" spans="1:28">
      <c r="A208" s="23">
        <f>_xlfn.RANK.EQ(' 5-Forecast Cash Flow + Profits'!AP208,' 5-Forecast Cash Flow + Profits'!$AP$4:$AP$247,0)</f>
        <v>91</v>
      </c>
      <c r="B208" s="23" t="str">
        <f>' 5-Forecast Cash Flow + Profits'!A208</f>
        <v>W63</v>
      </c>
      <c r="C208" s="68">
        <f>' 5-Forecast Cash Flow + Profits'!AD208+' 5-Forecast Cash Flow + Profits'!AI208</f>
        <v>25878.205549972074</v>
      </c>
      <c r="D208" s="68">
        <f>' 5-Forecast Cash Flow + Profits'!AP208</f>
        <v>-2825.7944500279264</v>
      </c>
      <c r="E208" t="s">
        <v>440</v>
      </c>
      <c r="F208" t="s">
        <v>418</v>
      </c>
      <c r="G208" s="63">
        <f>' 5-Forecast Cash Flow + Profits'!AM208</f>
        <v>-20825.794450027926</v>
      </c>
      <c r="H208" s="63">
        <f>' 5-Forecast Cash Flow + Profits'!AN208</f>
        <v>3174.2055499720736</v>
      </c>
      <c r="I208" s="63">
        <f>' 5-Forecast Cash Flow + Profits'!AO208</f>
        <v>3174.2055499720736</v>
      </c>
      <c r="J208" s="63">
        <f>' 5-Forecast Cash Flow + Profits'!AP208</f>
        <v>-2825.7944500279264</v>
      </c>
      <c r="O208" s="23">
        <v>205</v>
      </c>
      <c r="P208" s="23" t="str">
        <f>VLOOKUP(O208,$A$4:$B$247,2,FALSE)</f>
        <v>W16</v>
      </c>
      <c r="Q208" s="23" t="str">
        <f>VLOOKUP(O208,$A$4:$F$247,5,FALSE)</f>
        <v>Chapel Hill</v>
      </c>
      <c r="R208" s="23" t="str">
        <f>VLOOKUP(O208,$A$4:$F$247,6,FALSE)</f>
        <v>NC</v>
      </c>
      <c r="S208" s="68">
        <f>O208*' 5-Forecast Cash Flow + Profits'!$AG$7</f>
        <v>6150000</v>
      </c>
      <c r="T208" s="68">
        <f>VLOOKUP(O208,$A$4:$C$247,3,FALSE)</f>
        <v>-26295.341803800526</v>
      </c>
      <c r="U208" s="68">
        <f>VLOOKUP(O208,$A$4:$D$247,4,FALSE)</f>
        <v>-17052.341803800526</v>
      </c>
      <c r="V208" s="89" t="str">
        <f>IF(S208&lt;$L$6,IF(U208&gt;' 5-Forecast Cash Flow + Profits'!$AG$29,"YES","NO"),"NO")</f>
        <v>NO</v>
      </c>
      <c r="W208" s="89" t="str">
        <f>IF(U208&gt;' 5-Forecast Cash Flow + Profits'!$AG$29, "YES", "NO")</f>
        <v>NO</v>
      </c>
      <c r="X208" s="68">
        <f>T208+X207</f>
        <v>697915.30120754149</v>
      </c>
      <c r="Y208" s="68">
        <f>VLOOKUP($O208,$A$4:$J$247,7,FALSE)</f>
        <v>-35052.341803800526</v>
      </c>
      <c r="Z208" s="68">
        <f>VLOOKUP($O208,$A$4:$J$247,8,FALSE)</f>
        <v>-11052.341803800527</v>
      </c>
      <c r="AA208" s="68">
        <f>VLOOKUP($O208,$A$4:$J$247,9,FALSE)</f>
        <v>-11052.341803800527</v>
      </c>
      <c r="AB208" s="68">
        <f>VLOOKUP($O208,$A$4:$J$247,10,FALSE)</f>
        <v>-17052.341803800526</v>
      </c>
    </row>
    <row r="209" spans="1:28">
      <c r="A209" s="23">
        <f>_xlfn.RANK.EQ(' 5-Forecast Cash Flow + Profits'!AP209,' 5-Forecast Cash Flow + Profits'!$AP$4:$AP$247,0)</f>
        <v>190</v>
      </c>
      <c r="B209" s="23" t="str">
        <f>' 5-Forecast Cash Flow + Profits'!A209</f>
        <v>W64</v>
      </c>
      <c r="C209" s="68">
        <f>' 5-Forecast Cash Flow + Profits'!AD209+' 5-Forecast Cash Flow + Profits'!AI209</f>
        <v>-6231.637464778345</v>
      </c>
      <c r="D209" s="68">
        <f>' 5-Forecast Cash Flow + Profits'!AP209</f>
        <v>-15028.057464778347</v>
      </c>
      <c r="E209" t="s">
        <v>440</v>
      </c>
      <c r="F209" t="s">
        <v>418</v>
      </c>
      <c r="G209" s="63">
        <f>' 5-Forecast Cash Flow + Profits'!AM209</f>
        <v>-33028.057464778343</v>
      </c>
      <c r="H209" s="63">
        <f>' 5-Forecast Cash Flow + Profits'!AN209</f>
        <v>-9028.0574647783469</v>
      </c>
      <c r="I209" s="63">
        <f>' 5-Forecast Cash Flow + Profits'!AO209</f>
        <v>-9028.0574647783469</v>
      </c>
      <c r="J209" s="63">
        <f>' 5-Forecast Cash Flow + Profits'!AP209</f>
        <v>-15028.057464778347</v>
      </c>
      <c r="O209" s="23">
        <v>206</v>
      </c>
      <c r="P209" s="23" t="str">
        <f>VLOOKUP(O209,$A$4:$B$247,2,FALSE)</f>
        <v>W10</v>
      </c>
      <c r="Q209" s="23" t="str">
        <f>VLOOKUP(O209,$A$4:$F$247,5,FALSE)</f>
        <v>Chapel Hill</v>
      </c>
      <c r="R209" s="23" t="str">
        <f>VLOOKUP(O209,$A$4:$F$247,6,FALSE)</f>
        <v>NC</v>
      </c>
      <c r="S209" s="68">
        <f>O209*' 5-Forecast Cash Flow + Profits'!$AG$7</f>
        <v>6180000</v>
      </c>
      <c r="T209" s="68">
        <f>VLOOKUP(O209,$A$4:$C$247,3,FALSE)</f>
        <v>-21105.289959945418</v>
      </c>
      <c r="U209" s="68">
        <f>VLOOKUP(O209,$A$4:$D$247,4,FALSE)</f>
        <v>-17116.489959945422</v>
      </c>
      <c r="V209" s="89" t="str">
        <f>IF(S209&lt;$L$6,IF(U209&gt;' 5-Forecast Cash Flow + Profits'!$AG$29,"YES","NO"),"NO")</f>
        <v>NO</v>
      </c>
      <c r="W209" s="89" t="str">
        <f>IF(U209&gt;' 5-Forecast Cash Flow + Profits'!$AG$29, "YES", "NO")</f>
        <v>NO</v>
      </c>
      <c r="X209" s="68">
        <f>T209+X208</f>
        <v>676810.01124759612</v>
      </c>
      <c r="Y209" s="68">
        <f>VLOOKUP($O209,$A$4:$J$247,7,FALSE)</f>
        <v>-35116.489959945415</v>
      </c>
      <c r="Z209" s="68">
        <f>VLOOKUP($O209,$A$4:$J$247,8,FALSE)</f>
        <v>-11116.48995994542</v>
      </c>
      <c r="AA209" s="68">
        <f>VLOOKUP($O209,$A$4:$J$247,9,FALSE)</f>
        <v>-11116.48995994542</v>
      </c>
      <c r="AB209" s="68">
        <f>VLOOKUP($O209,$A$4:$J$247,10,FALSE)</f>
        <v>-17116.489959945422</v>
      </c>
    </row>
    <row r="210" spans="1:28">
      <c r="A210" s="23">
        <f>_xlfn.RANK.EQ(' 5-Forecast Cash Flow + Profits'!AP210,' 5-Forecast Cash Flow + Profits'!$AP$4:$AP$247,0)</f>
        <v>110</v>
      </c>
      <c r="B210" s="23" t="str">
        <f>' 5-Forecast Cash Flow + Profits'!A210</f>
        <v>W65</v>
      </c>
      <c r="C210" s="68">
        <f>' 5-Forecast Cash Flow + Profits'!AD210+' 5-Forecast Cash Flow + Profits'!AI210</f>
        <v>11702.246686104794</v>
      </c>
      <c r="D210" s="68">
        <f>' 5-Forecast Cash Flow + Profits'!AP210</f>
        <v>-5325.7533138952022</v>
      </c>
      <c r="E210" t="s">
        <v>440</v>
      </c>
      <c r="F210" t="s">
        <v>418</v>
      </c>
      <c r="G210" s="63">
        <f>' 5-Forecast Cash Flow + Profits'!AM210</f>
        <v>-23325.753313895206</v>
      </c>
      <c r="H210" s="63">
        <f>' 5-Forecast Cash Flow + Profits'!AN210</f>
        <v>674.24668610479785</v>
      </c>
      <c r="I210" s="63">
        <f>' 5-Forecast Cash Flow + Profits'!AO210</f>
        <v>674.24668610479785</v>
      </c>
      <c r="J210" s="63">
        <f>' 5-Forecast Cash Flow + Profits'!AP210</f>
        <v>-5325.7533138952022</v>
      </c>
      <c r="O210" s="23">
        <v>207</v>
      </c>
      <c r="P210" s="23" t="str">
        <f>VLOOKUP(O210,$A$4:$B$247,2,FALSE)</f>
        <v>W98</v>
      </c>
      <c r="Q210" s="23" t="str">
        <f>VLOOKUP(O210,$A$4:$F$247,5,FALSE)</f>
        <v>San Francisco</v>
      </c>
      <c r="R210" s="23" t="str">
        <f>VLOOKUP(O210,$A$4:$F$247,6,FALSE)</f>
        <v>CA</v>
      </c>
      <c r="S210" s="68">
        <f>O210*' 5-Forecast Cash Flow + Profits'!$AG$7</f>
        <v>6210000</v>
      </c>
      <c r="T210" s="68">
        <f>VLOOKUP(O210,$A$4:$C$247,3,FALSE)</f>
        <v>22835.837167651123</v>
      </c>
      <c r="U210" s="68">
        <f>VLOOKUP(O210,$A$4:$D$247,4,FALSE)</f>
        <v>-17544.162832348877</v>
      </c>
      <c r="V210" s="89" t="str">
        <f>IF(S210&lt;$L$6,IF(U210&gt;' 5-Forecast Cash Flow + Profits'!$AG$29,"YES","NO"),"NO")</f>
        <v>NO</v>
      </c>
      <c r="W210" s="89" t="str">
        <f>IF(U210&gt;' 5-Forecast Cash Flow + Profits'!$AG$29, "YES", "NO")</f>
        <v>NO</v>
      </c>
      <c r="X210" s="68">
        <f>T210+X209</f>
        <v>699645.84841524728</v>
      </c>
      <c r="Y210" s="68">
        <f>VLOOKUP($O210,$A$4:$J$247,7,FALSE)</f>
        <v>-35544.162832348877</v>
      </c>
      <c r="Z210" s="68">
        <f>VLOOKUP($O210,$A$4:$J$247,8,FALSE)</f>
        <v>-11544.162832348877</v>
      </c>
      <c r="AA210" s="68">
        <f>VLOOKUP($O210,$A$4:$J$247,9,FALSE)</f>
        <v>-11544.162832348877</v>
      </c>
      <c r="AB210" s="68">
        <f>VLOOKUP($O210,$A$4:$J$247,10,FALSE)</f>
        <v>-17544.162832348877</v>
      </c>
    </row>
    <row r="211" spans="1:28">
      <c r="A211" s="23">
        <f>_xlfn.RANK.EQ(' 5-Forecast Cash Flow + Profits'!AP211,' 5-Forecast Cash Flow + Profits'!$AP$4:$AP$247,0)</f>
        <v>11</v>
      </c>
      <c r="B211" s="23" t="str">
        <f>' 5-Forecast Cash Flow + Profits'!A211</f>
        <v>W66</v>
      </c>
      <c r="C211" s="68">
        <f>' 5-Forecast Cash Flow + Profits'!AD211+' 5-Forecast Cash Flow + Profits'!AI211</f>
        <v>50513.869582007472</v>
      </c>
      <c r="D211" s="68">
        <f>' 5-Forecast Cash Flow + Profits'!AP211</f>
        <v>29983.069582007476</v>
      </c>
      <c r="E211" t="s">
        <v>440</v>
      </c>
      <c r="F211" t="s">
        <v>418</v>
      </c>
      <c r="G211" s="63">
        <f>' 5-Forecast Cash Flow + Profits'!AM211</f>
        <v>11983.069582007476</v>
      </c>
      <c r="H211" s="63">
        <f>' 5-Forecast Cash Flow + Profits'!AN211</f>
        <v>35983.069582007476</v>
      </c>
      <c r="I211" s="63">
        <f>' 5-Forecast Cash Flow + Profits'!AO211</f>
        <v>35983.069582007476</v>
      </c>
      <c r="J211" s="63">
        <f>' 5-Forecast Cash Flow + Profits'!AP211</f>
        <v>29983.069582007476</v>
      </c>
      <c r="O211" s="23">
        <v>208</v>
      </c>
      <c r="P211" s="23" t="str">
        <f>VLOOKUP(O211,$A$4:$B$247,2,FALSE)</f>
        <v>W142</v>
      </c>
      <c r="Q211" s="23" t="str">
        <f>VLOOKUP(O211,$A$4:$F$247,5,FALSE)</f>
        <v>Denver</v>
      </c>
      <c r="R211" s="23" t="str">
        <f>VLOOKUP(O211,$A$4:$F$247,6,FALSE)</f>
        <v>CO</v>
      </c>
      <c r="S211" s="68">
        <f>O211*' 5-Forecast Cash Flow + Profits'!$AG$7</f>
        <v>6240000</v>
      </c>
      <c r="T211" s="68">
        <f>VLOOKUP(O211,$A$4:$C$247,3,FALSE)</f>
        <v>-19331.059909178835</v>
      </c>
      <c r="U211" s="68">
        <f>VLOOKUP(O211,$A$4:$D$247,4,FALSE)</f>
        <v>-17677.45990917884</v>
      </c>
      <c r="V211" s="89" t="str">
        <f>IF(S211&lt;$L$6,IF(U211&gt;' 5-Forecast Cash Flow + Profits'!$AG$29,"YES","NO"),"NO")</f>
        <v>NO</v>
      </c>
      <c r="W211" s="89" t="str">
        <f>IF(U211&gt;' 5-Forecast Cash Flow + Profits'!$AG$29, "YES", "NO")</f>
        <v>NO</v>
      </c>
      <c r="X211" s="68">
        <f>T211+X210</f>
        <v>680314.78850606841</v>
      </c>
      <c r="Y211" s="68">
        <f>VLOOKUP($O211,$A$4:$J$247,7,FALSE)</f>
        <v>-35677.459909178833</v>
      </c>
      <c r="Z211" s="68">
        <f>VLOOKUP($O211,$A$4:$J$247,8,FALSE)</f>
        <v>-11677.459909178839</v>
      </c>
      <c r="AA211" s="68">
        <f>VLOOKUP($O211,$A$4:$J$247,9,FALSE)</f>
        <v>-11677.459909178839</v>
      </c>
      <c r="AB211" s="68">
        <f>VLOOKUP($O211,$A$4:$J$247,10,FALSE)</f>
        <v>-17677.45990917884</v>
      </c>
    </row>
    <row r="212" spans="1:28">
      <c r="A212" s="23">
        <f>_xlfn.RANK.EQ(' 5-Forecast Cash Flow + Profits'!AP212,' 5-Forecast Cash Flow + Profits'!$AP$4:$AP$247,0)</f>
        <v>8</v>
      </c>
      <c r="B212" s="23" t="str">
        <f>' 5-Forecast Cash Flow + Profits'!A212</f>
        <v>W67</v>
      </c>
      <c r="C212" s="68">
        <f>' 5-Forecast Cash Flow + Profits'!AD212+' 5-Forecast Cash Flow + Profits'!AI212</f>
        <v>74730.409097974596</v>
      </c>
      <c r="D212" s="68">
        <f>' 5-Forecast Cash Flow + Profits'!AP212</f>
        <v>40188.409097974611</v>
      </c>
      <c r="E212" t="s">
        <v>440</v>
      </c>
      <c r="F212" t="s">
        <v>418</v>
      </c>
      <c r="G212" s="63">
        <f>' 5-Forecast Cash Flow + Profits'!AM212</f>
        <v>22188.409097974603</v>
      </c>
      <c r="H212" s="63">
        <f>' 5-Forecast Cash Flow + Profits'!AN212</f>
        <v>46188.409097974611</v>
      </c>
      <c r="I212" s="63">
        <f>' 5-Forecast Cash Flow + Profits'!AO212</f>
        <v>46188.409097974611</v>
      </c>
      <c r="J212" s="63">
        <f>' 5-Forecast Cash Flow + Profits'!AP212</f>
        <v>40188.409097974611</v>
      </c>
      <c r="O212" s="23">
        <v>209</v>
      </c>
      <c r="P212" s="23" t="str">
        <f>VLOOKUP(O212,$A$4:$B$247,2,FALSE)</f>
        <v>W100</v>
      </c>
      <c r="Q212" s="23" t="str">
        <f>VLOOKUP(O212,$A$4:$F$247,5,FALSE)</f>
        <v>San Francisco</v>
      </c>
      <c r="R212" s="23" t="str">
        <f>VLOOKUP(O212,$A$4:$F$247,6,FALSE)</f>
        <v>CA</v>
      </c>
      <c r="S212" s="68">
        <f>O212*' 5-Forecast Cash Flow + Profits'!$AG$7</f>
        <v>6270000</v>
      </c>
      <c r="T212" s="68">
        <f>VLOOKUP(O212,$A$4:$C$247,3,FALSE)</f>
        <v>2600.483121583813</v>
      </c>
      <c r="U212" s="68">
        <f>VLOOKUP(O212,$A$4:$D$247,4,FALSE)</f>
        <v>-17930.316878416186</v>
      </c>
      <c r="V212" s="89" t="str">
        <f>IF(S212&lt;$L$6,IF(U212&gt;' 5-Forecast Cash Flow + Profits'!$AG$29,"YES","NO"),"NO")</f>
        <v>NO</v>
      </c>
      <c r="W212" s="89" t="str">
        <f>IF(U212&gt;' 5-Forecast Cash Flow + Profits'!$AG$29, "YES", "NO")</f>
        <v>NO</v>
      </c>
      <c r="X212" s="68">
        <f>T212+X211</f>
        <v>682915.27162765223</v>
      </c>
      <c r="Y212" s="68">
        <f>VLOOKUP($O212,$A$4:$J$247,7,FALSE)</f>
        <v>-35930.316878416183</v>
      </c>
      <c r="Z212" s="68">
        <f>VLOOKUP($O212,$A$4:$J$247,8,FALSE)</f>
        <v>-11930.316878416186</v>
      </c>
      <c r="AA212" s="68">
        <f>VLOOKUP($O212,$A$4:$J$247,9,FALSE)</f>
        <v>-11930.316878416186</v>
      </c>
      <c r="AB212" s="68">
        <f>VLOOKUP($O212,$A$4:$J$247,10,FALSE)</f>
        <v>-17930.316878416186</v>
      </c>
    </row>
    <row r="213" spans="1:28">
      <c r="A213" s="23">
        <f>_xlfn.RANK.EQ(' 5-Forecast Cash Flow + Profits'!AP213,' 5-Forecast Cash Flow + Profits'!$AP$4:$AP$247,0)</f>
        <v>216</v>
      </c>
      <c r="B213" s="23" t="str">
        <f>' 5-Forecast Cash Flow + Profits'!A213</f>
        <v>W68</v>
      </c>
      <c r="C213" s="68">
        <f>' 5-Forecast Cash Flow + Profits'!AD213+' 5-Forecast Cash Flow + Profits'!AI213</f>
        <v>-5242.6348737301087</v>
      </c>
      <c r="D213" s="68">
        <f>' 5-Forecast Cash Flow + Profits'!AP213</f>
        <v>-18767.834873730109</v>
      </c>
      <c r="E213" t="s">
        <v>440</v>
      </c>
      <c r="F213" t="s">
        <v>418</v>
      </c>
      <c r="G213" s="63">
        <f>' 5-Forecast Cash Flow + Profits'!AM213</f>
        <v>-36767.834873730113</v>
      </c>
      <c r="H213" s="63">
        <f>' 5-Forecast Cash Flow + Profits'!AN213</f>
        <v>-12767.834873730109</v>
      </c>
      <c r="I213" s="63">
        <f>' 5-Forecast Cash Flow + Profits'!AO213</f>
        <v>-12767.834873730109</v>
      </c>
      <c r="J213" s="63">
        <f>' 5-Forecast Cash Flow + Profits'!AP213</f>
        <v>-18767.834873730109</v>
      </c>
      <c r="O213" s="23">
        <v>210</v>
      </c>
      <c r="P213" s="23" t="str">
        <f>VLOOKUP(O213,$A$4:$B$247,2,FALSE)</f>
        <v>W209</v>
      </c>
      <c r="Q213" s="23" t="str">
        <f>VLOOKUP(O213,$A$4:$F$247,5,FALSE)</f>
        <v>Columbus</v>
      </c>
      <c r="R213" s="23" t="str">
        <f>VLOOKUP(O213,$A$4:$F$247,6,FALSE)</f>
        <v>OH</v>
      </c>
      <c r="S213" s="68">
        <f>O213*' 5-Forecast Cash Flow + Profits'!$AG$7</f>
        <v>6300000</v>
      </c>
      <c r="T213" s="68">
        <f>VLOOKUP(O213,$A$4:$C$247,3,FALSE)</f>
        <v>-26337.390381326273</v>
      </c>
      <c r="U213" s="68">
        <f>VLOOKUP(O213,$A$4:$D$247,4,FALSE)</f>
        <v>-17970.09038132627</v>
      </c>
      <c r="V213" s="89" t="str">
        <f>IF(S213&lt;$L$6,IF(U213&gt;' 5-Forecast Cash Flow + Profits'!$AG$29,"YES","NO"),"NO")</f>
        <v>NO</v>
      </c>
      <c r="W213" s="89" t="str">
        <f>IF(U213&gt;' 5-Forecast Cash Flow + Profits'!$AG$29, "YES", "NO")</f>
        <v>NO</v>
      </c>
      <c r="X213" s="68">
        <f>T213+X212</f>
        <v>656577.88124632591</v>
      </c>
      <c r="Y213" s="68">
        <f>VLOOKUP($O213,$A$4:$J$247,7,FALSE)</f>
        <v>-35970.09038132627</v>
      </c>
      <c r="Z213" s="68">
        <f>VLOOKUP($O213,$A$4:$J$247,8,FALSE)</f>
        <v>-11970.09038132627</v>
      </c>
      <c r="AA213" s="68">
        <f>VLOOKUP($O213,$A$4:$J$247,9,FALSE)</f>
        <v>-11970.09038132627</v>
      </c>
      <c r="AB213" s="68">
        <f>VLOOKUP($O213,$A$4:$J$247,10,FALSE)</f>
        <v>-17970.09038132627</v>
      </c>
    </row>
    <row r="214" spans="1:28">
      <c r="A214" s="23">
        <f>_xlfn.RANK.EQ(' 5-Forecast Cash Flow + Profits'!AP214,' 5-Forecast Cash Flow + Profits'!$AP$4:$AP$247,0)</f>
        <v>202</v>
      </c>
      <c r="B214" s="23" t="str">
        <f>' 5-Forecast Cash Flow + Profits'!A214</f>
        <v>W69</v>
      </c>
      <c r="C214" s="68">
        <f>' 5-Forecast Cash Flow + Profits'!AD214+' 5-Forecast Cash Flow + Profits'!AI214</f>
        <v>-2974.678316255784</v>
      </c>
      <c r="D214" s="68">
        <f>' 5-Forecast Cash Flow + Profits'!AP214</f>
        <v>-16499.878316255788</v>
      </c>
      <c r="E214" t="s">
        <v>440</v>
      </c>
      <c r="F214" t="s">
        <v>418</v>
      </c>
      <c r="G214" s="63">
        <f>' 5-Forecast Cash Flow + Profits'!AM214</f>
        <v>-34499.878316255781</v>
      </c>
      <c r="H214" s="63">
        <f>' 5-Forecast Cash Flow + Profits'!AN214</f>
        <v>-10499.878316255788</v>
      </c>
      <c r="I214" s="63">
        <f>' 5-Forecast Cash Flow + Profits'!AO214</f>
        <v>-10499.878316255788</v>
      </c>
      <c r="J214" s="63">
        <f>' 5-Forecast Cash Flow + Profits'!AP214</f>
        <v>-16499.878316255788</v>
      </c>
      <c r="O214" s="23">
        <v>211</v>
      </c>
      <c r="P214" s="23" t="str">
        <f>VLOOKUP(O214,$A$4:$B$247,2,FALSE)</f>
        <v>W29</v>
      </c>
      <c r="Q214" s="23" t="str">
        <f>VLOOKUP(O214,$A$4:$F$247,5,FALSE)</f>
        <v>Chicago</v>
      </c>
      <c r="R214" s="23" t="str">
        <f>VLOOKUP(O214,$A$4:$F$247,6,FALSE)</f>
        <v>IL</v>
      </c>
      <c r="S214" s="68">
        <f>O214*' 5-Forecast Cash Flow + Profits'!$AG$7</f>
        <v>6330000</v>
      </c>
      <c r="T214" s="68">
        <f>VLOOKUP(O214,$A$4:$C$247,3,FALSE)</f>
        <v>-6864.2673739518577</v>
      </c>
      <c r="U214" s="68">
        <f>VLOOKUP(O214,$A$4:$D$247,4,FALSE)</f>
        <v>-18054.267373951858</v>
      </c>
      <c r="V214" s="89" t="str">
        <f>IF(S214&lt;$L$6,IF(U214&gt;' 5-Forecast Cash Flow + Profits'!$AG$29,"YES","NO"),"NO")</f>
        <v>NO</v>
      </c>
      <c r="W214" s="89" t="str">
        <f>IF(U214&gt;' 5-Forecast Cash Flow + Profits'!$AG$29, "YES", "NO")</f>
        <v>NO</v>
      </c>
      <c r="X214" s="68">
        <f>T214+X213</f>
        <v>649713.61387237406</v>
      </c>
      <c r="Y214" s="68">
        <f>VLOOKUP($O214,$A$4:$J$247,7,FALSE)</f>
        <v>-36054.267373951858</v>
      </c>
      <c r="Z214" s="68">
        <f>VLOOKUP($O214,$A$4:$J$247,8,FALSE)</f>
        <v>-12054.267373951858</v>
      </c>
      <c r="AA214" s="68">
        <f>VLOOKUP($O214,$A$4:$J$247,9,FALSE)</f>
        <v>-12054.267373951858</v>
      </c>
      <c r="AB214" s="68">
        <f>VLOOKUP($O214,$A$4:$J$247,10,FALSE)</f>
        <v>-18054.267373951858</v>
      </c>
    </row>
    <row r="215" spans="1:28">
      <c r="A215" s="23">
        <f>_xlfn.RANK.EQ(' 5-Forecast Cash Flow + Profits'!AP215,' 5-Forecast Cash Flow + Profits'!$AP$4:$AP$247,0)</f>
        <v>122</v>
      </c>
      <c r="B215" s="23" t="str">
        <f>' 5-Forecast Cash Flow + Profits'!A215</f>
        <v>W7</v>
      </c>
      <c r="C215" s="68">
        <f>' 5-Forecast Cash Flow + Profits'!AD215+' 5-Forecast Cash Flow + Profits'!AI215</f>
        <v>-11814.337146869952</v>
      </c>
      <c r="D215" s="68">
        <f>' 5-Forecast Cash Flow + Profits'!AP215</f>
        <v>-6657.9371468699519</v>
      </c>
      <c r="E215" t="s">
        <v>415</v>
      </c>
      <c r="F215" t="s">
        <v>416</v>
      </c>
      <c r="G215" s="63">
        <f>' 5-Forecast Cash Flow + Profits'!AM215</f>
        <v>-24657.937146869954</v>
      </c>
      <c r="H215" s="63">
        <f>' 5-Forecast Cash Flow + Profits'!AN215</f>
        <v>-657.9371468699519</v>
      </c>
      <c r="I215" s="63">
        <f>' 5-Forecast Cash Flow + Profits'!AO215</f>
        <v>-657.9371468699519</v>
      </c>
      <c r="J215" s="63">
        <f>' 5-Forecast Cash Flow + Profits'!AP215</f>
        <v>-6657.9371468699519</v>
      </c>
      <c r="O215" s="23">
        <v>212</v>
      </c>
      <c r="P215" s="23" t="str">
        <f>VLOOKUP(O215,$A$4:$B$247,2,FALSE)</f>
        <v>W76</v>
      </c>
      <c r="Q215" s="23" t="str">
        <f>VLOOKUP(O215,$A$4:$F$247,5,FALSE)</f>
        <v>Palo Alto</v>
      </c>
      <c r="R215" s="23" t="str">
        <f>VLOOKUP(O215,$A$4:$F$247,6,FALSE)</f>
        <v>CA</v>
      </c>
      <c r="S215" s="68">
        <f>O215*' 5-Forecast Cash Flow + Profits'!$AG$7</f>
        <v>6360000</v>
      </c>
      <c r="T215" s="68">
        <f>VLOOKUP(O215,$A$4:$C$247,3,FALSE)</f>
        <v>-6870.9820752572268</v>
      </c>
      <c r="U215" s="68">
        <f>VLOOKUP(O215,$A$4:$D$247,4,FALSE)</f>
        <v>-18060.982075257227</v>
      </c>
      <c r="V215" s="89" t="str">
        <f>IF(S215&lt;$L$6,IF(U215&gt;' 5-Forecast Cash Flow + Profits'!$AG$29,"YES","NO"),"NO")</f>
        <v>NO</v>
      </c>
      <c r="W215" s="89" t="str">
        <f>IF(U215&gt;' 5-Forecast Cash Flow + Profits'!$AG$29, "YES", "NO")</f>
        <v>NO</v>
      </c>
      <c r="X215" s="68">
        <f>T215+X214</f>
        <v>642842.63179711683</v>
      </c>
      <c r="Y215" s="68">
        <f>VLOOKUP($O215,$A$4:$J$247,7,FALSE)</f>
        <v>-36060.982075257227</v>
      </c>
      <c r="Z215" s="68">
        <f>VLOOKUP($O215,$A$4:$J$247,8,FALSE)</f>
        <v>-12060.982075257225</v>
      </c>
      <c r="AA215" s="68">
        <f>VLOOKUP($O215,$A$4:$J$247,9,FALSE)</f>
        <v>-12060.982075257225</v>
      </c>
      <c r="AB215" s="68">
        <f>VLOOKUP($O215,$A$4:$J$247,10,FALSE)</f>
        <v>-18060.982075257227</v>
      </c>
    </row>
    <row r="216" spans="1:28">
      <c r="A216" s="23">
        <f>_xlfn.RANK.EQ(' 5-Forecast Cash Flow + Profits'!AP216,' 5-Forecast Cash Flow + Profits'!$AP$4:$AP$247,0)</f>
        <v>109</v>
      </c>
      <c r="B216" s="23" t="str">
        <f>' 5-Forecast Cash Flow + Profits'!A216</f>
        <v>W70</v>
      </c>
      <c r="C216" s="68">
        <f>' 5-Forecast Cash Flow + Profits'!AD216+' 5-Forecast Cash Flow + Profits'!AI216</f>
        <v>11736.760614003266</v>
      </c>
      <c r="D216" s="68">
        <f>' 5-Forecast Cash Flow + Profits'!AP216</f>
        <v>-5291.2393859967342</v>
      </c>
      <c r="E216" t="s">
        <v>440</v>
      </c>
      <c r="F216" t="s">
        <v>418</v>
      </c>
      <c r="G216" s="63">
        <f>' 5-Forecast Cash Flow + Profits'!AM216</f>
        <v>-23291.239385996734</v>
      </c>
      <c r="H216" s="63">
        <f>' 5-Forecast Cash Flow + Profits'!AN216</f>
        <v>708.7606140032658</v>
      </c>
      <c r="I216" s="63">
        <f>' 5-Forecast Cash Flow + Profits'!AO216</f>
        <v>708.7606140032658</v>
      </c>
      <c r="J216" s="63">
        <f>' 5-Forecast Cash Flow + Profits'!AP216</f>
        <v>-5291.2393859967342</v>
      </c>
      <c r="O216" s="23">
        <v>213</v>
      </c>
      <c r="P216" s="23" t="str">
        <f>VLOOKUP(O216,$A$4:$B$247,2,FALSE)</f>
        <v>W137</v>
      </c>
      <c r="Q216" s="23" t="str">
        <f>VLOOKUP(O216,$A$4:$F$247,5,FALSE)</f>
        <v>Denver</v>
      </c>
      <c r="R216" s="23" t="str">
        <f>VLOOKUP(O216,$A$4:$F$247,6,FALSE)</f>
        <v>CO</v>
      </c>
      <c r="S216" s="68">
        <f>O216*' 5-Forecast Cash Flow + Profits'!$AG$7</f>
        <v>6390000</v>
      </c>
      <c r="T216" s="68">
        <f>VLOOKUP(O216,$A$4:$C$247,3,FALSE)</f>
        <v>-24653.750061478575</v>
      </c>
      <c r="U216" s="68">
        <f>VLOOKUP(O216,$A$4:$D$247,4,FALSE)</f>
        <v>-18329.750061478579</v>
      </c>
      <c r="V216" s="89" t="str">
        <f>IF(S216&lt;$L$6,IF(U216&gt;' 5-Forecast Cash Flow + Profits'!$AG$29,"YES","NO"),"NO")</f>
        <v>NO</v>
      </c>
      <c r="W216" s="89" t="str">
        <f>IF(U216&gt;' 5-Forecast Cash Flow + Profits'!$AG$29, "YES", "NO")</f>
        <v>NO</v>
      </c>
      <c r="X216" s="68">
        <f>T216+X215</f>
        <v>618188.88173563825</v>
      </c>
      <c r="Y216" s="68">
        <f>VLOOKUP($O216,$A$4:$J$247,7,FALSE)</f>
        <v>-36329.750061478575</v>
      </c>
      <c r="Z216" s="68">
        <f>VLOOKUP($O216,$A$4:$J$247,8,FALSE)</f>
        <v>-12329.750061478579</v>
      </c>
      <c r="AA216" s="68">
        <f>VLOOKUP($O216,$A$4:$J$247,9,FALSE)</f>
        <v>-12329.750061478579</v>
      </c>
      <c r="AB216" s="68">
        <f>VLOOKUP($O216,$A$4:$J$247,10,FALSE)</f>
        <v>-18329.750061478579</v>
      </c>
    </row>
    <row r="217" spans="1:28">
      <c r="A217" s="23">
        <f>_xlfn.RANK.EQ(' 5-Forecast Cash Flow + Profits'!AP217,' 5-Forecast Cash Flow + Profits'!$AP$4:$AP$247,0)</f>
        <v>81</v>
      </c>
      <c r="B217" s="23" t="str">
        <f>' 5-Forecast Cash Flow + Profits'!A217</f>
        <v>W71</v>
      </c>
      <c r="C217" s="68">
        <f>' 5-Forecast Cash Flow + Profits'!AD217+' 5-Forecast Cash Flow + Profits'!AI217</f>
        <v>33857.688948079027</v>
      </c>
      <c r="D217" s="68">
        <f>' 5-Forecast Cash Flow + Profits'!AP217</f>
        <v>-684.31105192096948</v>
      </c>
      <c r="E217" t="s">
        <v>440</v>
      </c>
      <c r="F217" t="s">
        <v>418</v>
      </c>
      <c r="G217" s="63">
        <f>' 5-Forecast Cash Flow + Profits'!AM217</f>
        <v>-18684.311051920973</v>
      </c>
      <c r="H217" s="63">
        <f>' 5-Forecast Cash Flow + Profits'!AN217</f>
        <v>5315.6889480790305</v>
      </c>
      <c r="I217" s="63">
        <f>' 5-Forecast Cash Flow + Profits'!AO217</f>
        <v>5315.6889480790305</v>
      </c>
      <c r="J217" s="63">
        <f>' 5-Forecast Cash Flow + Profits'!AP217</f>
        <v>-684.31105192096948</v>
      </c>
      <c r="O217" s="23">
        <v>214</v>
      </c>
      <c r="P217" s="23" t="str">
        <f>VLOOKUP(O217,$A$4:$B$247,2,FALSE)</f>
        <v>W48</v>
      </c>
      <c r="Q217" s="23" t="str">
        <f>VLOOKUP(O217,$A$4:$F$247,5,FALSE)</f>
        <v>New York</v>
      </c>
      <c r="R217" s="23" t="str">
        <f>VLOOKUP(O217,$A$4:$F$247,6,FALSE)</f>
        <v>NY</v>
      </c>
      <c r="S217" s="68">
        <f>O217*' 5-Forecast Cash Flow + Profits'!$AG$7</f>
        <v>6420000</v>
      </c>
      <c r="T217" s="68">
        <f>VLOOKUP(O217,$A$4:$C$247,3,FALSE)</f>
        <v>3341.9293639050011</v>
      </c>
      <c r="U217" s="68">
        <f>VLOOKUP(O217,$A$4:$D$247,4,FALSE)</f>
        <v>-18356.470636095</v>
      </c>
      <c r="V217" s="89" t="str">
        <f>IF(S217&lt;$L$6,IF(U217&gt;' 5-Forecast Cash Flow + Profits'!$AG$29,"YES","NO"),"NO")</f>
        <v>NO</v>
      </c>
      <c r="W217" s="89" t="str">
        <f>IF(U217&gt;' 5-Forecast Cash Flow + Profits'!$AG$29, "YES", "NO")</f>
        <v>NO</v>
      </c>
      <c r="X217" s="68">
        <f>T217+X216</f>
        <v>621530.81109954324</v>
      </c>
      <c r="Y217" s="68">
        <f>VLOOKUP($O217,$A$4:$J$247,7,FALSE)</f>
        <v>-36356.470636095</v>
      </c>
      <c r="Z217" s="68">
        <f>VLOOKUP($O217,$A$4:$J$247,8,FALSE)</f>
        <v>-12356.470636095</v>
      </c>
      <c r="AA217" s="68">
        <f>VLOOKUP($O217,$A$4:$J$247,9,FALSE)</f>
        <v>-12356.470636095</v>
      </c>
      <c r="AB217" s="68">
        <f>VLOOKUP($O217,$A$4:$J$247,10,FALSE)</f>
        <v>-18356.470636095</v>
      </c>
    </row>
    <row r="218" spans="1:28">
      <c r="A218" s="23">
        <f>_xlfn.RANK.EQ(' 5-Forecast Cash Flow + Profits'!AP218,' 5-Forecast Cash Flow + Profits'!$AP$4:$AP$247,0)</f>
        <v>61</v>
      </c>
      <c r="B218" s="23" t="str">
        <f>' 5-Forecast Cash Flow + Profits'!A218</f>
        <v>W72</v>
      </c>
      <c r="C218" s="68">
        <f>' 5-Forecast Cash Flow + Profits'!AD218+' 5-Forecast Cash Flow + Profits'!AI218</f>
        <v>41859.311302656359</v>
      </c>
      <c r="D218" s="68">
        <f>' 5-Forecast Cash Flow + Profits'!AP218</f>
        <v>2646.9113026563609</v>
      </c>
      <c r="E218" t="s">
        <v>440</v>
      </c>
      <c r="F218" t="s">
        <v>418</v>
      </c>
      <c r="G218" s="63">
        <f>' 5-Forecast Cash Flow + Profits'!AM218</f>
        <v>-15353.088697343643</v>
      </c>
      <c r="H218" s="63">
        <f>' 5-Forecast Cash Flow + Profits'!AN218</f>
        <v>8646.9113026563609</v>
      </c>
      <c r="I218" s="63">
        <f>' 5-Forecast Cash Flow + Profits'!AO218</f>
        <v>8646.9113026563609</v>
      </c>
      <c r="J218" s="63">
        <f>' 5-Forecast Cash Flow + Profits'!AP218</f>
        <v>2646.9113026563609</v>
      </c>
      <c r="O218" s="23">
        <v>215</v>
      </c>
      <c r="P218" s="23" t="str">
        <f>VLOOKUP(O218,$A$4:$B$247,2,FALSE)</f>
        <v>W146</v>
      </c>
      <c r="Q218" s="23" t="str">
        <f>VLOOKUP(O218,$A$4:$F$247,5,FALSE)</f>
        <v>Denver</v>
      </c>
      <c r="R218" s="23" t="str">
        <f>VLOOKUP(O218,$A$4:$F$247,6,FALSE)</f>
        <v>CO</v>
      </c>
      <c r="S218" s="68">
        <f>O218*' 5-Forecast Cash Flow + Profits'!$AG$7</f>
        <v>6450000</v>
      </c>
      <c r="T218" s="68">
        <f>VLOOKUP(O218,$A$4:$C$247,3,FALSE)</f>
        <v>-20027.972499887484</v>
      </c>
      <c r="U218" s="68">
        <f>VLOOKUP(O218,$A$4:$D$247,4,FALSE)</f>
        <v>-18374.372499887482</v>
      </c>
      <c r="V218" s="89" t="str">
        <f>IF(S218&lt;$L$6,IF(U218&gt;' 5-Forecast Cash Flow + Profits'!$AG$29,"YES","NO"),"NO")</f>
        <v>NO</v>
      </c>
      <c r="W218" s="89" t="str">
        <f>IF(U218&gt;' 5-Forecast Cash Flow + Profits'!$AG$29, "YES", "NO")</f>
        <v>NO</v>
      </c>
      <c r="X218" s="68">
        <f>T218+X217</f>
        <v>601502.83859965578</v>
      </c>
      <c r="Y218" s="68">
        <f>VLOOKUP($O218,$A$4:$J$247,7,FALSE)</f>
        <v>-36374.372499887482</v>
      </c>
      <c r="Z218" s="68">
        <f>VLOOKUP($O218,$A$4:$J$247,8,FALSE)</f>
        <v>-12374.372499887484</v>
      </c>
      <c r="AA218" s="68">
        <f>VLOOKUP($O218,$A$4:$J$247,9,FALSE)</f>
        <v>-12374.372499887484</v>
      </c>
      <c r="AB218" s="68">
        <f>VLOOKUP($O218,$A$4:$J$247,10,FALSE)</f>
        <v>-18374.372499887482</v>
      </c>
    </row>
    <row r="219" spans="1:28">
      <c r="A219" s="23">
        <f>_xlfn.RANK.EQ(' 5-Forecast Cash Flow + Profits'!AP219,' 5-Forecast Cash Flow + Profits'!$AP$4:$AP$247,0)</f>
        <v>147</v>
      </c>
      <c r="B219" s="23" t="str">
        <f>' 5-Forecast Cash Flow + Profits'!A219</f>
        <v>W73</v>
      </c>
      <c r="C219" s="68">
        <f>' 5-Forecast Cash Flow + Profits'!AD219+' 5-Forecast Cash Flow + Profits'!AI219</f>
        <v>10543.70080969845</v>
      </c>
      <c r="D219" s="68">
        <f>' 5-Forecast Cash Flow + Profits'!AP219</f>
        <v>-9987.0991903015456</v>
      </c>
      <c r="E219" t="s">
        <v>440</v>
      </c>
      <c r="F219" t="s">
        <v>418</v>
      </c>
      <c r="G219" s="63">
        <f>' 5-Forecast Cash Flow + Profits'!AM219</f>
        <v>-27987.099190301546</v>
      </c>
      <c r="H219" s="63">
        <f>' 5-Forecast Cash Flow + Profits'!AN219</f>
        <v>-3987.0991903015456</v>
      </c>
      <c r="I219" s="63">
        <f>' 5-Forecast Cash Flow + Profits'!AO219</f>
        <v>-3987.0991903015456</v>
      </c>
      <c r="J219" s="63">
        <f>' 5-Forecast Cash Flow + Profits'!AP219</f>
        <v>-9987.0991903015456</v>
      </c>
      <c r="O219" s="23">
        <v>216</v>
      </c>
      <c r="P219" s="23" t="str">
        <f>VLOOKUP(O219,$A$4:$B$247,2,FALSE)</f>
        <v>W68</v>
      </c>
      <c r="Q219" s="23" t="str">
        <f>VLOOKUP(O219,$A$4:$F$247,5,FALSE)</f>
        <v>Palo Alto</v>
      </c>
      <c r="R219" s="23" t="str">
        <f>VLOOKUP(O219,$A$4:$F$247,6,FALSE)</f>
        <v>CA</v>
      </c>
      <c r="S219" s="68">
        <f>O219*' 5-Forecast Cash Flow + Profits'!$AG$7</f>
        <v>6480000</v>
      </c>
      <c r="T219" s="68">
        <f>VLOOKUP(O219,$A$4:$C$247,3,FALSE)</f>
        <v>-5242.6348737301087</v>
      </c>
      <c r="U219" s="68">
        <f>VLOOKUP(O219,$A$4:$D$247,4,FALSE)</f>
        <v>-18767.834873730109</v>
      </c>
      <c r="V219" s="89" t="str">
        <f>IF(S219&lt;$L$6,IF(U219&gt;' 5-Forecast Cash Flow + Profits'!$AG$29,"YES","NO"),"NO")</f>
        <v>NO</v>
      </c>
      <c r="W219" s="89" t="str">
        <f>IF(U219&gt;' 5-Forecast Cash Flow + Profits'!$AG$29, "YES", "NO")</f>
        <v>NO</v>
      </c>
      <c r="X219" s="68">
        <f>T219+X218</f>
        <v>596260.20372592565</v>
      </c>
      <c r="Y219" s="68">
        <f>VLOOKUP($O219,$A$4:$J$247,7,FALSE)</f>
        <v>-36767.834873730113</v>
      </c>
      <c r="Z219" s="68">
        <f>VLOOKUP($O219,$A$4:$J$247,8,FALSE)</f>
        <v>-12767.834873730109</v>
      </c>
      <c r="AA219" s="68">
        <f>VLOOKUP($O219,$A$4:$J$247,9,FALSE)</f>
        <v>-12767.834873730109</v>
      </c>
      <c r="AB219" s="68">
        <f>VLOOKUP($O219,$A$4:$J$247,10,FALSE)</f>
        <v>-18767.834873730109</v>
      </c>
    </row>
    <row r="220" spans="1:28">
      <c r="A220" s="23">
        <f>_xlfn.RANK.EQ(' 5-Forecast Cash Flow + Profits'!AP220,' 5-Forecast Cash Flow + Profits'!$AP$4:$AP$247,0)</f>
        <v>235</v>
      </c>
      <c r="B220" s="23" t="str">
        <f>' 5-Forecast Cash Flow + Profits'!A220</f>
        <v>W74</v>
      </c>
      <c r="C220" s="68">
        <f>' 5-Forecast Cash Flow + Profits'!AD220+' 5-Forecast Cash Flow + Profits'!AI220</f>
        <v>8581.1539790471143</v>
      </c>
      <c r="D220" s="68">
        <f>' 5-Forecast Cash Flow + Profits'!AP220</f>
        <v>-25960.846020952886</v>
      </c>
      <c r="E220" t="s">
        <v>440</v>
      </c>
      <c r="F220" t="s">
        <v>418</v>
      </c>
      <c r="G220" s="63">
        <f>' 5-Forecast Cash Flow + Profits'!AM220</f>
        <v>-43960.846020952886</v>
      </c>
      <c r="H220" s="63">
        <f>' 5-Forecast Cash Flow + Profits'!AN220</f>
        <v>-19960.846020952886</v>
      </c>
      <c r="I220" s="63">
        <f>' 5-Forecast Cash Flow + Profits'!AO220</f>
        <v>-19960.846020952886</v>
      </c>
      <c r="J220" s="63">
        <f>' 5-Forecast Cash Flow + Profits'!AP220</f>
        <v>-25960.846020952886</v>
      </c>
      <c r="O220" s="23">
        <v>217</v>
      </c>
      <c r="P220" s="23" t="str">
        <f>VLOOKUP(O220,$A$4:$B$247,2,FALSE)</f>
        <v>W222</v>
      </c>
      <c r="Q220" s="23" t="str">
        <f>VLOOKUP(O220,$A$4:$F$247,5,FALSE)</f>
        <v>Richmond</v>
      </c>
      <c r="R220" s="23" t="str">
        <f>VLOOKUP(O220,$A$4:$F$247,6,FALSE)</f>
        <v>VA</v>
      </c>
      <c r="S220" s="68">
        <f>O220*' 5-Forecast Cash Flow + Profits'!$AG$7</f>
        <v>6510000</v>
      </c>
      <c r="T220" s="68">
        <f>VLOOKUP(O220,$A$4:$C$247,3,FALSE)</f>
        <v>-17359.693186104862</v>
      </c>
      <c r="U220" s="68">
        <f>VLOOKUP(O220,$A$4:$D$247,4,FALSE)</f>
        <v>-18800.233186104866</v>
      </c>
      <c r="V220" s="89" t="str">
        <f>IF(S220&lt;$L$6,IF(U220&gt;' 5-Forecast Cash Flow + Profits'!$AG$29,"YES","NO"),"NO")</f>
        <v>NO</v>
      </c>
      <c r="W220" s="89" t="str">
        <f>IF(U220&gt;' 5-Forecast Cash Flow + Profits'!$AG$29, "YES", "NO")</f>
        <v>NO</v>
      </c>
      <c r="X220" s="68">
        <f>T220+X219</f>
        <v>578900.51053982077</v>
      </c>
      <c r="Y220" s="68">
        <f>VLOOKUP($O220,$A$4:$J$247,7,FALSE)</f>
        <v>-36800.233186104859</v>
      </c>
      <c r="Z220" s="68">
        <f>VLOOKUP($O220,$A$4:$J$247,8,FALSE)</f>
        <v>-12800.233186104866</v>
      </c>
      <c r="AA220" s="68">
        <f>VLOOKUP($O220,$A$4:$J$247,9,FALSE)</f>
        <v>-12800.233186104866</v>
      </c>
      <c r="AB220" s="68">
        <f>VLOOKUP($O220,$A$4:$J$247,10,FALSE)</f>
        <v>-18800.233186104866</v>
      </c>
    </row>
    <row r="221" spans="1:28">
      <c r="A221" s="23">
        <f>_xlfn.RANK.EQ(' 5-Forecast Cash Flow + Profits'!AP221,' 5-Forecast Cash Flow + Profits'!$AP$4:$AP$247,0)</f>
        <v>156</v>
      </c>
      <c r="B221" s="23" t="str">
        <f>' 5-Forecast Cash Flow + Profits'!A221</f>
        <v>W75</v>
      </c>
      <c r="C221" s="68">
        <f>' 5-Forecast Cash Flow + Profits'!AD221+' 5-Forecast Cash Flow + Profits'!AI221</f>
        <v>19850.918163508082</v>
      </c>
      <c r="D221" s="68">
        <f>' 5-Forecast Cash Flow + Profits'!AP221</f>
        <v>-11188.281836491915</v>
      </c>
      <c r="E221" t="s">
        <v>440</v>
      </c>
      <c r="F221" t="s">
        <v>418</v>
      </c>
      <c r="G221" s="63">
        <f>' 5-Forecast Cash Flow + Profits'!AM221</f>
        <v>-29188.281836491915</v>
      </c>
      <c r="H221" s="63">
        <f>' 5-Forecast Cash Flow + Profits'!AN221</f>
        <v>-5188.2818364919149</v>
      </c>
      <c r="I221" s="63">
        <f>' 5-Forecast Cash Flow + Profits'!AO221</f>
        <v>-5188.2818364919149</v>
      </c>
      <c r="J221" s="63">
        <f>' 5-Forecast Cash Flow + Profits'!AP221</f>
        <v>-11188.281836491915</v>
      </c>
      <c r="O221" s="23">
        <v>218</v>
      </c>
      <c r="P221" s="23" t="str">
        <f>VLOOKUP(O221,$A$4:$B$247,2,FALSE)</f>
        <v>W49</v>
      </c>
      <c r="Q221" s="23" t="str">
        <f>VLOOKUP(O221,$A$4:$F$247,5,FALSE)</f>
        <v>New York</v>
      </c>
      <c r="R221" s="23" t="str">
        <f>VLOOKUP(O221,$A$4:$F$247,6,FALSE)</f>
        <v>NY</v>
      </c>
      <c r="S221" s="68">
        <f>O221*' 5-Forecast Cash Flow + Profits'!$AG$7</f>
        <v>6540000</v>
      </c>
      <c r="T221" s="68">
        <f>VLOOKUP(O221,$A$4:$C$247,3,FALSE)</f>
        <v>11257.368466000902</v>
      </c>
      <c r="U221" s="68">
        <f>VLOOKUP(O221,$A$4:$D$247,4,FALSE)</f>
        <v>-19781.831533999091</v>
      </c>
      <c r="V221" s="89" t="str">
        <f>IF(S221&lt;$L$6,IF(U221&gt;' 5-Forecast Cash Flow + Profits'!$AG$29,"YES","NO"),"NO")</f>
        <v>NO</v>
      </c>
      <c r="W221" s="89" t="str">
        <f>IF(U221&gt;' 5-Forecast Cash Flow + Profits'!$AG$29, "YES", "NO")</f>
        <v>NO</v>
      </c>
      <c r="X221" s="68">
        <f>T221+X220</f>
        <v>590157.87900582165</v>
      </c>
      <c r="Y221" s="68">
        <f>VLOOKUP($O221,$A$4:$J$247,7,FALSE)</f>
        <v>-37781.831533999095</v>
      </c>
      <c r="Z221" s="68">
        <f>VLOOKUP($O221,$A$4:$J$247,8,FALSE)</f>
        <v>-13781.831533999091</v>
      </c>
      <c r="AA221" s="68">
        <f>VLOOKUP($O221,$A$4:$J$247,9,FALSE)</f>
        <v>-13781.831533999091</v>
      </c>
      <c r="AB221" s="68">
        <f>VLOOKUP($O221,$A$4:$J$247,10,FALSE)</f>
        <v>-19781.831533999091</v>
      </c>
    </row>
    <row r="222" spans="1:28">
      <c r="A222" s="23">
        <f>_xlfn.RANK.EQ(' 5-Forecast Cash Flow + Profits'!AP222,' 5-Forecast Cash Flow + Profits'!$AP$4:$AP$247,0)</f>
        <v>212</v>
      </c>
      <c r="B222" s="23" t="str">
        <f>' 5-Forecast Cash Flow + Profits'!A222</f>
        <v>W76</v>
      </c>
      <c r="C222" s="68">
        <f>' 5-Forecast Cash Flow + Profits'!AD222+' 5-Forecast Cash Flow + Profits'!AI222</f>
        <v>-6870.9820752572268</v>
      </c>
      <c r="D222" s="68">
        <f>' 5-Forecast Cash Flow + Profits'!AP222</f>
        <v>-18060.982075257227</v>
      </c>
      <c r="E222" t="s">
        <v>440</v>
      </c>
      <c r="F222" t="s">
        <v>418</v>
      </c>
      <c r="G222" s="63">
        <f>' 5-Forecast Cash Flow + Profits'!AM222</f>
        <v>-36060.982075257227</v>
      </c>
      <c r="H222" s="63">
        <f>' 5-Forecast Cash Flow + Profits'!AN222</f>
        <v>-12060.982075257225</v>
      </c>
      <c r="I222" s="63">
        <f>' 5-Forecast Cash Flow + Profits'!AO222</f>
        <v>-12060.982075257225</v>
      </c>
      <c r="J222" s="63">
        <f>' 5-Forecast Cash Flow + Profits'!AP222</f>
        <v>-18060.982075257227</v>
      </c>
      <c r="O222" s="23">
        <v>219</v>
      </c>
      <c r="P222" s="23" t="str">
        <f>VLOOKUP(O222,$A$4:$B$247,2,FALSE)</f>
        <v>W9</v>
      </c>
      <c r="Q222" s="23" t="str">
        <f>VLOOKUP(O222,$A$4:$F$247,5,FALSE)</f>
        <v>Chapel Hill</v>
      </c>
      <c r="R222" s="23" t="str">
        <f>VLOOKUP(O222,$A$4:$F$247,6,FALSE)</f>
        <v>NC</v>
      </c>
      <c r="S222" s="68">
        <f>O222*' 5-Forecast Cash Flow + Profits'!$AG$7</f>
        <v>6570000</v>
      </c>
      <c r="T222" s="68">
        <f>VLOOKUP(O222,$A$4:$C$247,3,FALSE)</f>
        <v>-26658.935522403634</v>
      </c>
      <c r="U222" s="68">
        <f>VLOOKUP(O222,$A$4:$D$247,4,FALSE)</f>
        <v>-19926.275522403634</v>
      </c>
      <c r="V222" s="89" t="str">
        <f>IF(S222&lt;$L$6,IF(U222&gt;' 5-Forecast Cash Flow + Profits'!$AG$29,"YES","NO"),"NO")</f>
        <v>NO</v>
      </c>
      <c r="W222" s="89" t="str">
        <f>IF(U222&gt;' 5-Forecast Cash Flow + Profits'!$AG$29, "YES", "NO")</f>
        <v>NO</v>
      </c>
      <c r="X222" s="68">
        <f>T222+X221</f>
        <v>563498.94348341797</v>
      </c>
      <c r="Y222" s="68">
        <f>VLOOKUP($O222,$A$4:$J$247,7,FALSE)</f>
        <v>-37926.275522403637</v>
      </c>
      <c r="Z222" s="68">
        <f>VLOOKUP($O222,$A$4:$J$247,8,FALSE)</f>
        <v>-13926.275522403635</v>
      </c>
      <c r="AA222" s="68">
        <f>VLOOKUP($O222,$A$4:$J$247,9,FALSE)</f>
        <v>-13926.275522403635</v>
      </c>
      <c r="AB222" s="68">
        <f>VLOOKUP($O222,$A$4:$J$247,10,FALSE)</f>
        <v>-19926.275522403634</v>
      </c>
    </row>
    <row r="223" spans="1:28">
      <c r="A223" s="23">
        <f>_xlfn.RANK.EQ(' 5-Forecast Cash Flow + Profits'!AP223,' 5-Forecast Cash Flow + Profits'!$AP$4:$AP$247,0)</f>
        <v>185</v>
      </c>
      <c r="B223" s="23" t="str">
        <f>' 5-Forecast Cash Flow + Profits'!A223</f>
        <v>W77</v>
      </c>
      <c r="C223" s="68">
        <f>' 5-Forecast Cash Flow + Profits'!AD223+' 5-Forecast Cash Flow + Profits'!AI223</f>
        <v>-3554.4837848628595</v>
      </c>
      <c r="D223" s="68">
        <f>' 5-Forecast Cash Flow + Profits'!AP223</f>
        <v>-14744.483784862863</v>
      </c>
      <c r="E223" t="s">
        <v>440</v>
      </c>
      <c r="F223" t="s">
        <v>418</v>
      </c>
      <c r="G223" s="63">
        <f>' 5-Forecast Cash Flow + Profits'!AM223</f>
        <v>-32744.483784862859</v>
      </c>
      <c r="H223" s="63">
        <f>' 5-Forecast Cash Flow + Profits'!AN223</f>
        <v>-8744.4837848628631</v>
      </c>
      <c r="I223" s="63">
        <f>' 5-Forecast Cash Flow + Profits'!AO223</f>
        <v>-8744.4837848628631</v>
      </c>
      <c r="J223" s="63">
        <f>' 5-Forecast Cash Flow + Profits'!AP223</f>
        <v>-14744.483784862863</v>
      </c>
      <c r="O223" s="23">
        <v>220</v>
      </c>
      <c r="P223" s="23" t="str">
        <f>VLOOKUP(O223,$A$4:$B$247,2,FALSE)</f>
        <v>W40</v>
      </c>
      <c r="Q223" s="23" t="str">
        <f>VLOOKUP(O223,$A$4:$F$247,5,FALSE)</f>
        <v>New York</v>
      </c>
      <c r="R223" s="23" t="str">
        <f>VLOOKUP(O223,$A$4:$F$247,6,FALSE)</f>
        <v>NY</v>
      </c>
      <c r="S223" s="68">
        <f>O223*' 5-Forecast Cash Flow + Profits'!$AG$7</f>
        <v>6600000</v>
      </c>
      <c r="T223" s="68">
        <f>VLOOKUP(O223,$A$4:$C$247,3,FALSE)</f>
        <v>14169.647717060427</v>
      </c>
      <c r="U223" s="68">
        <f>VLOOKUP(O223,$A$4:$D$247,4,FALSE)</f>
        <v>-20372.352282939573</v>
      </c>
      <c r="V223" s="89" t="str">
        <f>IF(S223&lt;$L$6,IF(U223&gt;' 5-Forecast Cash Flow + Profits'!$AG$29,"YES","NO"),"NO")</f>
        <v>NO</v>
      </c>
      <c r="W223" s="89" t="str">
        <f>IF(U223&gt;' 5-Forecast Cash Flow + Profits'!$AG$29, "YES", "NO")</f>
        <v>NO</v>
      </c>
      <c r="X223" s="68">
        <f>T223+X222</f>
        <v>577668.59120047837</v>
      </c>
      <c r="Y223" s="68">
        <f>VLOOKUP($O223,$A$4:$J$247,7,FALSE)</f>
        <v>-38372.352282939573</v>
      </c>
      <c r="Z223" s="68">
        <f>VLOOKUP($O223,$A$4:$J$247,8,FALSE)</f>
        <v>-14372.352282939575</v>
      </c>
      <c r="AA223" s="68">
        <f>VLOOKUP($O223,$A$4:$J$247,9,FALSE)</f>
        <v>-14372.352282939575</v>
      </c>
      <c r="AB223" s="68">
        <f>VLOOKUP($O223,$A$4:$J$247,10,FALSE)</f>
        <v>-20372.352282939573</v>
      </c>
    </row>
    <row r="224" spans="1:28">
      <c r="A224" s="23">
        <f>_xlfn.RANK.EQ(' 5-Forecast Cash Flow + Profits'!AP224,' 5-Forecast Cash Flow + Profits'!$AP$4:$AP$247,0)</f>
        <v>139</v>
      </c>
      <c r="B224" s="23" t="str">
        <f>' 5-Forecast Cash Flow + Profits'!A224</f>
        <v>W78</v>
      </c>
      <c r="C224" s="68">
        <f>' 5-Forecast Cash Flow + Profits'!AD224+' 5-Forecast Cash Flow + Profits'!AI224</f>
        <v>11702.246686104794</v>
      </c>
      <c r="D224" s="68">
        <f>' 5-Forecast Cash Flow + Profits'!AP224</f>
        <v>-8828.5533138951978</v>
      </c>
      <c r="E224" t="s">
        <v>440</v>
      </c>
      <c r="F224" t="s">
        <v>418</v>
      </c>
      <c r="G224" s="63">
        <f>' 5-Forecast Cash Flow + Profits'!AM224</f>
        <v>-26828.553313895201</v>
      </c>
      <c r="H224" s="63">
        <f>' 5-Forecast Cash Flow + Profits'!AN224</f>
        <v>-2828.5533138951978</v>
      </c>
      <c r="I224" s="63">
        <f>' 5-Forecast Cash Flow + Profits'!AO224</f>
        <v>-2828.5533138951978</v>
      </c>
      <c r="J224" s="63">
        <f>' 5-Forecast Cash Flow + Profits'!AP224</f>
        <v>-8828.5533138951978</v>
      </c>
      <c r="O224" s="23">
        <v>221</v>
      </c>
      <c r="P224" s="23" t="str">
        <f>VLOOKUP(O224,$A$4:$B$247,2,FALSE)</f>
        <v>W82</v>
      </c>
      <c r="Q224" s="23" t="str">
        <f>VLOOKUP(O224,$A$4:$F$247,5,FALSE)</f>
        <v>San Francisco</v>
      </c>
      <c r="R224" s="23" t="str">
        <f>VLOOKUP(O224,$A$4:$F$247,6,FALSE)</f>
        <v>CA</v>
      </c>
      <c r="S224" s="68">
        <f>O224*' 5-Forecast Cash Flow + Profits'!$AG$7</f>
        <v>6630000</v>
      </c>
      <c r="T224" s="68">
        <f>VLOOKUP(O224,$A$4:$C$247,3,FALSE)</f>
        <v>7713.9295437789988</v>
      </c>
      <c r="U224" s="68">
        <f>VLOOKUP(O224,$A$4:$D$247,4,FALSE)</f>
        <v>-20990.070456221001</v>
      </c>
      <c r="V224" s="89" t="str">
        <f>IF(S224&lt;$L$6,IF(U224&gt;' 5-Forecast Cash Flow + Profits'!$AG$29,"YES","NO"),"NO")</f>
        <v>NO</v>
      </c>
      <c r="W224" s="89" t="str">
        <f>IF(U224&gt;' 5-Forecast Cash Flow + Profits'!$AG$29, "YES", "NO")</f>
        <v>NO</v>
      </c>
      <c r="X224" s="68">
        <f>T224+X223</f>
        <v>585382.52074425737</v>
      </c>
      <c r="Y224" s="68">
        <f>VLOOKUP($O224,$A$4:$J$247,7,FALSE)</f>
        <v>-38990.070456221001</v>
      </c>
      <c r="Z224" s="68">
        <f>VLOOKUP($O224,$A$4:$J$247,8,FALSE)</f>
        <v>-14990.070456221003</v>
      </c>
      <c r="AA224" s="68">
        <f>VLOOKUP($O224,$A$4:$J$247,9,FALSE)</f>
        <v>-14990.070456221003</v>
      </c>
      <c r="AB224" s="68">
        <f>VLOOKUP($O224,$A$4:$J$247,10,FALSE)</f>
        <v>-20990.070456221001</v>
      </c>
    </row>
    <row r="225" spans="1:28">
      <c r="A225" s="23">
        <f>_xlfn.RANK.EQ(' 5-Forecast Cash Flow + Profits'!AP225,' 5-Forecast Cash Flow + Profits'!$AP$4:$AP$247,0)</f>
        <v>186</v>
      </c>
      <c r="B225" s="23" t="str">
        <f>' 5-Forecast Cash Flow + Profits'!A225</f>
        <v>W79</v>
      </c>
      <c r="C225" s="68">
        <f>' 5-Forecast Cash Flow + Profits'!AD225+' 5-Forecast Cash Flow + Profits'!AI225</f>
        <v>19704.934492269305</v>
      </c>
      <c r="D225" s="68">
        <f>' 5-Forecast Cash Flow + Profits'!AP225</f>
        <v>-14837.065507730695</v>
      </c>
      <c r="E225" t="s">
        <v>440</v>
      </c>
      <c r="F225" t="s">
        <v>418</v>
      </c>
      <c r="G225" s="63">
        <f>' 5-Forecast Cash Flow + Profits'!AM225</f>
        <v>-32837.065507730695</v>
      </c>
      <c r="H225" s="63">
        <f>' 5-Forecast Cash Flow + Profits'!AN225</f>
        <v>-8837.0655077306947</v>
      </c>
      <c r="I225" s="63">
        <f>' 5-Forecast Cash Flow + Profits'!AO225</f>
        <v>-8837.0655077306947</v>
      </c>
      <c r="J225" s="63">
        <f>' 5-Forecast Cash Flow + Profits'!AP225</f>
        <v>-14837.065507730695</v>
      </c>
      <c r="O225" s="23">
        <v>222</v>
      </c>
      <c r="P225" s="23" t="str">
        <f>VLOOKUP(O225,$A$4:$B$247,2,FALSE)</f>
        <v>W37</v>
      </c>
      <c r="Q225" s="23" t="str">
        <f>VLOOKUP(O225,$A$4:$F$247,5,FALSE)</f>
        <v>New York</v>
      </c>
      <c r="R225" s="23" t="str">
        <f>VLOOKUP(O225,$A$4:$F$247,6,FALSE)</f>
        <v>NY</v>
      </c>
      <c r="S225" s="68">
        <f>O225*' 5-Forecast Cash Flow + Profits'!$AG$7</f>
        <v>6660000</v>
      </c>
      <c r="T225" s="68">
        <f>VLOOKUP(O225,$A$4:$C$247,3,FALSE)</f>
        <v>-4271.4849760505385</v>
      </c>
      <c r="U225" s="68">
        <f>VLOOKUP(O225,$A$4:$D$247,4,FALSE)</f>
        <v>-21299.484976050539</v>
      </c>
      <c r="V225" s="89" t="str">
        <f>IF(S225&lt;$L$6,IF(U225&gt;' 5-Forecast Cash Flow + Profits'!$AG$29,"YES","NO"),"NO")</f>
        <v>NO</v>
      </c>
      <c r="W225" s="89" t="str">
        <f>IF(U225&gt;' 5-Forecast Cash Flow + Profits'!$AG$29, "YES", "NO")</f>
        <v>NO</v>
      </c>
      <c r="X225" s="68">
        <f>T225+X224</f>
        <v>581111.03576820681</v>
      </c>
      <c r="Y225" s="68">
        <f>VLOOKUP($O225,$A$4:$J$247,7,FALSE)</f>
        <v>-39299.484976050539</v>
      </c>
      <c r="Z225" s="68">
        <f>VLOOKUP($O225,$A$4:$J$247,8,FALSE)</f>
        <v>-15299.484976050537</v>
      </c>
      <c r="AA225" s="68">
        <f>VLOOKUP($O225,$A$4:$J$247,9,FALSE)</f>
        <v>-15299.484976050537</v>
      </c>
      <c r="AB225" s="68">
        <f>VLOOKUP($O225,$A$4:$J$247,10,FALSE)</f>
        <v>-21299.484976050539</v>
      </c>
    </row>
    <row r="226" spans="1:28">
      <c r="A226" s="23">
        <f>_xlfn.RANK.EQ(' 5-Forecast Cash Flow + Profits'!AP226,' 5-Forecast Cash Flow + Profits'!$AP$4:$AP$247,0)</f>
        <v>183</v>
      </c>
      <c r="B226" s="23" t="str">
        <f>' 5-Forecast Cash Flow + Profits'!A226</f>
        <v>W8</v>
      </c>
      <c r="C226" s="68">
        <f>' 5-Forecast Cash Flow + Profits'!AD226+' 5-Forecast Cash Flow + Profits'!AI226</f>
        <v>-26658.935522403634</v>
      </c>
      <c r="D226" s="68">
        <f>' 5-Forecast Cash Flow + Profits'!AP226</f>
        <v>-14496.935522403634</v>
      </c>
      <c r="E226" t="s">
        <v>415</v>
      </c>
      <c r="F226" t="s">
        <v>416</v>
      </c>
      <c r="G226" s="63">
        <f>' 5-Forecast Cash Flow + Profits'!AM226</f>
        <v>-32496.935522403634</v>
      </c>
      <c r="H226" s="63">
        <f>' 5-Forecast Cash Flow + Profits'!AN226</f>
        <v>-8496.9355224036353</v>
      </c>
      <c r="I226" s="63">
        <f>' 5-Forecast Cash Flow + Profits'!AO226</f>
        <v>-8496.9355224036353</v>
      </c>
      <c r="J226" s="63">
        <f>' 5-Forecast Cash Flow + Profits'!AP226</f>
        <v>-14496.935522403634</v>
      </c>
      <c r="O226" s="23">
        <v>223</v>
      </c>
      <c r="P226" s="23" t="str">
        <f>VLOOKUP(O226,$A$4:$B$247,2,FALSE)</f>
        <v>W91</v>
      </c>
      <c r="Q226" s="23" t="str">
        <f>VLOOKUP(O226,$A$4:$F$247,5,FALSE)</f>
        <v>San Francisco</v>
      </c>
      <c r="R226" s="23" t="str">
        <f>VLOOKUP(O226,$A$4:$F$247,6,FALSE)</f>
        <v>CA</v>
      </c>
      <c r="S226" s="68">
        <f>O226*' 5-Forecast Cash Flow + Profits'!$AG$7</f>
        <v>6690000</v>
      </c>
      <c r="T226" s="68">
        <f>VLOOKUP(O226,$A$4:$C$247,3,FALSE)</f>
        <v>1286.3372772478397</v>
      </c>
      <c r="U226" s="68">
        <f>VLOOKUP(O226,$A$4:$D$247,4,FALSE)</f>
        <v>-21579.66272275216</v>
      </c>
      <c r="V226" s="89" t="str">
        <f>IF(S226&lt;$L$6,IF(U226&gt;' 5-Forecast Cash Flow + Profits'!$AG$29,"YES","NO"),"NO")</f>
        <v>NO</v>
      </c>
      <c r="W226" s="89" t="str">
        <f>IF(U226&gt;' 5-Forecast Cash Flow + Profits'!$AG$29, "YES", "NO")</f>
        <v>NO</v>
      </c>
      <c r="X226" s="68">
        <f>T226+X225</f>
        <v>582397.37304545462</v>
      </c>
      <c r="Y226" s="68">
        <f>VLOOKUP($O226,$A$4:$J$247,7,FALSE)</f>
        <v>-39579.66272275216</v>
      </c>
      <c r="Z226" s="68">
        <f>VLOOKUP($O226,$A$4:$J$247,8,FALSE)</f>
        <v>-15579.66272275216</v>
      </c>
      <c r="AA226" s="68">
        <f>VLOOKUP($O226,$A$4:$J$247,9,FALSE)</f>
        <v>-15579.66272275216</v>
      </c>
      <c r="AB226" s="68">
        <f>VLOOKUP($O226,$A$4:$J$247,10,FALSE)</f>
        <v>-21579.66272275216</v>
      </c>
    </row>
    <row r="227" spans="1:28">
      <c r="A227" s="23">
        <f>_xlfn.RANK.EQ(' 5-Forecast Cash Flow + Profits'!AP227,' 5-Forecast Cash Flow + Profits'!$AP$4:$AP$247,0)</f>
        <v>89</v>
      </c>
      <c r="B227" s="23" t="str">
        <f>' 5-Forecast Cash Flow + Profits'!A227</f>
        <v>W80</v>
      </c>
      <c r="C227" s="68">
        <f>' 5-Forecast Cash Flow + Profits'!AD227+' 5-Forecast Cash Flow + Profits'!AI227</f>
        <v>28749.519417047348</v>
      </c>
      <c r="D227" s="68">
        <f>' 5-Forecast Cash Flow + Profits'!AP227</f>
        <v>-2289.6805829526493</v>
      </c>
      <c r="E227" t="s">
        <v>440</v>
      </c>
      <c r="F227" t="s">
        <v>418</v>
      </c>
      <c r="G227" s="63">
        <f>' 5-Forecast Cash Flow + Profits'!AM227</f>
        <v>-20289.680582952649</v>
      </c>
      <c r="H227" s="63">
        <f>' 5-Forecast Cash Flow + Profits'!AN227</f>
        <v>3710.3194170473507</v>
      </c>
      <c r="I227" s="63">
        <f>' 5-Forecast Cash Flow + Profits'!AO227</f>
        <v>3710.3194170473507</v>
      </c>
      <c r="J227" s="63">
        <f>' 5-Forecast Cash Flow + Profits'!AP227</f>
        <v>-2289.6805829526493</v>
      </c>
      <c r="O227" s="23">
        <v>224</v>
      </c>
      <c r="P227" s="23" t="str">
        <f>VLOOKUP(O227,$A$4:$B$247,2,FALSE)</f>
        <v>W38</v>
      </c>
      <c r="Q227" s="23" t="str">
        <f>VLOOKUP(O227,$A$4:$F$247,5,FALSE)</f>
        <v>New York</v>
      </c>
      <c r="R227" s="23" t="str">
        <f>VLOOKUP(O227,$A$4:$F$247,6,FALSE)</f>
        <v>NY</v>
      </c>
      <c r="S227" s="68">
        <f>O227*' 5-Forecast Cash Flow + Profits'!$AG$7</f>
        <v>6720000</v>
      </c>
      <c r="T227" s="68">
        <f>VLOOKUP(O227,$A$4:$C$247,3,FALSE)</f>
        <v>-2419.6091190061925</v>
      </c>
      <c r="U227" s="68">
        <f>VLOOKUP(O227,$A$4:$D$247,4,FALSE)</f>
        <v>-21782.809119006193</v>
      </c>
      <c r="V227" s="89" t="str">
        <f>IF(S227&lt;$L$6,IF(U227&gt;' 5-Forecast Cash Flow + Profits'!$AG$29,"YES","NO"),"NO")</f>
        <v>NO</v>
      </c>
      <c r="W227" s="89" t="str">
        <f>IF(U227&gt;' 5-Forecast Cash Flow + Profits'!$AG$29, "YES", "NO")</f>
        <v>NO</v>
      </c>
      <c r="X227" s="68">
        <f>T227+X226</f>
        <v>579977.76392644842</v>
      </c>
      <c r="Y227" s="68">
        <f>VLOOKUP($O227,$A$4:$J$247,7,FALSE)</f>
        <v>-39782.80911900619</v>
      </c>
      <c r="Z227" s="68">
        <f>VLOOKUP($O227,$A$4:$J$247,8,FALSE)</f>
        <v>-15782.809119006193</v>
      </c>
      <c r="AA227" s="68">
        <f>VLOOKUP($O227,$A$4:$J$247,9,FALSE)</f>
        <v>-15782.809119006193</v>
      </c>
      <c r="AB227" s="68">
        <f>VLOOKUP($O227,$A$4:$J$247,10,FALSE)</f>
        <v>-21782.809119006193</v>
      </c>
    </row>
    <row r="228" spans="1:28">
      <c r="A228" s="23">
        <f>_xlfn.RANK.EQ(' 5-Forecast Cash Flow + Profits'!AP228,' 5-Forecast Cash Flow + Profits'!$AP$4:$AP$247,0)</f>
        <v>45</v>
      </c>
      <c r="B228" s="23" t="str">
        <f>' 5-Forecast Cash Flow + Profits'!A228</f>
        <v>W81</v>
      </c>
      <c r="C228" s="68">
        <f>' 5-Forecast Cash Flow + Profits'!AD228+' 5-Forecast Cash Flow + Profits'!AI228</f>
        <v>29551.199973936025</v>
      </c>
      <c r="D228" s="68">
        <f>' 5-Forecast Cash Flow + Profits'!AP228</f>
        <v>5517.5999739360268</v>
      </c>
      <c r="E228" t="s">
        <v>417</v>
      </c>
      <c r="F228" t="s">
        <v>418</v>
      </c>
      <c r="G228" s="63">
        <f>' 5-Forecast Cash Flow + Profits'!AM228</f>
        <v>-12482.400026063973</v>
      </c>
      <c r="H228" s="63">
        <f>' 5-Forecast Cash Flow + Profits'!AN228</f>
        <v>11517.599973936027</v>
      </c>
      <c r="I228" s="63">
        <f>' 5-Forecast Cash Flow + Profits'!AO228</f>
        <v>11517.599973936027</v>
      </c>
      <c r="J228" s="63">
        <f>' 5-Forecast Cash Flow + Profits'!AP228</f>
        <v>5517.5999739360268</v>
      </c>
      <c r="O228" s="23">
        <v>225</v>
      </c>
      <c r="P228" s="23" t="str">
        <f>VLOOKUP(O228,$A$4:$B$247,2,FALSE)</f>
        <v>W88</v>
      </c>
      <c r="Q228" s="23" t="str">
        <f>VLOOKUP(O228,$A$4:$F$247,5,FALSE)</f>
        <v>San Francisco</v>
      </c>
      <c r="R228" s="23" t="str">
        <f>VLOOKUP(O228,$A$4:$F$247,6,FALSE)</f>
        <v>CA</v>
      </c>
      <c r="S228" s="68">
        <f>O228*' 5-Forecast Cash Flow + Profits'!$AG$7</f>
        <v>6750000</v>
      </c>
      <c r="T228" s="68">
        <f>VLOOKUP(O228,$A$4:$C$247,3,FALSE)</f>
        <v>-2983.8092795467164</v>
      </c>
      <c r="U228" s="68">
        <f>VLOOKUP(O228,$A$4:$D$247,4,FALSE)</f>
        <v>-22347.009279546714</v>
      </c>
      <c r="V228" s="89" t="str">
        <f>IF(S228&lt;$L$6,IF(U228&gt;' 5-Forecast Cash Flow + Profits'!$AG$29,"YES","NO"),"NO")</f>
        <v>NO</v>
      </c>
      <c r="W228" s="89" t="str">
        <f>IF(U228&gt;' 5-Forecast Cash Flow + Profits'!$AG$29, "YES", "NO")</f>
        <v>NO</v>
      </c>
      <c r="X228" s="68">
        <f>T228+X227</f>
        <v>576993.95464690169</v>
      </c>
      <c r="Y228" s="68">
        <f>VLOOKUP($O228,$A$4:$J$247,7,FALSE)</f>
        <v>-40347.009279546714</v>
      </c>
      <c r="Z228" s="68">
        <f>VLOOKUP($O228,$A$4:$J$247,8,FALSE)</f>
        <v>-16347.009279546714</v>
      </c>
      <c r="AA228" s="68">
        <f>VLOOKUP($O228,$A$4:$J$247,9,FALSE)</f>
        <v>-16347.009279546714</v>
      </c>
      <c r="AB228" s="68">
        <f>VLOOKUP($O228,$A$4:$J$247,10,FALSE)</f>
        <v>-22347.009279546714</v>
      </c>
    </row>
    <row r="229" spans="1:28">
      <c r="A229" s="23">
        <f>_xlfn.RANK.EQ(' 5-Forecast Cash Flow + Profits'!AP229,' 5-Forecast Cash Flow + Profits'!$AP$4:$AP$247,0)</f>
        <v>221</v>
      </c>
      <c r="B229" s="23" t="str">
        <f>' 5-Forecast Cash Flow + Profits'!A229</f>
        <v>W82</v>
      </c>
      <c r="C229" s="68">
        <f>' 5-Forecast Cash Flow + Profits'!AD229+' 5-Forecast Cash Flow + Profits'!AI229</f>
        <v>7713.9295437789988</v>
      </c>
      <c r="D229" s="68">
        <f>' 5-Forecast Cash Flow + Profits'!AP229</f>
        <v>-20990.070456221001</v>
      </c>
      <c r="E229" t="s">
        <v>417</v>
      </c>
      <c r="F229" t="s">
        <v>418</v>
      </c>
      <c r="G229" s="63">
        <f>' 5-Forecast Cash Flow + Profits'!AM229</f>
        <v>-38990.070456221001</v>
      </c>
      <c r="H229" s="63">
        <f>' 5-Forecast Cash Flow + Profits'!AN229</f>
        <v>-14990.070456221003</v>
      </c>
      <c r="I229" s="63">
        <f>' 5-Forecast Cash Flow + Profits'!AO229</f>
        <v>-14990.070456221003</v>
      </c>
      <c r="J229" s="63">
        <f>' 5-Forecast Cash Flow + Profits'!AP229</f>
        <v>-20990.070456221001</v>
      </c>
      <c r="O229" s="23">
        <v>226</v>
      </c>
      <c r="P229" s="23" t="str">
        <f>VLOOKUP(O229,$A$4:$B$247,2,FALSE)</f>
        <v>W90</v>
      </c>
      <c r="Q229" s="23" t="str">
        <f>VLOOKUP(O229,$A$4:$F$247,5,FALSE)</f>
        <v>San Francisco</v>
      </c>
      <c r="R229" s="23" t="str">
        <f>VLOOKUP(O229,$A$4:$F$247,6,FALSE)</f>
        <v>CA</v>
      </c>
      <c r="S229" s="68">
        <f>O229*' 5-Forecast Cash Flow + Profits'!$AG$7</f>
        <v>6780000</v>
      </c>
      <c r="T229" s="68">
        <f>VLOOKUP(O229,$A$4:$C$247,3,FALSE)</f>
        <v>-3170.9885311219114</v>
      </c>
      <c r="U229" s="68">
        <f>VLOOKUP(O229,$A$4:$D$247,4,FALSE)</f>
        <v>-22534.188531121908</v>
      </c>
      <c r="V229" s="89" t="str">
        <f>IF(S229&lt;$L$6,IF(U229&gt;' 5-Forecast Cash Flow + Profits'!$AG$29,"YES","NO"),"NO")</f>
        <v>NO</v>
      </c>
      <c r="W229" s="89" t="str">
        <f>IF(U229&gt;' 5-Forecast Cash Flow + Profits'!$AG$29, "YES", "NO")</f>
        <v>NO</v>
      </c>
      <c r="X229" s="68">
        <f>T229+X228</f>
        <v>573822.96611577983</v>
      </c>
      <c r="Y229" s="68">
        <f>VLOOKUP($O229,$A$4:$J$247,7,FALSE)</f>
        <v>-40534.188531121908</v>
      </c>
      <c r="Z229" s="68">
        <f>VLOOKUP($O229,$A$4:$J$247,8,FALSE)</f>
        <v>-16534.188531121908</v>
      </c>
      <c r="AA229" s="68">
        <f>VLOOKUP($O229,$A$4:$J$247,9,FALSE)</f>
        <v>-16534.188531121908</v>
      </c>
      <c r="AB229" s="68">
        <f>VLOOKUP($O229,$A$4:$J$247,10,FALSE)</f>
        <v>-22534.188531121908</v>
      </c>
    </row>
    <row r="230" spans="1:28">
      <c r="A230" s="23">
        <f>_xlfn.RANK.EQ(' 5-Forecast Cash Flow + Profits'!AP230,' 5-Forecast Cash Flow + Profits'!$AP$4:$AP$247,0)</f>
        <v>232</v>
      </c>
      <c r="B230" s="23" t="str">
        <f>' 5-Forecast Cash Flow + Profits'!A230</f>
        <v>W83</v>
      </c>
      <c r="C230" s="68">
        <f>' 5-Forecast Cash Flow + Profits'!AD230+' 5-Forecast Cash Flow + Profits'!AI230</f>
        <v>21327.031052787548</v>
      </c>
      <c r="D230" s="68">
        <f>' 5-Forecast Cash Flow + Profits'!AP230</f>
        <v>-24890.968947212452</v>
      </c>
      <c r="E230" t="s">
        <v>417</v>
      </c>
      <c r="F230" t="s">
        <v>418</v>
      </c>
      <c r="G230" s="63">
        <f>' 5-Forecast Cash Flow + Profits'!AM230</f>
        <v>-42890.968947212452</v>
      </c>
      <c r="H230" s="63">
        <f>' 5-Forecast Cash Flow + Profits'!AN230</f>
        <v>-18890.968947212452</v>
      </c>
      <c r="I230" s="63">
        <f>' 5-Forecast Cash Flow + Profits'!AO230</f>
        <v>-18890.968947212452</v>
      </c>
      <c r="J230" s="63">
        <f>' 5-Forecast Cash Flow + Profits'!AP230</f>
        <v>-24890.968947212452</v>
      </c>
      <c r="O230" s="23">
        <v>227</v>
      </c>
      <c r="P230" s="23" t="str">
        <f>VLOOKUP(O230,$A$4:$B$247,2,FALSE)</f>
        <v>W89</v>
      </c>
      <c r="Q230" s="23" t="str">
        <f>VLOOKUP(O230,$A$4:$F$247,5,FALSE)</f>
        <v>San Francisco</v>
      </c>
      <c r="R230" s="23" t="str">
        <f>VLOOKUP(O230,$A$4:$F$247,6,FALSE)</f>
        <v>CA</v>
      </c>
      <c r="S230" s="68">
        <f>O230*' 5-Forecast Cash Flow + Profits'!$AG$7</f>
        <v>6810000</v>
      </c>
      <c r="T230" s="68">
        <f>VLOOKUP(O230,$A$4:$C$247,3,FALSE)</f>
        <v>256.78222545031167</v>
      </c>
      <c r="U230" s="68">
        <f>VLOOKUP(O230,$A$4:$D$247,4,FALSE)</f>
        <v>-22609.217774549688</v>
      </c>
      <c r="V230" s="89" t="str">
        <f>IF(S230&lt;$L$6,IF(U230&gt;' 5-Forecast Cash Flow + Profits'!$AG$29,"YES","NO"),"NO")</f>
        <v>NO</v>
      </c>
      <c r="W230" s="89" t="str">
        <f>IF(U230&gt;' 5-Forecast Cash Flow + Profits'!$AG$29, "YES", "NO")</f>
        <v>NO</v>
      </c>
      <c r="X230" s="68">
        <f>T230+X229</f>
        <v>574079.74834123009</v>
      </c>
      <c r="Y230" s="68">
        <f>VLOOKUP($O230,$A$4:$J$247,7,FALSE)</f>
        <v>-40609.217774549688</v>
      </c>
      <c r="Z230" s="68">
        <f>VLOOKUP($O230,$A$4:$J$247,8,FALSE)</f>
        <v>-16609.217774549688</v>
      </c>
      <c r="AA230" s="68">
        <f>VLOOKUP($O230,$A$4:$J$247,9,FALSE)</f>
        <v>-16609.217774549688</v>
      </c>
      <c r="AB230" s="68">
        <f>VLOOKUP($O230,$A$4:$J$247,10,FALSE)</f>
        <v>-22609.217774549688</v>
      </c>
    </row>
    <row r="231" spans="1:28">
      <c r="A231" s="23">
        <f>_xlfn.RANK.EQ(' 5-Forecast Cash Flow + Profits'!AP231,' 5-Forecast Cash Flow + Profits'!$AP$4:$AP$247,0)</f>
        <v>160</v>
      </c>
      <c r="B231" s="23" t="str">
        <f>' 5-Forecast Cash Flow + Profits'!A231</f>
        <v>W84</v>
      </c>
      <c r="C231" s="68">
        <f>' 5-Forecast Cash Flow + Profits'!AD231+' 5-Forecast Cash Flow + Profits'!AI231</f>
        <v>5332.4087844328897</v>
      </c>
      <c r="D231" s="68">
        <f>' 5-Forecast Cash Flow + Profits'!AP231</f>
        <v>-11695.59121556711</v>
      </c>
      <c r="E231" t="s">
        <v>417</v>
      </c>
      <c r="F231" t="s">
        <v>418</v>
      </c>
      <c r="G231" s="63">
        <f>' 5-Forecast Cash Flow + Profits'!AM231</f>
        <v>-29695.59121556711</v>
      </c>
      <c r="H231" s="63">
        <f>' 5-Forecast Cash Flow + Profits'!AN231</f>
        <v>-5695.5912155671103</v>
      </c>
      <c r="I231" s="63">
        <f>' 5-Forecast Cash Flow + Profits'!AO231</f>
        <v>-5695.5912155671103</v>
      </c>
      <c r="J231" s="63">
        <f>' 5-Forecast Cash Flow + Profits'!AP231</f>
        <v>-11695.59121556711</v>
      </c>
      <c r="O231" s="23">
        <v>228</v>
      </c>
      <c r="P231" s="23" t="str">
        <f>VLOOKUP(O231,$A$4:$B$247,2,FALSE)</f>
        <v>W2</v>
      </c>
      <c r="Q231" s="23" t="str">
        <f>VLOOKUP(O231,$A$4:$F$247,5,FALSE)</f>
        <v>Chapel Hill</v>
      </c>
      <c r="R231" s="23" t="str">
        <f>VLOOKUP(O231,$A$4:$F$247,6,FALSE)</f>
        <v>NC</v>
      </c>
      <c r="S231" s="68">
        <f>O231*' 5-Forecast Cash Flow + Profits'!$AG$7</f>
        <v>6840000</v>
      </c>
      <c r="T231" s="68">
        <f>VLOOKUP(O231,$A$4:$C$247,3,FALSE)</f>
        <v>-23241.600547785787</v>
      </c>
      <c r="U231" s="68">
        <f>VLOOKUP(O231,$A$4:$D$247,4,FALSE)</f>
        <v>-22755.600547785787</v>
      </c>
      <c r="V231" s="89" t="str">
        <f>IF(S231&lt;$L$6,IF(U231&gt;' 5-Forecast Cash Flow + Profits'!$AG$29,"YES","NO"),"NO")</f>
        <v>NO</v>
      </c>
      <c r="W231" s="89" t="str">
        <f>IF(U231&gt;' 5-Forecast Cash Flow + Profits'!$AG$29, "YES", "NO")</f>
        <v>NO</v>
      </c>
      <c r="X231" s="68">
        <f>T231+X230</f>
        <v>550838.14779344434</v>
      </c>
      <c r="Y231" s="68">
        <f>VLOOKUP($O231,$A$4:$J$247,7,FALSE)</f>
        <v>-40755.600547785783</v>
      </c>
      <c r="Z231" s="68">
        <f>VLOOKUP($O231,$A$4:$J$247,8,FALSE)</f>
        <v>-16755.600547785787</v>
      </c>
      <c r="AA231" s="68">
        <f>VLOOKUP($O231,$A$4:$J$247,9,FALSE)</f>
        <v>-16755.600547785787</v>
      </c>
      <c r="AB231" s="68">
        <f>VLOOKUP($O231,$A$4:$J$247,10,FALSE)</f>
        <v>-22755.600547785787</v>
      </c>
    </row>
    <row r="232" spans="1:28">
      <c r="A232" s="23">
        <f>_xlfn.RANK.EQ(' 5-Forecast Cash Flow + Profits'!AP232,' 5-Forecast Cash Flow + Profits'!$AP$4:$AP$247,0)</f>
        <v>229</v>
      </c>
      <c r="B232" s="23" t="str">
        <f>' 5-Forecast Cash Flow + Profits'!A232</f>
        <v>W85</v>
      </c>
      <c r="C232" s="68">
        <f>' 5-Forecast Cash Flow + Profits'!AD232+' 5-Forecast Cash Flow + Profits'!AI232</f>
        <v>5778.9811192127454</v>
      </c>
      <c r="D232" s="68">
        <f>' 5-Forecast Cash Flow + Profits'!AP232</f>
        <v>-22925.018880787251</v>
      </c>
      <c r="E232" t="s">
        <v>417</v>
      </c>
      <c r="F232" t="s">
        <v>418</v>
      </c>
      <c r="G232" s="63">
        <f>' 5-Forecast Cash Flow + Profits'!AM232</f>
        <v>-40925.018880787255</v>
      </c>
      <c r="H232" s="63">
        <f>' 5-Forecast Cash Flow + Profits'!AN232</f>
        <v>-16925.018880787251</v>
      </c>
      <c r="I232" s="63">
        <f>' 5-Forecast Cash Flow + Profits'!AO232</f>
        <v>-16925.018880787251</v>
      </c>
      <c r="J232" s="63">
        <f>' 5-Forecast Cash Flow + Profits'!AP232</f>
        <v>-22925.018880787251</v>
      </c>
      <c r="O232" s="23">
        <v>229</v>
      </c>
      <c r="P232" s="23" t="str">
        <f>VLOOKUP(O232,$A$4:$B$247,2,FALSE)</f>
        <v>W85</v>
      </c>
      <c r="Q232" s="23" t="str">
        <f>VLOOKUP(O232,$A$4:$F$247,5,FALSE)</f>
        <v>San Francisco</v>
      </c>
      <c r="R232" s="23" t="str">
        <f>VLOOKUP(O232,$A$4:$F$247,6,FALSE)</f>
        <v>CA</v>
      </c>
      <c r="S232" s="68">
        <f>O232*' 5-Forecast Cash Flow + Profits'!$AG$7</f>
        <v>6870000</v>
      </c>
      <c r="T232" s="68">
        <f>VLOOKUP(O232,$A$4:$C$247,3,FALSE)</f>
        <v>5778.9811192127454</v>
      </c>
      <c r="U232" s="68">
        <f>VLOOKUP(O232,$A$4:$D$247,4,FALSE)</f>
        <v>-22925.018880787251</v>
      </c>
      <c r="V232" s="89" t="str">
        <f>IF(S232&lt;$L$6,IF(U232&gt;' 5-Forecast Cash Flow + Profits'!$AG$29,"YES","NO"),"NO")</f>
        <v>NO</v>
      </c>
      <c r="W232" s="89" t="str">
        <f>IF(U232&gt;' 5-Forecast Cash Flow + Profits'!$AG$29, "YES", "NO")</f>
        <v>NO</v>
      </c>
      <c r="X232" s="68">
        <f>T232+X231</f>
        <v>556617.12891265703</v>
      </c>
      <c r="Y232" s="68">
        <f>VLOOKUP($O232,$A$4:$J$247,7,FALSE)</f>
        <v>-40925.018880787255</v>
      </c>
      <c r="Z232" s="68">
        <f>VLOOKUP($O232,$A$4:$J$247,8,FALSE)</f>
        <v>-16925.018880787251</v>
      </c>
      <c r="AA232" s="68">
        <f>VLOOKUP($O232,$A$4:$J$247,9,FALSE)</f>
        <v>-16925.018880787251</v>
      </c>
      <c r="AB232" s="68">
        <f>VLOOKUP($O232,$A$4:$J$247,10,FALSE)</f>
        <v>-22925.018880787251</v>
      </c>
    </row>
    <row r="233" spans="1:28">
      <c r="A233" s="23">
        <f>_xlfn.RANK.EQ(' 5-Forecast Cash Flow + Profits'!AP233,' 5-Forecast Cash Flow + Profits'!$AP$4:$AP$247,0)</f>
        <v>241</v>
      </c>
      <c r="B233" s="23" t="str">
        <f>' 5-Forecast Cash Flow + Profits'!A233</f>
        <v>W86</v>
      </c>
      <c r="C233" s="68">
        <f>' 5-Forecast Cash Flow + Profits'!AD233+' 5-Forecast Cash Flow + Profits'!AI233</f>
        <v>-5818.6936578405366</v>
      </c>
      <c r="D233" s="68">
        <f>' 5-Forecast Cash Flow + Profits'!AP233</f>
        <v>-34522.693657840537</v>
      </c>
      <c r="E233" t="s">
        <v>417</v>
      </c>
      <c r="F233" t="s">
        <v>418</v>
      </c>
      <c r="G233" s="63">
        <f>' 5-Forecast Cash Flow + Profits'!AM233</f>
        <v>-52522.693657840537</v>
      </c>
      <c r="H233" s="63">
        <f>' 5-Forecast Cash Flow + Profits'!AN233</f>
        <v>-28522.693657840537</v>
      </c>
      <c r="I233" s="63">
        <f>' 5-Forecast Cash Flow + Profits'!AO233</f>
        <v>-28522.693657840537</v>
      </c>
      <c r="J233" s="63">
        <f>' 5-Forecast Cash Flow + Profits'!AP233</f>
        <v>-34522.693657840537</v>
      </c>
      <c r="O233" s="23">
        <v>230</v>
      </c>
      <c r="P233" s="23" t="str">
        <f>VLOOKUP(O233,$A$4:$B$247,2,FALSE)</f>
        <v>W60</v>
      </c>
      <c r="Q233" s="23" t="str">
        <f>VLOOKUP(O233,$A$4:$F$247,5,FALSE)</f>
        <v>New York</v>
      </c>
      <c r="R233" s="23" t="str">
        <f>VLOOKUP(O233,$A$4:$F$247,6,FALSE)</f>
        <v>NY</v>
      </c>
      <c r="S233" s="68">
        <f>O233*' 5-Forecast Cash Flow + Profits'!$AG$7</f>
        <v>6900000</v>
      </c>
      <c r="T233" s="68">
        <f>VLOOKUP(O233,$A$4:$C$247,3,FALSE)</f>
        <v>-11477.948235971384</v>
      </c>
      <c r="U233" s="68">
        <f>VLOOKUP(O233,$A$4:$D$247,4,FALSE)</f>
        <v>-23835.548235971382</v>
      </c>
      <c r="V233" s="89" t="str">
        <f>IF(S233&lt;$L$6,IF(U233&gt;' 5-Forecast Cash Flow + Profits'!$AG$29,"YES","NO"),"NO")</f>
        <v>NO</v>
      </c>
      <c r="W233" s="89" t="str">
        <f>IF(U233&gt;' 5-Forecast Cash Flow + Profits'!$AG$29, "YES", "NO")</f>
        <v>NO</v>
      </c>
      <c r="X233" s="68">
        <f>T233+X232</f>
        <v>545139.18067668565</v>
      </c>
      <c r="Y233" s="68">
        <f>VLOOKUP($O233,$A$4:$J$247,7,FALSE)</f>
        <v>-41835.548235971379</v>
      </c>
      <c r="Z233" s="68">
        <f>VLOOKUP($O233,$A$4:$J$247,8,FALSE)</f>
        <v>-17835.548235971382</v>
      </c>
      <c r="AA233" s="68">
        <f>VLOOKUP($O233,$A$4:$J$247,9,FALSE)</f>
        <v>-17835.548235971382</v>
      </c>
      <c r="AB233" s="68">
        <f>VLOOKUP($O233,$A$4:$J$247,10,FALSE)</f>
        <v>-23835.548235971382</v>
      </c>
    </row>
    <row r="234" spans="1:28">
      <c r="A234" s="23">
        <f>_xlfn.RANK.EQ(' 5-Forecast Cash Flow + Profits'!AP234,' 5-Forecast Cash Flow + Profits'!$AP$4:$AP$247,0)</f>
        <v>242</v>
      </c>
      <c r="B234" s="23" t="str">
        <f>' 5-Forecast Cash Flow + Profits'!A234</f>
        <v>W87</v>
      </c>
      <c r="C234" s="68">
        <f>' 5-Forecast Cash Flow + Profits'!AD234+' 5-Forecast Cash Flow + Profits'!AI234</f>
        <v>1228.5448423579728</v>
      </c>
      <c r="D234" s="68">
        <f>' 5-Forecast Cash Flow + Profits'!AP234</f>
        <v>-39151.455157642027</v>
      </c>
      <c r="E234" t="s">
        <v>417</v>
      </c>
      <c r="F234" t="s">
        <v>418</v>
      </c>
      <c r="G234" s="63">
        <f>' 5-Forecast Cash Flow + Profits'!AM234</f>
        <v>-57151.455157642027</v>
      </c>
      <c r="H234" s="63">
        <f>' 5-Forecast Cash Flow + Profits'!AN234</f>
        <v>-33151.455157642027</v>
      </c>
      <c r="I234" s="63">
        <f>' 5-Forecast Cash Flow + Profits'!AO234</f>
        <v>-33151.455157642027</v>
      </c>
      <c r="J234" s="63">
        <f>' 5-Forecast Cash Flow + Profits'!AP234</f>
        <v>-39151.455157642027</v>
      </c>
      <c r="O234" s="23">
        <v>231</v>
      </c>
      <c r="P234" s="23" t="str">
        <f>VLOOKUP(O234,$A$4:$B$247,2,FALSE)</f>
        <v>W56</v>
      </c>
      <c r="Q234" s="23" t="str">
        <f>VLOOKUP(O234,$A$4:$F$247,5,FALSE)</f>
        <v>New York</v>
      </c>
      <c r="R234" s="23" t="str">
        <f>VLOOKUP(O234,$A$4:$F$247,6,FALSE)</f>
        <v>NY</v>
      </c>
      <c r="S234" s="68">
        <f>O234*' 5-Forecast Cash Flow + Profits'!$AG$7</f>
        <v>6930000</v>
      </c>
      <c r="T234" s="68">
        <f>VLOOKUP(O234,$A$4:$C$247,3,FALSE)</f>
        <v>-7181.29616568239</v>
      </c>
      <c r="U234" s="68">
        <f>VLOOKUP(O234,$A$4:$D$247,4,FALSE)</f>
        <v>-24209.296165682394</v>
      </c>
      <c r="V234" s="89" t="str">
        <f>IF(S234&lt;$L$6,IF(U234&gt;' 5-Forecast Cash Flow + Profits'!$AG$29,"YES","NO"),"NO")</f>
        <v>NO</v>
      </c>
      <c r="W234" s="89" t="str">
        <f>IF(U234&gt;' 5-Forecast Cash Flow + Profits'!$AG$29, "YES", "NO")</f>
        <v>NO</v>
      </c>
      <c r="X234" s="68">
        <f>T234+X233</f>
        <v>537957.88451100327</v>
      </c>
      <c r="Y234" s="68">
        <f>VLOOKUP($O234,$A$4:$J$247,7,FALSE)</f>
        <v>-42209.29616568239</v>
      </c>
      <c r="Z234" s="68">
        <f>VLOOKUP($O234,$A$4:$J$247,8,FALSE)</f>
        <v>-18209.296165682394</v>
      </c>
      <c r="AA234" s="68">
        <f>VLOOKUP($O234,$A$4:$J$247,9,FALSE)</f>
        <v>-18209.296165682394</v>
      </c>
      <c r="AB234" s="68">
        <f>VLOOKUP($O234,$A$4:$J$247,10,FALSE)</f>
        <v>-24209.296165682394</v>
      </c>
    </row>
    <row r="235" spans="1:28">
      <c r="A235" s="23">
        <f>_xlfn.RANK.EQ(' 5-Forecast Cash Flow + Profits'!AP235,' 5-Forecast Cash Flow + Profits'!$AP$4:$AP$247,0)</f>
        <v>225</v>
      </c>
      <c r="B235" s="23" t="str">
        <f>' 5-Forecast Cash Flow + Profits'!A235</f>
        <v>W88</v>
      </c>
      <c r="C235" s="68">
        <f>' 5-Forecast Cash Flow + Profits'!AD235+' 5-Forecast Cash Flow + Profits'!AI235</f>
        <v>-2983.8092795467164</v>
      </c>
      <c r="D235" s="68">
        <f>' 5-Forecast Cash Flow + Profits'!AP235</f>
        <v>-22347.009279546714</v>
      </c>
      <c r="E235" t="s">
        <v>417</v>
      </c>
      <c r="F235" t="s">
        <v>418</v>
      </c>
      <c r="G235" s="63">
        <f>' 5-Forecast Cash Flow + Profits'!AM235</f>
        <v>-40347.009279546714</v>
      </c>
      <c r="H235" s="63">
        <f>' 5-Forecast Cash Flow + Profits'!AN235</f>
        <v>-16347.009279546714</v>
      </c>
      <c r="I235" s="63">
        <f>' 5-Forecast Cash Flow + Profits'!AO235</f>
        <v>-16347.009279546714</v>
      </c>
      <c r="J235" s="63">
        <f>' 5-Forecast Cash Flow + Profits'!AP235</f>
        <v>-22347.009279546714</v>
      </c>
      <c r="O235" s="23">
        <v>232</v>
      </c>
      <c r="P235" s="23" t="str">
        <f>VLOOKUP(O235,$A$4:$B$247,2,FALSE)</f>
        <v>W83</v>
      </c>
      <c r="Q235" s="23" t="str">
        <f>VLOOKUP(O235,$A$4:$F$247,5,FALSE)</f>
        <v>San Francisco</v>
      </c>
      <c r="R235" s="23" t="str">
        <f>VLOOKUP(O235,$A$4:$F$247,6,FALSE)</f>
        <v>CA</v>
      </c>
      <c r="S235" s="68">
        <f>O235*' 5-Forecast Cash Flow + Profits'!$AG$7</f>
        <v>6960000</v>
      </c>
      <c r="T235" s="68">
        <f>VLOOKUP(O235,$A$4:$C$247,3,FALSE)</f>
        <v>21327.031052787548</v>
      </c>
      <c r="U235" s="68">
        <f>VLOOKUP(O235,$A$4:$D$247,4,FALSE)</f>
        <v>-24890.968947212452</v>
      </c>
      <c r="V235" s="89" t="str">
        <f>IF(S235&lt;$L$6,IF(U235&gt;' 5-Forecast Cash Flow + Profits'!$AG$29,"YES","NO"),"NO")</f>
        <v>NO</v>
      </c>
      <c r="W235" s="89" t="str">
        <f>IF(U235&gt;' 5-Forecast Cash Flow + Profits'!$AG$29, "YES", "NO")</f>
        <v>NO</v>
      </c>
      <c r="X235" s="68">
        <f>T235+X234</f>
        <v>559284.91556379083</v>
      </c>
      <c r="Y235" s="68">
        <f>VLOOKUP($O235,$A$4:$J$247,7,FALSE)</f>
        <v>-42890.968947212452</v>
      </c>
      <c r="Z235" s="68">
        <f>VLOOKUP($O235,$A$4:$J$247,8,FALSE)</f>
        <v>-18890.968947212452</v>
      </c>
      <c r="AA235" s="68">
        <f>VLOOKUP($O235,$A$4:$J$247,9,FALSE)</f>
        <v>-18890.968947212452</v>
      </c>
      <c r="AB235" s="68">
        <f>VLOOKUP($O235,$A$4:$J$247,10,FALSE)</f>
        <v>-24890.968947212452</v>
      </c>
    </row>
    <row r="236" spans="1:28">
      <c r="A236" s="23">
        <f>_xlfn.RANK.EQ(' 5-Forecast Cash Flow + Profits'!AP236,' 5-Forecast Cash Flow + Profits'!$AP$4:$AP$247,0)</f>
        <v>227</v>
      </c>
      <c r="B236" s="23" t="str">
        <f>' 5-Forecast Cash Flow + Profits'!A236</f>
        <v>W89</v>
      </c>
      <c r="C236" s="68">
        <f>' 5-Forecast Cash Flow + Profits'!AD236+' 5-Forecast Cash Flow + Profits'!AI236</f>
        <v>256.78222545031167</v>
      </c>
      <c r="D236" s="68">
        <f>' 5-Forecast Cash Flow + Profits'!AP236</f>
        <v>-22609.217774549688</v>
      </c>
      <c r="E236" t="s">
        <v>417</v>
      </c>
      <c r="F236" t="s">
        <v>418</v>
      </c>
      <c r="G236" s="63">
        <f>' 5-Forecast Cash Flow + Profits'!AM236</f>
        <v>-40609.217774549688</v>
      </c>
      <c r="H236" s="63">
        <f>' 5-Forecast Cash Flow + Profits'!AN236</f>
        <v>-16609.217774549688</v>
      </c>
      <c r="I236" s="63">
        <f>' 5-Forecast Cash Flow + Profits'!AO236</f>
        <v>-16609.217774549688</v>
      </c>
      <c r="J236" s="63">
        <f>' 5-Forecast Cash Flow + Profits'!AP236</f>
        <v>-22609.217774549688</v>
      </c>
      <c r="O236" s="23">
        <v>233</v>
      </c>
      <c r="P236" s="23" t="str">
        <f>VLOOKUP(O236,$A$4:$B$247,2,FALSE)</f>
        <v>W53</v>
      </c>
      <c r="Q236" s="23" t="str">
        <f>VLOOKUP(O236,$A$4:$F$247,5,FALSE)</f>
        <v>New York</v>
      </c>
      <c r="R236" s="23" t="str">
        <f>VLOOKUP(O236,$A$4:$F$247,6,FALSE)</f>
        <v>NY</v>
      </c>
      <c r="S236" s="68">
        <f>O236*' 5-Forecast Cash Flow + Profits'!$AG$7</f>
        <v>6990000</v>
      </c>
      <c r="T236" s="68">
        <f>VLOOKUP(O236,$A$4:$C$247,3,FALSE)</f>
        <v>-2181.4508356255246</v>
      </c>
      <c r="U236" s="68">
        <f>VLOOKUP(O236,$A$4:$D$247,4,FALSE)</f>
        <v>-25047.450835625525</v>
      </c>
      <c r="V236" s="89" t="str">
        <f>IF(S236&lt;$L$6,IF(U236&gt;' 5-Forecast Cash Flow + Profits'!$AG$29,"YES","NO"),"NO")</f>
        <v>NO</v>
      </c>
      <c r="W236" s="89" t="str">
        <f>IF(U236&gt;' 5-Forecast Cash Flow + Profits'!$AG$29, "YES", "NO")</f>
        <v>NO</v>
      </c>
      <c r="X236" s="68">
        <f>T236+X235</f>
        <v>557103.4647281653</v>
      </c>
      <c r="Y236" s="68">
        <f>VLOOKUP($O236,$A$4:$J$247,7,FALSE)</f>
        <v>-43047.450835625525</v>
      </c>
      <c r="Z236" s="68">
        <f>VLOOKUP($O236,$A$4:$J$247,8,FALSE)</f>
        <v>-19047.450835625525</v>
      </c>
      <c r="AA236" s="68">
        <f>VLOOKUP($O236,$A$4:$J$247,9,FALSE)</f>
        <v>-19047.450835625525</v>
      </c>
      <c r="AB236" s="68">
        <f>VLOOKUP($O236,$A$4:$J$247,10,FALSE)</f>
        <v>-25047.450835625525</v>
      </c>
    </row>
    <row r="237" spans="1:28">
      <c r="A237" s="23">
        <f>_xlfn.RANK.EQ(' 5-Forecast Cash Flow + Profits'!AP237,' 5-Forecast Cash Flow + Profits'!$AP$4:$AP$247,0)</f>
        <v>219</v>
      </c>
      <c r="B237" s="23" t="str">
        <f>' 5-Forecast Cash Flow + Profits'!A237</f>
        <v>W9</v>
      </c>
      <c r="C237" s="68">
        <f>' 5-Forecast Cash Flow + Profits'!AD237+' 5-Forecast Cash Flow + Profits'!AI237</f>
        <v>-26658.935522403634</v>
      </c>
      <c r="D237" s="68">
        <f>' 5-Forecast Cash Flow + Profits'!AP237</f>
        <v>-19926.275522403634</v>
      </c>
      <c r="E237" t="s">
        <v>415</v>
      </c>
      <c r="F237" t="s">
        <v>416</v>
      </c>
      <c r="G237" s="63">
        <f>' 5-Forecast Cash Flow + Profits'!AM237</f>
        <v>-37926.275522403637</v>
      </c>
      <c r="H237" s="63">
        <f>' 5-Forecast Cash Flow + Profits'!AN237</f>
        <v>-13926.275522403635</v>
      </c>
      <c r="I237" s="63">
        <f>' 5-Forecast Cash Flow + Profits'!AO237</f>
        <v>-13926.275522403635</v>
      </c>
      <c r="J237" s="63">
        <f>' 5-Forecast Cash Flow + Profits'!AP237</f>
        <v>-19926.275522403634</v>
      </c>
      <c r="O237" s="23">
        <v>234</v>
      </c>
      <c r="P237" s="23" t="str">
        <f>VLOOKUP(O237,$A$4:$B$247,2,FALSE)</f>
        <v>W3</v>
      </c>
      <c r="Q237" s="23" t="str">
        <f>VLOOKUP(O237,$A$4:$F$247,5,FALSE)</f>
        <v>Chapel Hill</v>
      </c>
      <c r="R237" s="23" t="str">
        <f>VLOOKUP(O237,$A$4:$F$247,6,FALSE)</f>
        <v>NC</v>
      </c>
      <c r="S237" s="68">
        <f>O237*' 5-Forecast Cash Flow + Profits'!$AG$7</f>
        <v>7020000</v>
      </c>
      <c r="T237" s="68">
        <f>VLOOKUP(O237,$A$4:$C$247,3,FALSE)</f>
        <v>-20099.191793342816</v>
      </c>
      <c r="U237" s="68">
        <f>VLOOKUP(O237,$A$4:$D$247,4,FALSE)</f>
        <v>-25451.191793342816</v>
      </c>
      <c r="V237" s="89" t="str">
        <f>IF(S237&lt;$L$6,IF(U237&gt;' 5-Forecast Cash Flow + Profits'!$AG$29,"YES","NO"),"NO")</f>
        <v>NO</v>
      </c>
      <c r="W237" s="89" t="str">
        <f>IF(U237&gt;' 5-Forecast Cash Flow + Profits'!$AG$29, "YES", "NO")</f>
        <v>NO</v>
      </c>
      <c r="X237" s="68">
        <f>T237+X236</f>
        <v>537004.27293482248</v>
      </c>
      <c r="Y237" s="68">
        <f>VLOOKUP($O237,$A$4:$J$247,7,FALSE)</f>
        <v>-43451.191793342819</v>
      </c>
      <c r="Z237" s="68">
        <f>VLOOKUP($O237,$A$4:$J$247,8,FALSE)</f>
        <v>-19451.191793342816</v>
      </c>
      <c r="AA237" s="68">
        <f>VLOOKUP($O237,$A$4:$J$247,9,FALSE)</f>
        <v>-19451.191793342816</v>
      </c>
      <c r="AB237" s="68">
        <f>VLOOKUP($O237,$A$4:$J$247,10,FALSE)</f>
        <v>-25451.191793342816</v>
      </c>
    </row>
    <row r="238" spans="1:28">
      <c r="A238" s="23">
        <f>_xlfn.RANK.EQ(' 5-Forecast Cash Flow + Profits'!AP238,' 5-Forecast Cash Flow + Profits'!$AP$4:$AP$247,0)</f>
        <v>226</v>
      </c>
      <c r="B238" s="23" t="str">
        <f>' 5-Forecast Cash Flow + Profits'!A238</f>
        <v>W90</v>
      </c>
      <c r="C238" s="68">
        <f>' 5-Forecast Cash Flow + Profits'!AD238+' 5-Forecast Cash Flow + Profits'!AI238</f>
        <v>-3170.9885311219114</v>
      </c>
      <c r="D238" s="68">
        <f>' 5-Forecast Cash Flow + Profits'!AP238</f>
        <v>-22534.188531121908</v>
      </c>
      <c r="E238" t="s">
        <v>417</v>
      </c>
      <c r="F238" t="s">
        <v>418</v>
      </c>
      <c r="G238" s="63">
        <f>' 5-Forecast Cash Flow + Profits'!AM238</f>
        <v>-40534.188531121908</v>
      </c>
      <c r="H238" s="63">
        <f>' 5-Forecast Cash Flow + Profits'!AN238</f>
        <v>-16534.188531121908</v>
      </c>
      <c r="I238" s="63">
        <f>' 5-Forecast Cash Flow + Profits'!AO238</f>
        <v>-16534.188531121908</v>
      </c>
      <c r="J238" s="63">
        <f>' 5-Forecast Cash Flow + Profits'!AP238</f>
        <v>-22534.188531121908</v>
      </c>
      <c r="O238" s="23">
        <v>235</v>
      </c>
      <c r="P238" s="23" t="str">
        <f>VLOOKUP(O238,$A$4:$B$247,2,FALSE)</f>
        <v>W74</v>
      </c>
      <c r="Q238" s="23" t="str">
        <f>VLOOKUP(O238,$A$4:$F$247,5,FALSE)</f>
        <v>Palo Alto</v>
      </c>
      <c r="R238" s="23" t="str">
        <f>VLOOKUP(O238,$A$4:$F$247,6,FALSE)</f>
        <v>CA</v>
      </c>
      <c r="S238" s="68">
        <f>O238*' 5-Forecast Cash Flow + Profits'!$AG$7</f>
        <v>7050000</v>
      </c>
      <c r="T238" s="68">
        <f>VLOOKUP(O238,$A$4:$C$247,3,FALSE)</f>
        <v>8581.1539790471143</v>
      </c>
      <c r="U238" s="68">
        <f>VLOOKUP(O238,$A$4:$D$247,4,FALSE)</f>
        <v>-25960.846020952886</v>
      </c>
      <c r="V238" s="89" t="str">
        <f>IF(S238&lt;$L$6,IF(U238&gt;' 5-Forecast Cash Flow + Profits'!$AG$29,"YES","NO"),"NO")</f>
        <v>NO</v>
      </c>
      <c r="W238" s="89" t="str">
        <f>IF(U238&gt;' 5-Forecast Cash Flow + Profits'!$AG$29, "YES", "NO")</f>
        <v>NO</v>
      </c>
      <c r="X238" s="68">
        <f>T238+X237</f>
        <v>545585.42691386957</v>
      </c>
      <c r="Y238" s="68">
        <f>VLOOKUP($O238,$A$4:$J$247,7,FALSE)</f>
        <v>-43960.846020952886</v>
      </c>
      <c r="Z238" s="68">
        <f>VLOOKUP($O238,$A$4:$J$247,8,FALSE)</f>
        <v>-19960.846020952886</v>
      </c>
      <c r="AA238" s="68">
        <f>VLOOKUP($O238,$A$4:$J$247,9,FALSE)</f>
        <v>-19960.846020952886</v>
      </c>
      <c r="AB238" s="68">
        <f>VLOOKUP($O238,$A$4:$J$247,10,FALSE)</f>
        <v>-25960.846020952886</v>
      </c>
    </row>
    <row r="239" spans="1:28">
      <c r="A239" s="23">
        <f>_xlfn.RANK.EQ(' 5-Forecast Cash Flow + Profits'!AP239,' 5-Forecast Cash Flow + Profits'!$AP$4:$AP$247,0)</f>
        <v>223</v>
      </c>
      <c r="B239" s="23" t="str">
        <f>' 5-Forecast Cash Flow + Profits'!A239</f>
        <v>W91</v>
      </c>
      <c r="C239" s="68">
        <f>' 5-Forecast Cash Flow + Profits'!AD239+' 5-Forecast Cash Flow + Profits'!AI239</f>
        <v>1286.3372772478397</v>
      </c>
      <c r="D239" s="68">
        <f>' 5-Forecast Cash Flow + Profits'!AP239</f>
        <v>-21579.66272275216</v>
      </c>
      <c r="E239" t="s">
        <v>417</v>
      </c>
      <c r="F239" t="s">
        <v>418</v>
      </c>
      <c r="G239" s="63">
        <f>' 5-Forecast Cash Flow + Profits'!AM239</f>
        <v>-39579.66272275216</v>
      </c>
      <c r="H239" s="63">
        <f>' 5-Forecast Cash Flow + Profits'!AN239</f>
        <v>-15579.66272275216</v>
      </c>
      <c r="I239" s="63">
        <f>' 5-Forecast Cash Flow + Profits'!AO239</f>
        <v>-15579.66272275216</v>
      </c>
      <c r="J239" s="63">
        <f>' 5-Forecast Cash Flow + Profits'!AP239</f>
        <v>-21579.66272275216</v>
      </c>
      <c r="O239" s="23">
        <v>236</v>
      </c>
      <c r="P239" s="23" t="str">
        <f>VLOOKUP(O239,$A$4:$B$247,2,FALSE)</f>
        <v>W99</v>
      </c>
      <c r="Q239" s="23" t="str">
        <f>VLOOKUP(O239,$A$4:$F$247,5,FALSE)</f>
        <v>San Francisco</v>
      </c>
      <c r="R239" s="23" t="str">
        <f>VLOOKUP(O239,$A$4:$F$247,6,FALSE)</f>
        <v>CA</v>
      </c>
      <c r="S239" s="68">
        <f>O239*' 5-Forecast Cash Flow + Profits'!$AG$7</f>
        <v>7080000</v>
      </c>
      <c r="T239" s="68">
        <f>VLOOKUP(O239,$A$4:$C$247,3,FALSE)</f>
        <v>25797.608821235241</v>
      </c>
      <c r="U239" s="68">
        <f>VLOOKUP(O239,$A$4:$D$247,4,FALSE)</f>
        <v>-26258.391178764759</v>
      </c>
      <c r="V239" s="89" t="str">
        <f>IF(S239&lt;$L$6,IF(U239&gt;' 5-Forecast Cash Flow + Profits'!$AG$29,"YES","NO"),"NO")</f>
        <v>NO</v>
      </c>
      <c r="W239" s="89" t="str">
        <f>IF(U239&gt;' 5-Forecast Cash Flow + Profits'!$AG$29, "YES", "NO")</f>
        <v>NO</v>
      </c>
      <c r="X239" s="68">
        <f>T239+X238</f>
        <v>571383.03573510482</v>
      </c>
      <c r="Y239" s="68">
        <f>VLOOKUP($O239,$A$4:$J$247,7,FALSE)</f>
        <v>-44258.391178764759</v>
      </c>
      <c r="Z239" s="68">
        <f>VLOOKUP($O239,$A$4:$J$247,8,FALSE)</f>
        <v>-20258.391178764759</v>
      </c>
      <c r="AA239" s="68">
        <f>VLOOKUP($O239,$A$4:$J$247,9,FALSE)</f>
        <v>-20258.391178764759</v>
      </c>
      <c r="AB239" s="68">
        <f>VLOOKUP($O239,$A$4:$J$247,10,FALSE)</f>
        <v>-26258.391178764759</v>
      </c>
    </row>
    <row r="240" spans="1:28">
      <c r="A240" s="23">
        <f>_xlfn.RANK.EQ(' 5-Forecast Cash Flow + Profits'!AP240,' 5-Forecast Cash Flow + Profits'!$AP$4:$AP$247,0)</f>
        <v>238</v>
      </c>
      <c r="B240" s="23" t="str">
        <f>' 5-Forecast Cash Flow + Profits'!A240</f>
        <v>W92</v>
      </c>
      <c r="C240" s="68">
        <f>' 5-Forecast Cash Flow + Profits'!AD240+' 5-Forecast Cash Flow + Profits'!AI240</f>
        <v>-9551.4630119492431</v>
      </c>
      <c r="D240" s="68">
        <f>' 5-Forecast Cash Flow + Profits'!AP240</f>
        <v>-26579.463011949243</v>
      </c>
      <c r="E240" t="s">
        <v>417</v>
      </c>
      <c r="F240" t="s">
        <v>418</v>
      </c>
      <c r="G240" s="63">
        <f>' 5-Forecast Cash Flow + Profits'!AM240</f>
        <v>-44579.463011949243</v>
      </c>
      <c r="H240" s="63">
        <f>' 5-Forecast Cash Flow + Profits'!AN240</f>
        <v>-20579.463011949243</v>
      </c>
      <c r="I240" s="63">
        <f>' 5-Forecast Cash Flow + Profits'!AO240</f>
        <v>-20579.463011949243</v>
      </c>
      <c r="J240" s="63">
        <f>' 5-Forecast Cash Flow + Profits'!AP240</f>
        <v>-26579.463011949243</v>
      </c>
      <c r="O240" s="23">
        <v>237</v>
      </c>
      <c r="P240" s="23" t="str">
        <f>VLOOKUP(O240,$A$4:$B$247,2,FALSE)</f>
        <v>W94</v>
      </c>
      <c r="Q240" s="23" t="str">
        <f>VLOOKUP(O240,$A$4:$F$247,5,FALSE)</f>
        <v>San Francisco</v>
      </c>
      <c r="R240" s="23" t="str">
        <f>VLOOKUP(O240,$A$4:$F$247,6,FALSE)</f>
        <v>CA</v>
      </c>
      <c r="S240" s="68">
        <f>O240*' 5-Forecast Cash Flow + Profits'!$AG$7</f>
        <v>7110000</v>
      </c>
      <c r="T240" s="68">
        <f>VLOOKUP(O240,$A$4:$C$247,3,FALSE)</f>
        <v>2319.8644688378845</v>
      </c>
      <c r="U240" s="68">
        <f>VLOOKUP(O240,$A$4:$D$247,4,FALSE)</f>
        <v>-26384.135531162119</v>
      </c>
      <c r="V240" s="89" t="str">
        <f>IF(S240&lt;$L$6,IF(U240&gt;' 5-Forecast Cash Flow + Profits'!$AG$29,"YES","NO"),"NO")</f>
        <v>NO</v>
      </c>
      <c r="W240" s="89" t="str">
        <f>IF(U240&gt;' 5-Forecast Cash Flow + Profits'!$AG$29, "YES", "NO")</f>
        <v>NO</v>
      </c>
      <c r="X240" s="68">
        <f>T240+X239</f>
        <v>573702.90020394267</v>
      </c>
      <c r="Y240" s="68">
        <f>VLOOKUP($O240,$A$4:$J$247,7,FALSE)</f>
        <v>-44384.135531162116</v>
      </c>
      <c r="Z240" s="68">
        <f>VLOOKUP($O240,$A$4:$J$247,8,FALSE)</f>
        <v>-20384.135531162119</v>
      </c>
      <c r="AA240" s="68">
        <f>VLOOKUP($O240,$A$4:$J$247,9,FALSE)</f>
        <v>-20384.135531162119</v>
      </c>
      <c r="AB240" s="68">
        <f>VLOOKUP($O240,$A$4:$J$247,10,FALSE)</f>
        <v>-26384.135531162119</v>
      </c>
    </row>
    <row r="241" spans="1:28">
      <c r="A241" s="23">
        <f>_xlfn.RANK.EQ(' 5-Forecast Cash Flow + Profits'!AP241,' 5-Forecast Cash Flow + Profits'!$AP$4:$AP$247,0)</f>
        <v>170</v>
      </c>
      <c r="B241" s="23" t="str">
        <f>' 5-Forecast Cash Flow + Profits'!A241</f>
        <v>W93</v>
      </c>
      <c r="C241" s="68">
        <f>' 5-Forecast Cash Flow + Profits'!AD241+' 5-Forecast Cash Flow + Profits'!AI241</f>
        <v>-479.02185637249204</v>
      </c>
      <c r="D241" s="68">
        <f>' 5-Forecast Cash Flow + Profits'!AP241</f>
        <v>-12836.621856372491</v>
      </c>
      <c r="E241" t="s">
        <v>417</v>
      </c>
      <c r="F241" t="s">
        <v>418</v>
      </c>
      <c r="G241" s="63">
        <f>' 5-Forecast Cash Flow + Profits'!AM241</f>
        <v>-30836.621856372491</v>
      </c>
      <c r="H241" s="63">
        <f>' 5-Forecast Cash Flow + Profits'!AN241</f>
        <v>-6836.6218563724888</v>
      </c>
      <c r="I241" s="63">
        <f>' 5-Forecast Cash Flow + Profits'!AO241</f>
        <v>-6836.6218563724888</v>
      </c>
      <c r="J241" s="63">
        <f>' 5-Forecast Cash Flow + Profits'!AP241</f>
        <v>-12836.621856372491</v>
      </c>
      <c r="O241" s="23">
        <v>238</v>
      </c>
      <c r="P241" s="23" t="str">
        <f>VLOOKUP(O241,$A$4:$B$247,2,FALSE)</f>
        <v>W92</v>
      </c>
      <c r="Q241" s="23" t="str">
        <f>VLOOKUP(O241,$A$4:$F$247,5,FALSE)</f>
        <v>San Francisco</v>
      </c>
      <c r="R241" s="23" t="str">
        <f>VLOOKUP(O241,$A$4:$F$247,6,FALSE)</f>
        <v>CA</v>
      </c>
      <c r="S241" s="68">
        <f>O241*' 5-Forecast Cash Flow + Profits'!$AG$7</f>
        <v>7140000</v>
      </c>
      <c r="T241" s="68">
        <f>VLOOKUP(O241,$A$4:$C$247,3,FALSE)</f>
        <v>-9551.4630119492431</v>
      </c>
      <c r="U241" s="68">
        <f>VLOOKUP(O241,$A$4:$D$247,4,FALSE)</f>
        <v>-26579.463011949243</v>
      </c>
      <c r="V241" s="89" t="str">
        <f>IF(S241&lt;$L$6,IF(U241&gt;' 5-Forecast Cash Flow + Profits'!$AG$29,"YES","NO"),"NO")</f>
        <v>NO</v>
      </c>
      <c r="W241" s="89" t="str">
        <f>IF(U241&gt;' 5-Forecast Cash Flow + Profits'!$AG$29, "YES", "NO")</f>
        <v>NO</v>
      </c>
      <c r="X241" s="68">
        <f>T241+X240</f>
        <v>564151.43719199346</v>
      </c>
      <c r="Y241" s="68">
        <f>VLOOKUP($O241,$A$4:$J$247,7,FALSE)</f>
        <v>-44579.463011949243</v>
      </c>
      <c r="Z241" s="68">
        <f>VLOOKUP($O241,$A$4:$J$247,8,FALSE)</f>
        <v>-20579.463011949243</v>
      </c>
      <c r="AA241" s="68">
        <f>VLOOKUP($O241,$A$4:$J$247,9,FALSE)</f>
        <v>-20579.463011949243</v>
      </c>
      <c r="AB241" s="68">
        <f>VLOOKUP($O241,$A$4:$J$247,10,FALSE)</f>
        <v>-26579.463011949243</v>
      </c>
    </row>
    <row r="242" spans="1:28">
      <c r="A242" s="23">
        <f>_xlfn.RANK.EQ(' 5-Forecast Cash Flow + Profits'!AP242,' 5-Forecast Cash Flow + Profits'!$AP$4:$AP$247,0)</f>
        <v>237</v>
      </c>
      <c r="B242" s="23" t="str">
        <f>' 5-Forecast Cash Flow + Profits'!A242</f>
        <v>W94</v>
      </c>
      <c r="C242" s="68">
        <f>' 5-Forecast Cash Flow + Profits'!AD242+' 5-Forecast Cash Flow + Profits'!AI242</f>
        <v>2319.8644688378845</v>
      </c>
      <c r="D242" s="68">
        <f>' 5-Forecast Cash Flow + Profits'!AP242</f>
        <v>-26384.135531162119</v>
      </c>
      <c r="E242" t="s">
        <v>417</v>
      </c>
      <c r="F242" t="s">
        <v>418</v>
      </c>
      <c r="G242" s="63">
        <f>' 5-Forecast Cash Flow + Profits'!AM242</f>
        <v>-44384.135531162116</v>
      </c>
      <c r="H242" s="63">
        <f>' 5-Forecast Cash Flow + Profits'!AN242</f>
        <v>-20384.135531162119</v>
      </c>
      <c r="I242" s="63">
        <f>' 5-Forecast Cash Flow + Profits'!AO242</f>
        <v>-20384.135531162119</v>
      </c>
      <c r="J242" s="63">
        <f>' 5-Forecast Cash Flow + Profits'!AP242</f>
        <v>-26384.135531162119</v>
      </c>
      <c r="O242" s="23">
        <v>239</v>
      </c>
      <c r="P242" s="23" t="str">
        <f>VLOOKUP(O242,$A$4:$B$247,2,FALSE)</f>
        <v>W41</v>
      </c>
      <c r="Q242" s="23" t="str">
        <f>VLOOKUP(O242,$A$4:$F$247,5,FALSE)</f>
        <v>New York</v>
      </c>
      <c r="R242" s="23" t="str">
        <f>VLOOKUP(O242,$A$4:$F$247,6,FALSE)</f>
        <v>NY</v>
      </c>
      <c r="S242" s="68">
        <f>O242*' 5-Forecast Cash Flow + Profits'!$AG$7</f>
        <v>7170000</v>
      </c>
      <c r="T242" s="68">
        <f>VLOOKUP(O242,$A$4:$C$247,3,FALSE)</f>
        <v>17127.282028309673</v>
      </c>
      <c r="U242" s="68">
        <f>VLOOKUP(O242,$A$4:$D$247,4,FALSE)</f>
        <v>-29090.717971690327</v>
      </c>
      <c r="V242" s="89" t="str">
        <f>IF(S242&lt;$L$6,IF(U242&gt;' 5-Forecast Cash Flow + Profits'!$AG$29,"YES","NO"),"NO")</f>
        <v>NO</v>
      </c>
      <c r="W242" s="89" t="str">
        <f>IF(U242&gt;' 5-Forecast Cash Flow + Profits'!$AG$29, "YES", "NO")</f>
        <v>NO</v>
      </c>
      <c r="X242" s="68">
        <f>T242+X241</f>
        <v>581278.71922030312</v>
      </c>
      <c r="Y242" s="68">
        <f>VLOOKUP($O242,$A$4:$J$247,7,FALSE)</f>
        <v>-47090.717971690327</v>
      </c>
      <c r="Z242" s="68">
        <f>VLOOKUP($O242,$A$4:$J$247,8,FALSE)</f>
        <v>-23090.717971690327</v>
      </c>
      <c r="AA242" s="68">
        <f>VLOOKUP($O242,$A$4:$J$247,9,FALSE)</f>
        <v>-23090.717971690327</v>
      </c>
      <c r="AB242" s="68">
        <f>VLOOKUP($O242,$A$4:$J$247,10,FALSE)</f>
        <v>-29090.717971690327</v>
      </c>
    </row>
    <row r="243" spans="1:28">
      <c r="A243" s="23">
        <f>_xlfn.RANK.EQ(' 5-Forecast Cash Flow + Profits'!AP243,' 5-Forecast Cash Flow + Profits'!$AP$4:$AP$247,0)</f>
        <v>77</v>
      </c>
      <c r="B243" s="23" t="str">
        <f>' 5-Forecast Cash Flow + Profits'!A243</f>
        <v>W95</v>
      </c>
      <c r="C243" s="68">
        <f>' 5-Forecast Cash Flow + Profits'!AD243+' 5-Forecast Cash Flow + Profits'!AI243</f>
        <v>28424.837216978631</v>
      </c>
      <c r="D243" s="68">
        <f>' 5-Forecast Cash Flow + Profits'!AP243</f>
        <v>-279.16278302136925</v>
      </c>
      <c r="E243" t="s">
        <v>417</v>
      </c>
      <c r="F243" t="s">
        <v>418</v>
      </c>
      <c r="G243" s="63">
        <f>' 5-Forecast Cash Flow + Profits'!AM243</f>
        <v>-18279.162783021369</v>
      </c>
      <c r="H243" s="63">
        <f>' 5-Forecast Cash Flow + Profits'!AN243</f>
        <v>5720.8372169786326</v>
      </c>
      <c r="I243" s="63">
        <f>' 5-Forecast Cash Flow + Profits'!AO243</f>
        <v>5720.8372169786326</v>
      </c>
      <c r="J243" s="63">
        <f>' 5-Forecast Cash Flow + Profits'!AP243</f>
        <v>-279.16278302136925</v>
      </c>
      <c r="O243" s="23">
        <v>240</v>
      </c>
      <c r="P243" s="23" t="str">
        <f>VLOOKUP(O243,$A$4:$B$247,2,FALSE)</f>
        <v>W97</v>
      </c>
      <c r="Q243" s="23" t="str">
        <f>VLOOKUP(O243,$A$4:$F$247,5,FALSE)</f>
        <v>San Francisco</v>
      </c>
      <c r="R243" s="23" t="str">
        <f>VLOOKUP(O243,$A$4:$F$247,6,FALSE)</f>
        <v>CA</v>
      </c>
      <c r="S243" s="68">
        <f>O243*' 5-Forecast Cash Flow + Profits'!$AG$7</f>
        <v>7200000</v>
      </c>
      <c r="T243" s="68">
        <f>VLOOKUP(O243,$A$4:$C$247,3,FALSE)</f>
        <v>15382.639763121901</v>
      </c>
      <c r="U243" s="68">
        <f>VLOOKUP(O243,$A$4:$D$247,4,FALSE)</f>
        <v>-32002.960236878102</v>
      </c>
      <c r="V243" s="89" t="str">
        <f>IF(S243&lt;$L$6,IF(U243&gt;' 5-Forecast Cash Flow + Profits'!$AG$29,"YES","NO"),"NO")</f>
        <v>NO</v>
      </c>
      <c r="W243" s="89" t="str">
        <f>IF(U243&gt;' 5-Forecast Cash Flow + Profits'!$AG$29, "YES", "NO")</f>
        <v>NO</v>
      </c>
      <c r="X243" s="68">
        <f>T243+X242</f>
        <v>596661.35898342496</v>
      </c>
      <c r="Y243" s="68">
        <f>VLOOKUP($O243,$A$4:$J$247,7,FALSE)</f>
        <v>-50002.960236878098</v>
      </c>
      <c r="Z243" s="68">
        <f>VLOOKUP($O243,$A$4:$J$247,8,FALSE)</f>
        <v>-26002.960236878102</v>
      </c>
      <c r="AA243" s="68">
        <f>VLOOKUP($O243,$A$4:$J$247,9,FALSE)</f>
        <v>-26002.960236878102</v>
      </c>
      <c r="AB243" s="68">
        <f>VLOOKUP($O243,$A$4:$J$247,10,FALSE)</f>
        <v>-32002.960236878102</v>
      </c>
    </row>
    <row r="244" spans="1:28">
      <c r="A244" s="23">
        <f>_xlfn.RANK.EQ(' 5-Forecast Cash Flow + Profits'!AP244,' 5-Forecast Cash Flow + Profits'!$AP$4:$AP$247,0)</f>
        <v>167</v>
      </c>
      <c r="B244" s="23" t="str">
        <f>' 5-Forecast Cash Flow + Profits'!A244</f>
        <v>W96</v>
      </c>
      <c r="C244" s="68">
        <f>' 5-Forecast Cash Flow + Profits'!AD244+' 5-Forecast Cash Flow + Profits'!AI244</f>
        <v>29085.925741736908</v>
      </c>
      <c r="D244" s="68">
        <f>' 5-Forecast Cash Flow + Profits'!AP244</f>
        <v>-12461.67425826309</v>
      </c>
      <c r="E244" t="s">
        <v>417</v>
      </c>
      <c r="F244" t="s">
        <v>418</v>
      </c>
      <c r="G244" s="63">
        <f>' 5-Forecast Cash Flow + Profits'!AM244</f>
        <v>-30461.67425826309</v>
      </c>
      <c r="H244" s="63">
        <f>' 5-Forecast Cash Flow + Profits'!AN244</f>
        <v>-6461.6742582630905</v>
      </c>
      <c r="I244" s="63">
        <f>' 5-Forecast Cash Flow + Profits'!AO244</f>
        <v>-6461.6742582630905</v>
      </c>
      <c r="J244" s="63">
        <f>' 5-Forecast Cash Flow + Profits'!AP244</f>
        <v>-12461.67425826309</v>
      </c>
      <c r="O244" s="23">
        <v>241</v>
      </c>
      <c r="P244" s="23" t="str">
        <f>VLOOKUP(O244,$A$4:$B$247,2,FALSE)</f>
        <v>W86</v>
      </c>
      <c r="Q244" s="23" t="str">
        <f>VLOOKUP(O244,$A$4:$F$247,5,FALSE)</f>
        <v>San Francisco</v>
      </c>
      <c r="R244" s="23" t="str">
        <f>VLOOKUP(O244,$A$4:$F$247,6,FALSE)</f>
        <v>CA</v>
      </c>
      <c r="S244" s="68">
        <f>O244*' 5-Forecast Cash Flow + Profits'!$AG$7</f>
        <v>7230000</v>
      </c>
      <c r="T244" s="68">
        <f>VLOOKUP(O244,$A$4:$C$247,3,FALSE)</f>
        <v>-5818.6936578405366</v>
      </c>
      <c r="U244" s="68">
        <f>VLOOKUP(O244,$A$4:$D$247,4,FALSE)</f>
        <v>-34522.693657840537</v>
      </c>
      <c r="V244" s="89" t="str">
        <f>IF(S244&lt;$L$6,IF(U244&gt;' 5-Forecast Cash Flow + Profits'!$AG$29,"YES","NO"),"NO")</f>
        <v>NO</v>
      </c>
      <c r="W244" s="89" t="str">
        <f>IF(U244&gt;' 5-Forecast Cash Flow + Profits'!$AG$29, "YES", "NO")</f>
        <v>NO</v>
      </c>
      <c r="X244" s="68">
        <f>T244+X243</f>
        <v>590842.66532558447</v>
      </c>
      <c r="Y244" s="68">
        <f>VLOOKUP($O244,$A$4:$J$247,7,FALSE)</f>
        <v>-52522.693657840537</v>
      </c>
      <c r="Z244" s="68">
        <f>VLOOKUP($O244,$A$4:$J$247,8,FALSE)</f>
        <v>-28522.693657840537</v>
      </c>
      <c r="AA244" s="68">
        <f>VLOOKUP($O244,$A$4:$J$247,9,FALSE)</f>
        <v>-28522.693657840537</v>
      </c>
      <c r="AB244" s="68">
        <f>VLOOKUP($O244,$A$4:$J$247,10,FALSE)</f>
        <v>-34522.693657840537</v>
      </c>
    </row>
    <row r="245" spans="1:28">
      <c r="A245" s="23">
        <f>_xlfn.RANK.EQ(' 5-Forecast Cash Flow + Profits'!AP245,' 5-Forecast Cash Flow + Profits'!$AP$4:$AP$247,0)</f>
        <v>240</v>
      </c>
      <c r="B245" s="23" t="str">
        <f>' 5-Forecast Cash Flow + Profits'!A245</f>
        <v>W97</v>
      </c>
      <c r="C245" s="68">
        <f>' 5-Forecast Cash Flow + Profits'!AD245+' 5-Forecast Cash Flow + Profits'!AI245</f>
        <v>15382.639763121901</v>
      </c>
      <c r="D245" s="68">
        <f>' 5-Forecast Cash Flow + Profits'!AP245</f>
        <v>-32002.960236878102</v>
      </c>
      <c r="E245" t="s">
        <v>417</v>
      </c>
      <c r="F245" t="s">
        <v>418</v>
      </c>
      <c r="G245" s="63">
        <f>' 5-Forecast Cash Flow + Profits'!AM245</f>
        <v>-50002.960236878098</v>
      </c>
      <c r="H245" s="63">
        <f>' 5-Forecast Cash Flow + Profits'!AN245</f>
        <v>-26002.960236878102</v>
      </c>
      <c r="I245" s="63">
        <f>' 5-Forecast Cash Flow + Profits'!AO245</f>
        <v>-26002.960236878102</v>
      </c>
      <c r="J245" s="63">
        <f>' 5-Forecast Cash Flow + Profits'!AP245</f>
        <v>-32002.960236878102</v>
      </c>
      <c r="O245" s="23">
        <v>242</v>
      </c>
      <c r="P245" s="23" t="str">
        <f>VLOOKUP(O245,$A$4:$B$247,2,FALSE)</f>
        <v>W87</v>
      </c>
      <c r="Q245" s="23" t="str">
        <f>VLOOKUP(O245,$A$4:$F$247,5,FALSE)</f>
        <v>San Francisco</v>
      </c>
      <c r="R245" s="23" t="str">
        <f>VLOOKUP(O245,$A$4:$F$247,6,FALSE)</f>
        <v>CA</v>
      </c>
      <c r="S245" s="68">
        <f>O245*' 5-Forecast Cash Flow + Profits'!$AG$7</f>
        <v>7260000</v>
      </c>
      <c r="T245" s="68">
        <f>VLOOKUP(O245,$A$4:$C$247,3,FALSE)</f>
        <v>1228.5448423579728</v>
      </c>
      <c r="U245" s="68">
        <f>VLOOKUP(O245,$A$4:$D$247,4,FALSE)</f>
        <v>-39151.455157642027</v>
      </c>
      <c r="V245" s="89" t="str">
        <f>IF(S245&lt;$L$6,IF(U245&gt;' 5-Forecast Cash Flow + Profits'!$AG$29,"YES","NO"),"NO")</f>
        <v>NO</v>
      </c>
      <c r="W245" s="89" t="str">
        <f>IF(U245&gt;' 5-Forecast Cash Flow + Profits'!$AG$29, "YES", "NO")</f>
        <v>NO</v>
      </c>
      <c r="X245" s="68">
        <f>T245+X244</f>
        <v>592071.21016794245</v>
      </c>
      <c r="Y245" s="68">
        <f>VLOOKUP($O245,$A$4:$J$247,7,FALSE)</f>
        <v>-57151.455157642027</v>
      </c>
      <c r="Z245" s="68">
        <f>VLOOKUP($O245,$A$4:$J$247,8,FALSE)</f>
        <v>-33151.455157642027</v>
      </c>
      <c r="AA245" s="68">
        <f>VLOOKUP($O245,$A$4:$J$247,9,FALSE)</f>
        <v>-33151.455157642027</v>
      </c>
      <c r="AB245" s="68">
        <f>VLOOKUP($O245,$A$4:$J$247,10,FALSE)</f>
        <v>-39151.455157642027</v>
      </c>
    </row>
    <row r="246" spans="1:28">
      <c r="A246" s="23">
        <f>_xlfn.RANK.EQ(' 5-Forecast Cash Flow + Profits'!AP246,' 5-Forecast Cash Flow + Profits'!$AP$4:$AP$247,0)</f>
        <v>207</v>
      </c>
      <c r="B246" s="23" t="str">
        <f>' 5-Forecast Cash Flow + Profits'!A246</f>
        <v>W98</v>
      </c>
      <c r="C246" s="68">
        <f>' 5-Forecast Cash Flow + Profits'!AD246+' 5-Forecast Cash Flow + Profits'!AI246</f>
        <v>22835.837167651123</v>
      </c>
      <c r="D246" s="68">
        <f>' 5-Forecast Cash Flow + Profits'!AP246</f>
        <v>-17544.162832348877</v>
      </c>
      <c r="E246" t="s">
        <v>417</v>
      </c>
      <c r="F246" t="s">
        <v>418</v>
      </c>
      <c r="G246" s="63">
        <f>' 5-Forecast Cash Flow + Profits'!AM246</f>
        <v>-35544.162832348877</v>
      </c>
      <c r="H246" s="63">
        <f>' 5-Forecast Cash Flow + Profits'!AN246</f>
        <v>-11544.162832348877</v>
      </c>
      <c r="I246" s="63">
        <f>' 5-Forecast Cash Flow + Profits'!AO246</f>
        <v>-11544.162832348877</v>
      </c>
      <c r="J246" s="63">
        <f>' 5-Forecast Cash Flow + Profits'!AP246</f>
        <v>-17544.162832348877</v>
      </c>
      <c r="O246" s="23">
        <v>243</v>
      </c>
      <c r="P246" s="23" t="str">
        <f>VLOOKUP(O246,$A$4:$B$247,2,FALSE)</f>
        <v>W57</v>
      </c>
      <c r="Q246" s="23" t="str">
        <f>VLOOKUP(O246,$A$4:$F$247,5,FALSE)</f>
        <v>New York</v>
      </c>
      <c r="R246" s="23" t="str">
        <f>VLOOKUP(O246,$A$4:$F$247,6,FALSE)</f>
        <v>NY</v>
      </c>
      <c r="S246" s="68">
        <f>O246*' 5-Forecast Cash Flow + Profits'!$AG$7</f>
        <v>7290000</v>
      </c>
      <c r="T246" s="68">
        <f>VLOOKUP(O246,$A$4:$C$247,3,FALSE)</f>
        <v>-11753.429561621488</v>
      </c>
      <c r="U246" s="68">
        <f>VLOOKUP(O246,$A$4:$D$247,4,FALSE)</f>
        <v>-39289.829561621489</v>
      </c>
      <c r="V246" s="89" t="str">
        <f>IF(S246&lt;$L$6,IF(U246&gt;' 5-Forecast Cash Flow + Profits'!$AG$29,"YES","NO"),"NO")</f>
        <v>NO</v>
      </c>
      <c r="W246" s="89" t="str">
        <f>IF(U246&gt;' 5-Forecast Cash Flow + Profits'!$AG$29, "YES", "NO")</f>
        <v>NO</v>
      </c>
      <c r="X246" s="68">
        <f>T246+X245</f>
        <v>580317.78060632094</v>
      </c>
      <c r="Y246" s="68">
        <f>VLOOKUP($O246,$A$4:$J$247,7,FALSE)</f>
        <v>-57289.829561621489</v>
      </c>
      <c r="Z246" s="68">
        <f>VLOOKUP($O246,$A$4:$J$247,8,FALSE)</f>
        <v>-33289.829561621489</v>
      </c>
      <c r="AA246" s="68">
        <f>VLOOKUP($O246,$A$4:$J$247,9,FALSE)</f>
        <v>-33289.829561621489</v>
      </c>
      <c r="AB246" s="68">
        <f>VLOOKUP($O246,$A$4:$J$247,10,FALSE)</f>
        <v>-39289.829561621489</v>
      </c>
    </row>
    <row r="247" spans="1:28">
      <c r="A247" s="23">
        <f>_xlfn.RANK.EQ(' 5-Forecast Cash Flow + Profits'!AP247,' 5-Forecast Cash Flow + Profits'!$AP$4:$AP$247,0)</f>
        <v>236</v>
      </c>
      <c r="B247" s="23" t="str">
        <f>' 5-Forecast Cash Flow + Profits'!A247</f>
        <v>W99</v>
      </c>
      <c r="C247" s="68">
        <f>' 5-Forecast Cash Flow + Profits'!AD247+' 5-Forecast Cash Flow + Profits'!AI247</f>
        <v>25797.608821235241</v>
      </c>
      <c r="D247" s="68">
        <f>' 5-Forecast Cash Flow + Profits'!AP247</f>
        <v>-26258.391178764759</v>
      </c>
      <c r="E247" t="s">
        <v>417</v>
      </c>
      <c r="F247" t="s">
        <v>418</v>
      </c>
      <c r="G247" s="63">
        <f>' 5-Forecast Cash Flow + Profits'!AM247</f>
        <v>-44258.391178764759</v>
      </c>
      <c r="H247" s="63">
        <f>' 5-Forecast Cash Flow + Profits'!AN247</f>
        <v>-20258.391178764759</v>
      </c>
      <c r="I247" s="63">
        <f>' 5-Forecast Cash Flow + Profits'!AO247</f>
        <v>-20258.391178764759</v>
      </c>
      <c r="J247" s="63">
        <f>' 5-Forecast Cash Flow + Profits'!AP247</f>
        <v>-26258.391178764759</v>
      </c>
      <c r="O247" s="23">
        <v>244</v>
      </c>
      <c r="P247" s="23" t="str">
        <f>VLOOKUP(O247,$A$4:$B$247,2,FALSE)</f>
        <v>W45</v>
      </c>
      <c r="Q247" s="23" t="str">
        <f>VLOOKUP(O247,$A$4:$F$247,5,FALSE)</f>
        <v>New York</v>
      </c>
      <c r="R247" s="23" t="str">
        <f>VLOOKUP(O247,$A$4:$F$247,6,FALSE)</f>
        <v>NY</v>
      </c>
      <c r="S247" s="68">
        <f>O247*' 5-Forecast Cash Flow + Profits'!$AG$7</f>
        <v>7320000</v>
      </c>
      <c r="T247" s="68">
        <f>VLOOKUP(O247,$A$4:$C$247,3,FALSE)</f>
        <v>7921.1060794870573</v>
      </c>
      <c r="U247" s="68">
        <f>VLOOKUP(O247,$A$4:$D$247,4,FALSE)</f>
        <v>-39464.493920512941</v>
      </c>
      <c r="V247" s="89" t="str">
        <f>IF(S247&lt;$L$6,IF(U247&gt;' 5-Forecast Cash Flow + Profits'!$AG$29,"YES","NO"),"NO")</f>
        <v>NO</v>
      </c>
      <c r="W247" s="89" t="str">
        <f>IF(U247&gt;' 5-Forecast Cash Flow + Profits'!$AG$29, "YES", "NO")</f>
        <v>NO</v>
      </c>
      <c r="X247" s="68">
        <f>T247+X246</f>
        <v>588238.88668580796</v>
      </c>
      <c r="Y247" s="68">
        <f>VLOOKUP($O247,$A$4:$J$247,7,FALSE)</f>
        <v>-57464.493920512941</v>
      </c>
      <c r="Z247" s="68">
        <f>VLOOKUP($O247,$A$4:$J$247,8,FALSE)</f>
        <v>-33464.493920512941</v>
      </c>
      <c r="AA247" s="68">
        <f>VLOOKUP($O247,$A$4:$J$247,9,FALSE)</f>
        <v>-33464.493920512941</v>
      </c>
      <c r="AB247" s="68">
        <f>VLOOKUP($O247,$A$4:$J$247,10,FALSE)</f>
        <v>-39464.493920512941</v>
      </c>
    </row>
    <row r="248" spans="1:28">
      <c r="F248" s="68"/>
      <c r="G248" s="68"/>
      <c r="H248" s="68"/>
      <c r="I248" s="68"/>
      <c r="J248" s="68"/>
    </row>
  </sheetData>
  <conditionalFormatting sqref="T4:U247">
    <cfRule type="cellIs" dxfId="3" priority="4" operator="lessThan">
      <formula>0</formula>
    </cfRule>
  </conditionalFormatting>
  <conditionalFormatting sqref="X4:AB247">
    <cfRule type="cellIs" dxfId="2" priority="3" operator="lessThan">
      <formula>0</formula>
    </cfRule>
  </conditionalFormatting>
  <conditionalFormatting sqref="V4:W247">
    <cfRule type="containsText" dxfId="1" priority="1" operator="containsText" text="NO">
      <formula>NOT(ISERROR(SEARCH("NO",V4)))</formula>
    </cfRule>
    <cfRule type="containsText" dxfId="0" priority="2" operator="containsText" text="YES">
      <formula>NOT(ISERROR(SEARCH("YES",V4)))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9"/>
  <sheetViews>
    <sheetView tabSelected="1" workbookViewId="0">
      <selection activeCell="G27" sqref="G27"/>
    </sheetView>
  </sheetViews>
  <sheetFormatPr defaultRowHeight="15.75"/>
  <cols>
    <col min="1" max="1" width="22.875" bestFit="1" customWidth="1"/>
    <col min="2" max="2" width="10.625" bestFit="1" customWidth="1"/>
    <col min="5" max="5" width="23.5" bestFit="1" customWidth="1"/>
    <col min="6" max="6" width="23.75" bestFit="1" customWidth="1"/>
  </cols>
  <sheetData>
    <row r="1" spans="1:7">
      <c r="A1" s="73" t="s">
        <v>446</v>
      </c>
      <c r="B1" s="73" t="s">
        <v>447</v>
      </c>
      <c r="C1" s="73" t="s">
        <v>448</v>
      </c>
      <c r="D1" s="73" t="s">
        <v>449</v>
      </c>
      <c r="E1" s="73" t="s">
        <v>450</v>
      </c>
      <c r="F1" s="73" t="s">
        <v>451</v>
      </c>
      <c r="G1" s="73" t="s">
        <v>458</v>
      </c>
    </row>
    <row r="2" spans="1:7">
      <c r="A2" t="s">
        <v>452</v>
      </c>
      <c r="B2">
        <v>6000</v>
      </c>
      <c r="C2">
        <v>3000</v>
      </c>
      <c r="D2">
        <v>12000</v>
      </c>
      <c r="E2">
        <v>59</v>
      </c>
      <c r="F2">
        <v>30</v>
      </c>
      <c r="G2">
        <f>E2-F2</f>
        <v>29</v>
      </c>
    </row>
    <row r="3" spans="1:7">
      <c r="A3" t="s">
        <v>453</v>
      </c>
      <c r="B3">
        <v>0.3</v>
      </c>
      <c r="C3">
        <v>0.2</v>
      </c>
      <c r="D3">
        <v>0.45</v>
      </c>
      <c r="E3">
        <v>81</v>
      </c>
      <c r="F3">
        <v>22</v>
      </c>
      <c r="G3">
        <f t="shared" ref="G3:G9" si="0">E3-F3</f>
        <v>59</v>
      </c>
    </row>
    <row r="4" spans="1:7">
      <c r="A4" t="s">
        <v>454</v>
      </c>
      <c r="B4" s="74">
        <v>30000</v>
      </c>
      <c r="C4" s="74">
        <v>15000</v>
      </c>
      <c r="D4" s="74">
        <v>60000</v>
      </c>
      <c r="E4" s="74">
        <v>59</v>
      </c>
      <c r="F4" s="74">
        <v>34</v>
      </c>
      <c r="G4">
        <f t="shared" si="0"/>
        <v>25</v>
      </c>
    </row>
    <row r="5" spans="1:7">
      <c r="A5" t="s">
        <v>455</v>
      </c>
      <c r="B5">
        <v>3</v>
      </c>
      <c r="C5">
        <v>7</v>
      </c>
      <c r="D5">
        <v>1</v>
      </c>
      <c r="E5">
        <v>65</v>
      </c>
      <c r="F5">
        <v>20</v>
      </c>
      <c r="G5">
        <f t="shared" si="0"/>
        <v>45</v>
      </c>
    </row>
    <row r="6" spans="1:7">
      <c r="A6" t="s">
        <v>456</v>
      </c>
      <c r="B6">
        <v>6000</v>
      </c>
      <c r="C6">
        <v>3000</v>
      </c>
      <c r="D6">
        <v>12000</v>
      </c>
      <c r="E6">
        <v>59</v>
      </c>
      <c r="F6">
        <v>30</v>
      </c>
      <c r="G6">
        <f t="shared" si="0"/>
        <v>29</v>
      </c>
    </row>
    <row r="7" spans="1:7">
      <c r="A7" t="s">
        <v>457</v>
      </c>
      <c r="B7">
        <v>100</v>
      </c>
      <c r="C7">
        <v>50</v>
      </c>
      <c r="D7">
        <v>200</v>
      </c>
      <c r="E7">
        <v>64</v>
      </c>
      <c r="F7">
        <v>28</v>
      </c>
      <c r="G7">
        <f t="shared" si="0"/>
        <v>36</v>
      </c>
    </row>
    <row r="8" spans="1:7">
      <c r="A8" t="s">
        <v>459</v>
      </c>
      <c r="B8">
        <v>3600</v>
      </c>
      <c r="C8">
        <v>2400</v>
      </c>
      <c r="D8">
        <v>4800</v>
      </c>
      <c r="E8">
        <v>46</v>
      </c>
      <c r="F8">
        <v>38</v>
      </c>
      <c r="G8">
        <f t="shared" si="0"/>
        <v>8</v>
      </c>
    </row>
    <row r="9" spans="1:7">
      <c r="A9" t="s">
        <v>460</v>
      </c>
      <c r="B9">
        <v>5</v>
      </c>
      <c r="C9">
        <v>10</v>
      </c>
      <c r="D9">
        <v>3</v>
      </c>
      <c r="E9">
        <v>59</v>
      </c>
      <c r="F9">
        <v>32</v>
      </c>
      <c r="G9">
        <f t="shared" si="0"/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 to Powerpoint</vt:lpstr>
      <vt:lpstr>1 - First Best-Fit Line</vt:lpstr>
      <vt:lpstr>2 - Normalized Data and Model</vt:lpstr>
      <vt:lpstr>3 - "Solver" Rent Optimization</vt:lpstr>
      <vt:lpstr>4- Financial Model</vt:lpstr>
      <vt:lpstr> 5-Forecast Cash Flow + Profits</vt:lpstr>
      <vt:lpstr>6 - Sorting by Profitability</vt:lpstr>
      <vt:lpstr>7- Ranking</vt:lpstr>
      <vt:lpstr>8- Sensitivity</vt:lpstr>
    </vt:vector>
  </TitlesOfParts>
  <Company>Duke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Egger</dc:creator>
  <cp:lastModifiedBy>shiva prabhushankar</cp:lastModifiedBy>
  <dcterms:created xsi:type="dcterms:W3CDTF">2016-02-26T18:42:49Z</dcterms:created>
  <dcterms:modified xsi:type="dcterms:W3CDTF">2021-04-21T00:24:14Z</dcterms:modified>
</cp:coreProperties>
</file>